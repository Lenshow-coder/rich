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ny\Coding\GitHub\rich\"/>
    </mc:Choice>
  </mc:AlternateContent>
  <xr:revisionPtr revIDLastSave="0" documentId="13_ncr:1_{5BEACCC1-682E-4DB4-99C3-371E45671A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ketball" sheetId="2" r:id="rId1"/>
  </sheets>
  <definedNames>
    <definedName name="_xlnm._FilterDatabase" localSheetId="0" hidden="1">Basketball!$A$1:$BY$1118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8" i="2" l="1"/>
  <c r="C1118" i="2"/>
  <c r="B1118" i="2"/>
  <c r="D1117" i="2"/>
  <c r="C1117" i="2"/>
  <c r="B1117" i="2"/>
  <c r="D1116" i="2"/>
  <c r="C1116" i="2"/>
  <c r="B1116" i="2"/>
  <c r="D1115" i="2"/>
  <c r="C1115" i="2"/>
  <c r="B1115" i="2"/>
  <c r="D1114" i="2"/>
  <c r="C1114" i="2"/>
  <c r="B1114" i="2"/>
  <c r="D1113" i="2"/>
  <c r="C1113" i="2"/>
  <c r="B1113" i="2"/>
  <c r="D1112" i="2"/>
  <c r="C1112" i="2"/>
  <c r="B1112" i="2"/>
  <c r="D1111" i="2"/>
  <c r="C1111" i="2"/>
  <c r="B1111" i="2"/>
  <c r="D1110" i="2"/>
  <c r="C1110" i="2"/>
  <c r="B1110" i="2"/>
  <c r="D1109" i="2"/>
  <c r="C1109" i="2"/>
  <c r="B1109" i="2"/>
  <c r="D1108" i="2"/>
  <c r="C1108" i="2"/>
  <c r="B1108" i="2"/>
  <c r="D1107" i="2"/>
  <c r="C1107" i="2"/>
  <c r="B1107" i="2"/>
  <c r="D1106" i="2"/>
  <c r="C1106" i="2"/>
  <c r="B1106" i="2"/>
  <c r="D1105" i="2"/>
  <c r="C1105" i="2"/>
  <c r="B1105" i="2"/>
  <c r="D1104" i="2"/>
  <c r="C1104" i="2"/>
  <c r="B1104" i="2"/>
  <c r="D1103" i="2"/>
  <c r="C1103" i="2"/>
  <c r="B1103" i="2"/>
  <c r="D1102" i="2"/>
  <c r="C1102" i="2"/>
  <c r="B1102" i="2"/>
  <c r="D1101" i="2"/>
  <c r="C1101" i="2"/>
  <c r="B1101" i="2"/>
  <c r="D1100" i="2"/>
  <c r="C1100" i="2"/>
  <c r="B1100" i="2"/>
  <c r="D1099" i="2"/>
  <c r="C1099" i="2"/>
  <c r="B1099" i="2"/>
  <c r="D1098" i="2"/>
  <c r="C1098" i="2"/>
  <c r="B1098" i="2"/>
  <c r="D1097" i="2"/>
  <c r="C1097" i="2"/>
  <c r="B1097" i="2"/>
  <c r="D1096" i="2"/>
  <c r="C1096" i="2"/>
  <c r="B1096" i="2"/>
  <c r="D1095" i="2"/>
  <c r="C1095" i="2"/>
  <c r="B1095" i="2"/>
  <c r="D1094" i="2"/>
  <c r="C1094" i="2"/>
  <c r="B1094" i="2"/>
  <c r="D1093" i="2"/>
  <c r="C1093" i="2"/>
  <c r="B1093" i="2"/>
  <c r="D1092" i="2"/>
  <c r="C1092" i="2"/>
  <c r="B1092" i="2"/>
  <c r="D1091" i="2"/>
  <c r="C1091" i="2"/>
  <c r="B1091" i="2"/>
  <c r="D1090" i="2"/>
  <c r="C1090" i="2"/>
  <c r="B1090" i="2"/>
  <c r="D1089" i="2"/>
  <c r="C1089" i="2"/>
  <c r="B1089" i="2"/>
  <c r="D1088" i="2"/>
  <c r="C1088" i="2"/>
  <c r="B1088" i="2"/>
  <c r="D1087" i="2"/>
  <c r="C1087" i="2"/>
  <c r="B1087" i="2"/>
  <c r="D1086" i="2"/>
  <c r="C1086" i="2"/>
  <c r="B1086" i="2"/>
  <c r="D1085" i="2"/>
  <c r="C1085" i="2"/>
  <c r="B1085" i="2"/>
  <c r="D1084" i="2"/>
  <c r="C1084" i="2"/>
  <c r="B1084" i="2"/>
  <c r="D1083" i="2"/>
  <c r="C1083" i="2"/>
  <c r="B1083" i="2"/>
  <c r="D1082" i="2"/>
  <c r="C1082" i="2"/>
  <c r="B1082" i="2"/>
  <c r="D1081" i="2"/>
  <c r="C1081" i="2"/>
  <c r="B1081" i="2"/>
  <c r="D1080" i="2"/>
  <c r="C1080" i="2"/>
  <c r="B1080" i="2"/>
  <c r="D1079" i="2"/>
  <c r="C1079" i="2"/>
  <c r="B1079" i="2"/>
  <c r="D1078" i="2"/>
  <c r="C1078" i="2"/>
  <c r="B1078" i="2"/>
  <c r="D1077" i="2"/>
  <c r="C1077" i="2"/>
  <c r="B1077" i="2"/>
  <c r="D1076" i="2"/>
  <c r="C1076" i="2"/>
  <c r="B1076" i="2"/>
  <c r="D1075" i="2"/>
  <c r="C1075" i="2"/>
  <c r="B1075" i="2"/>
  <c r="D1074" i="2"/>
  <c r="C1074" i="2"/>
  <c r="B1074" i="2"/>
  <c r="D1073" i="2"/>
  <c r="C1073" i="2"/>
  <c r="B1073" i="2"/>
  <c r="D1072" i="2"/>
  <c r="C1072" i="2"/>
  <c r="B1072" i="2"/>
  <c r="D1071" i="2"/>
  <c r="C1071" i="2"/>
  <c r="B1071" i="2"/>
  <c r="D1070" i="2"/>
  <c r="C1070" i="2"/>
  <c r="B1070" i="2"/>
  <c r="D1069" i="2"/>
  <c r="C1069" i="2"/>
  <c r="B1069" i="2"/>
  <c r="D1068" i="2"/>
  <c r="C1068" i="2"/>
  <c r="B1068" i="2"/>
  <c r="D1067" i="2"/>
  <c r="C1067" i="2"/>
  <c r="B1067" i="2"/>
  <c r="D1066" i="2"/>
  <c r="C1066" i="2"/>
  <c r="B1066" i="2"/>
  <c r="D1065" i="2"/>
  <c r="C1065" i="2"/>
  <c r="B1065" i="2"/>
  <c r="D1064" i="2"/>
  <c r="C1064" i="2"/>
  <c r="B1064" i="2"/>
  <c r="D1063" i="2"/>
  <c r="C1063" i="2"/>
  <c r="B1063" i="2"/>
  <c r="D1062" i="2"/>
  <c r="C1062" i="2"/>
  <c r="B1062" i="2"/>
  <c r="D1061" i="2"/>
  <c r="C1061" i="2"/>
  <c r="B1061" i="2"/>
  <c r="D1060" i="2"/>
  <c r="C1060" i="2"/>
  <c r="B1060" i="2"/>
  <c r="D1059" i="2"/>
  <c r="C1059" i="2"/>
  <c r="B1059" i="2"/>
  <c r="D1058" i="2"/>
  <c r="C1058" i="2"/>
  <c r="B1058" i="2"/>
  <c r="D1057" i="2"/>
  <c r="C1057" i="2"/>
  <c r="B1057" i="2"/>
  <c r="D1056" i="2"/>
  <c r="C1056" i="2"/>
  <c r="B1056" i="2"/>
  <c r="D1055" i="2"/>
  <c r="C1055" i="2"/>
  <c r="B1055" i="2"/>
  <c r="D1054" i="2"/>
  <c r="C1054" i="2"/>
  <c r="B1054" i="2"/>
  <c r="D1053" i="2"/>
  <c r="C1053" i="2"/>
  <c r="B1053" i="2"/>
  <c r="D1052" i="2"/>
  <c r="C1052" i="2"/>
  <c r="B1052" i="2"/>
  <c r="D1051" i="2"/>
  <c r="C1051" i="2"/>
  <c r="B1051" i="2"/>
  <c r="D1050" i="2"/>
  <c r="C1050" i="2"/>
  <c r="B1050" i="2"/>
  <c r="D1049" i="2"/>
  <c r="C1049" i="2"/>
  <c r="B1049" i="2"/>
  <c r="D1048" i="2"/>
  <c r="C1048" i="2"/>
  <c r="B1048" i="2"/>
  <c r="D1047" i="2"/>
  <c r="C1047" i="2"/>
  <c r="B1047" i="2"/>
  <c r="D1046" i="2"/>
  <c r="C1046" i="2"/>
  <c r="B1046" i="2"/>
  <c r="D1045" i="2"/>
  <c r="C1045" i="2"/>
  <c r="B1045" i="2"/>
  <c r="D1044" i="2"/>
  <c r="C1044" i="2"/>
  <c r="B1044" i="2"/>
  <c r="D1043" i="2"/>
  <c r="C1043" i="2"/>
  <c r="B1043" i="2"/>
  <c r="D1042" i="2"/>
  <c r="C1042" i="2"/>
  <c r="B1042" i="2"/>
  <c r="D1041" i="2"/>
  <c r="C1041" i="2"/>
  <c r="B1041" i="2"/>
  <c r="D1040" i="2"/>
  <c r="C1040" i="2"/>
  <c r="B1040" i="2"/>
  <c r="D1039" i="2"/>
  <c r="C1039" i="2"/>
  <c r="B1039" i="2"/>
  <c r="D1038" i="2"/>
  <c r="C1038" i="2"/>
  <c r="B1038" i="2"/>
  <c r="D1037" i="2"/>
  <c r="C1037" i="2"/>
  <c r="B1037" i="2"/>
  <c r="D1036" i="2"/>
  <c r="C1036" i="2"/>
  <c r="B1036" i="2"/>
  <c r="D1035" i="2"/>
  <c r="C1035" i="2"/>
  <c r="B1035" i="2"/>
  <c r="D1034" i="2"/>
  <c r="C1034" i="2"/>
  <c r="B1034" i="2"/>
  <c r="D1033" i="2"/>
  <c r="C1033" i="2"/>
  <c r="B1033" i="2"/>
  <c r="D1032" i="2"/>
  <c r="C1032" i="2"/>
  <c r="B1032" i="2"/>
  <c r="D1031" i="2"/>
  <c r="C1031" i="2"/>
  <c r="B1031" i="2"/>
  <c r="D1030" i="2"/>
  <c r="C1030" i="2"/>
  <c r="B1030" i="2"/>
  <c r="D1029" i="2"/>
  <c r="C1029" i="2"/>
  <c r="B1029" i="2"/>
  <c r="D1028" i="2"/>
  <c r="C1028" i="2"/>
  <c r="B1028" i="2"/>
  <c r="D1027" i="2"/>
  <c r="C1027" i="2"/>
  <c r="B1027" i="2"/>
  <c r="D1026" i="2"/>
  <c r="C1026" i="2"/>
  <c r="B1026" i="2"/>
  <c r="D1025" i="2"/>
  <c r="C1025" i="2"/>
  <c r="B1025" i="2"/>
  <c r="D1024" i="2"/>
  <c r="C1024" i="2"/>
  <c r="B1024" i="2"/>
  <c r="D1023" i="2"/>
  <c r="C1023" i="2"/>
  <c r="B1023" i="2"/>
  <c r="D1022" i="2"/>
  <c r="C1022" i="2"/>
  <c r="B1022" i="2"/>
  <c r="D1021" i="2"/>
  <c r="C1021" i="2"/>
  <c r="B1021" i="2"/>
  <c r="D1020" i="2"/>
  <c r="C1020" i="2"/>
  <c r="B1020" i="2"/>
  <c r="D1019" i="2"/>
  <c r="C1019" i="2"/>
  <c r="B1019" i="2"/>
  <c r="D1018" i="2"/>
  <c r="C1018" i="2"/>
  <c r="B1018" i="2"/>
  <c r="D1017" i="2"/>
  <c r="C1017" i="2"/>
  <c r="B1017" i="2"/>
  <c r="D1016" i="2"/>
  <c r="C1016" i="2"/>
  <c r="B1016" i="2"/>
  <c r="D1015" i="2"/>
  <c r="C1015" i="2"/>
  <c r="B1015" i="2"/>
  <c r="D1014" i="2"/>
  <c r="C1014" i="2"/>
  <c r="B1014" i="2"/>
  <c r="D1013" i="2"/>
  <c r="C1013" i="2"/>
  <c r="B1013" i="2"/>
  <c r="D1012" i="2"/>
  <c r="C1012" i="2"/>
  <c r="B1012" i="2"/>
  <c r="D1011" i="2"/>
  <c r="C1011" i="2"/>
  <c r="B1011" i="2"/>
  <c r="D1010" i="2"/>
  <c r="C1010" i="2"/>
  <c r="B1010" i="2"/>
  <c r="D1009" i="2"/>
  <c r="C1009" i="2"/>
  <c r="B1009" i="2"/>
  <c r="D1008" i="2"/>
  <c r="C1008" i="2"/>
  <c r="B1008" i="2"/>
  <c r="D1007" i="2"/>
  <c r="C1007" i="2"/>
  <c r="B1007" i="2"/>
  <c r="D1006" i="2"/>
  <c r="C1006" i="2"/>
  <c r="B1006" i="2"/>
  <c r="D1005" i="2"/>
  <c r="C1005" i="2"/>
  <c r="B1005" i="2"/>
  <c r="D1004" i="2"/>
  <c r="C1004" i="2"/>
  <c r="B1004" i="2"/>
  <c r="D1003" i="2"/>
  <c r="C1003" i="2"/>
  <c r="B1003" i="2"/>
  <c r="D1002" i="2"/>
  <c r="C1002" i="2"/>
  <c r="B1002" i="2"/>
  <c r="D1001" i="2"/>
  <c r="C1001" i="2"/>
  <c r="B1001" i="2"/>
  <c r="D1000" i="2"/>
  <c r="C1000" i="2"/>
  <c r="B1000" i="2"/>
  <c r="D999" i="2"/>
  <c r="C999" i="2"/>
  <c r="B999" i="2"/>
  <c r="D998" i="2"/>
  <c r="C998" i="2"/>
  <c r="B998" i="2"/>
  <c r="D997" i="2"/>
  <c r="C997" i="2"/>
  <c r="B997" i="2"/>
  <c r="D996" i="2"/>
  <c r="C996" i="2"/>
  <c r="B996" i="2"/>
  <c r="D995" i="2"/>
  <c r="C995" i="2"/>
  <c r="B995" i="2"/>
  <c r="D994" i="2"/>
  <c r="C994" i="2"/>
  <c r="B994" i="2"/>
  <c r="D993" i="2"/>
  <c r="C993" i="2"/>
  <c r="B993" i="2"/>
  <c r="D992" i="2"/>
  <c r="C992" i="2"/>
  <c r="B992" i="2"/>
  <c r="D991" i="2"/>
  <c r="C991" i="2"/>
  <c r="B991" i="2"/>
  <c r="D990" i="2"/>
  <c r="C990" i="2"/>
  <c r="B990" i="2"/>
  <c r="D989" i="2"/>
  <c r="C989" i="2"/>
  <c r="B989" i="2"/>
  <c r="D988" i="2"/>
  <c r="C988" i="2"/>
  <c r="B988" i="2"/>
  <c r="D987" i="2"/>
  <c r="C987" i="2"/>
  <c r="B987" i="2"/>
  <c r="D986" i="2"/>
  <c r="C986" i="2"/>
  <c r="B986" i="2"/>
  <c r="D985" i="2"/>
  <c r="C985" i="2"/>
  <c r="B985" i="2"/>
  <c r="D984" i="2"/>
  <c r="C984" i="2"/>
  <c r="B984" i="2"/>
  <c r="D983" i="2"/>
  <c r="C983" i="2"/>
  <c r="B983" i="2"/>
  <c r="D982" i="2"/>
  <c r="C982" i="2"/>
  <c r="B982" i="2"/>
  <c r="D981" i="2"/>
  <c r="C981" i="2"/>
  <c r="B981" i="2"/>
  <c r="D980" i="2"/>
  <c r="C980" i="2"/>
  <c r="B980" i="2"/>
  <c r="D979" i="2"/>
  <c r="C979" i="2"/>
  <c r="B979" i="2"/>
  <c r="D978" i="2"/>
  <c r="C978" i="2"/>
  <c r="B978" i="2"/>
  <c r="D977" i="2"/>
  <c r="C977" i="2"/>
  <c r="B977" i="2"/>
  <c r="D976" i="2"/>
  <c r="C976" i="2"/>
  <c r="B976" i="2"/>
  <c r="D975" i="2"/>
  <c r="C975" i="2"/>
  <c r="B975" i="2"/>
  <c r="D974" i="2"/>
  <c r="C974" i="2"/>
  <c r="B974" i="2"/>
  <c r="D973" i="2"/>
  <c r="C973" i="2"/>
  <c r="B973" i="2"/>
  <c r="D972" i="2"/>
  <c r="C972" i="2"/>
  <c r="B972" i="2"/>
  <c r="D971" i="2"/>
  <c r="C971" i="2"/>
  <c r="B971" i="2"/>
  <c r="D970" i="2"/>
  <c r="C970" i="2"/>
  <c r="B970" i="2"/>
  <c r="D969" i="2"/>
  <c r="C969" i="2"/>
  <c r="B969" i="2"/>
  <c r="D968" i="2"/>
  <c r="C968" i="2"/>
  <c r="B968" i="2"/>
  <c r="D967" i="2"/>
  <c r="C967" i="2"/>
  <c r="B967" i="2"/>
  <c r="D966" i="2"/>
  <c r="C966" i="2"/>
  <c r="B966" i="2"/>
  <c r="D965" i="2"/>
  <c r="C965" i="2"/>
  <c r="B965" i="2"/>
  <c r="D964" i="2"/>
  <c r="C964" i="2"/>
  <c r="B964" i="2"/>
  <c r="D963" i="2"/>
  <c r="C963" i="2"/>
  <c r="B963" i="2"/>
  <c r="D962" i="2"/>
  <c r="C962" i="2"/>
  <c r="B962" i="2"/>
  <c r="D961" i="2"/>
  <c r="C961" i="2"/>
  <c r="B961" i="2"/>
  <c r="D960" i="2"/>
  <c r="C960" i="2"/>
  <c r="B960" i="2"/>
  <c r="D959" i="2"/>
  <c r="C959" i="2"/>
  <c r="B959" i="2"/>
  <c r="D958" i="2"/>
  <c r="C958" i="2"/>
  <c r="B958" i="2"/>
  <c r="D957" i="2"/>
  <c r="C957" i="2"/>
  <c r="B957" i="2"/>
  <c r="D956" i="2"/>
  <c r="C956" i="2"/>
  <c r="B956" i="2"/>
  <c r="D955" i="2"/>
  <c r="C955" i="2"/>
  <c r="B955" i="2"/>
  <c r="D954" i="2"/>
  <c r="C954" i="2"/>
  <c r="B954" i="2"/>
  <c r="D953" i="2"/>
  <c r="C953" i="2"/>
  <c r="B953" i="2"/>
  <c r="D952" i="2"/>
  <c r="C952" i="2"/>
  <c r="B952" i="2"/>
  <c r="D951" i="2"/>
  <c r="C951" i="2"/>
  <c r="B951" i="2"/>
  <c r="D950" i="2"/>
  <c r="C950" i="2"/>
  <c r="B950" i="2"/>
  <c r="D949" i="2"/>
  <c r="C949" i="2"/>
  <c r="B949" i="2"/>
  <c r="D948" i="2"/>
  <c r="C948" i="2"/>
  <c r="B948" i="2"/>
  <c r="D947" i="2"/>
  <c r="C947" i="2"/>
  <c r="B947" i="2"/>
  <c r="D946" i="2"/>
  <c r="C946" i="2"/>
  <c r="B946" i="2"/>
  <c r="D945" i="2"/>
  <c r="C945" i="2"/>
  <c r="B945" i="2"/>
  <c r="D944" i="2"/>
  <c r="C944" i="2"/>
  <c r="B944" i="2"/>
  <c r="D943" i="2"/>
  <c r="C943" i="2"/>
  <c r="B943" i="2"/>
  <c r="D942" i="2"/>
  <c r="C942" i="2"/>
  <c r="B942" i="2"/>
  <c r="D941" i="2"/>
  <c r="C941" i="2"/>
  <c r="B941" i="2"/>
  <c r="D940" i="2"/>
  <c r="C940" i="2"/>
  <c r="B940" i="2"/>
  <c r="D939" i="2"/>
  <c r="C939" i="2"/>
  <c r="B939" i="2"/>
  <c r="D938" i="2"/>
  <c r="C938" i="2"/>
  <c r="B938" i="2"/>
  <c r="D937" i="2"/>
  <c r="C937" i="2"/>
  <c r="B937" i="2"/>
  <c r="D936" i="2"/>
  <c r="C936" i="2"/>
  <c r="B936" i="2"/>
  <c r="D935" i="2"/>
  <c r="C935" i="2"/>
  <c r="B935" i="2"/>
  <c r="D934" i="2"/>
  <c r="C934" i="2"/>
  <c r="B934" i="2"/>
  <c r="D933" i="2"/>
  <c r="C933" i="2"/>
  <c r="B933" i="2"/>
  <c r="D932" i="2"/>
  <c r="C932" i="2"/>
  <c r="B932" i="2"/>
  <c r="D931" i="2"/>
  <c r="C931" i="2"/>
  <c r="B931" i="2"/>
  <c r="D930" i="2"/>
  <c r="C930" i="2"/>
  <c r="B930" i="2"/>
  <c r="D929" i="2"/>
  <c r="C929" i="2"/>
  <c r="B929" i="2"/>
  <c r="D928" i="2"/>
  <c r="C928" i="2"/>
  <c r="B928" i="2"/>
  <c r="D927" i="2"/>
  <c r="C927" i="2"/>
  <c r="B927" i="2"/>
  <c r="D926" i="2"/>
  <c r="C926" i="2"/>
  <c r="B926" i="2"/>
  <c r="D925" i="2"/>
  <c r="C925" i="2"/>
  <c r="B925" i="2"/>
  <c r="D924" i="2"/>
  <c r="C924" i="2"/>
  <c r="B924" i="2"/>
  <c r="D923" i="2"/>
  <c r="C923" i="2"/>
  <c r="B923" i="2"/>
  <c r="D922" i="2"/>
  <c r="C922" i="2"/>
  <c r="B922" i="2"/>
  <c r="D921" i="2"/>
  <c r="C921" i="2"/>
  <c r="B921" i="2"/>
  <c r="D920" i="2"/>
  <c r="C920" i="2"/>
  <c r="B920" i="2"/>
  <c r="D919" i="2"/>
  <c r="C919" i="2"/>
  <c r="B919" i="2"/>
  <c r="D918" i="2"/>
  <c r="C918" i="2"/>
  <c r="B918" i="2"/>
  <c r="D917" i="2"/>
  <c r="C917" i="2"/>
  <c r="B917" i="2"/>
  <c r="D916" i="2"/>
  <c r="C916" i="2"/>
  <c r="B916" i="2"/>
  <c r="D915" i="2"/>
  <c r="C915" i="2"/>
  <c r="B915" i="2"/>
  <c r="D914" i="2"/>
  <c r="C914" i="2"/>
  <c r="B914" i="2"/>
  <c r="D913" i="2"/>
  <c r="C913" i="2"/>
  <c r="B913" i="2"/>
  <c r="D912" i="2"/>
  <c r="C912" i="2"/>
  <c r="B912" i="2"/>
  <c r="D911" i="2"/>
  <c r="C911" i="2"/>
  <c r="B911" i="2"/>
  <c r="D910" i="2"/>
  <c r="C910" i="2"/>
  <c r="B910" i="2"/>
  <c r="D909" i="2"/>
  <c r="C909" i="2"/>
  <c r="B909" i="2"/>
  <c r="D908" i="2"/>
  <c r="C908" i="2"/>
  <c r="B908" i="2"/>
  <c r="D907" i="2"/>
  <c r="C907" i="2"/>
  <c r="B907" i="2"/>
  <c r="D906" i="2"/>
  <c r="C906" i="2"/>
  <c r="B906" i="2"/>
  <c r="D905" i="2"/>
  <c r="C905" i="2"/>
  <c r="B905" i="2"/>
  <c r="D904" i="2"/>
  <c r="C904" i="2"/>
  <c r="B904" i="2"/>
  <c r="D903" i="2"/>
  <c r="C903" i="2"/>
  <c r="B903" i="2"/>
  <c r="D902" i="2"/>
  <c r="C902" i="2"/>
  <c r="B902" i="2"/>
  <c r="D901" i="2"/>
  <c r="C901" i="2"/>
  <c r="B901" i="2"/>
  <c r="D900" i="2"/>
  <c r="C900" i="2"/>
  <c r="B900" i="2"/>
  <c r="D899" i="2"/>
  <c r="C899" i="2"/>
  <c r="B899" i="2"/>
  <c r="D898" i="2"/>
  <c r="C898" i="2"/>
  <c r="B898" i="2"/>
  <c r="D897" i="2"/>
  <c r="C897" i="2"/>
  <c r="B897" i="2"/>
  <c r="D896" i="2"/>
  <c r="C896" i="2"/>
  <c r="B896" i="2"/>
  <c r="D895" i="2"/>
  <c r="C895" i="2"/>
  <c r="B895" i="2"/>
  <c r="D894" i="2"/>
  <c r="C894" i="2"/>
  <c r="B894" i="2"/>
  <c r="D893" i="2"/>
  <c r="C893" i="2"/>
  <c r="B893" i="2"/>
  <c r="D892" i="2"/>
  <c r="C892" i="2"/>
  <c r="B892" i="2"/>
  <c r="D891" i="2"/>
  <c r="C891" i="2"/>
  <c r="B891" i="2"/>
  <c r="D890" i="2"/>
  <c r="C890" i="2"/>
  <c r="B890" i="2"/>
  <c r="D889" i="2"/>
  <c r="C889" i="2"/>
  <c r="B889" i="2"/>
  <c r="D888" i="2"/>
  <c r="C888" i="2"/>
  <c r="B888" i="2"/>
  <c r="D887" i="2"/>
  <c r="C887" i="2"/>
  <c r="B887" i="2"/>
  <c r="D886" i="2"/>
  <c r="C886" i="2"/>
  <c r="B886" i="2"/>
  <c r="D885" i="2"/>
  <c r="C885" i="2"/>
  <c r="B885" i="2"/>
  <c r="D884" i="2"/>
  <c r="C884" i="2"/>
  <c r="B884" i="2"/>
  <c r="D883" i="2"/>
  <c r="C883" i="2"/>
  <c r="B883" i="2"/>
  <c r="D882" i="2"/>
  <c r="C882" i="2"/>
  <c r="B882" i="2"/>
  <c r="D881" i="2"/>
  <c r="C881" i="2"/>
  <c r="B881" i="2"/>
  <c r="D880" i="2"/>
  <c r="C880" i="2"/>
  <c r="B880" i="2"/>
  <c r="D879" i="2"/>
  <c r="C879" i="2"/>
  <c r="B879" i="2"/>
  <c r="D878" i="2"/>
  <c r="C878" i="2"/>
  <c r="B878" i="2"/>
  <c r="D877" i="2"/>
  <c r="C877" i="2"/>
  <c r="B877" i="2"/>
  <c r="D876" i="2"/>
  <c r="C876" i="2"/>
  <c r="B876" i="2"/>
  <c r="D875" i="2"/>
  <c r="C875" i="2"/>
  <c r="B875" i="2"/>
  <c r="D874" i="2"/>
  <c r="C874" i="2"/>
  <c r="B874" i="2"/>
  <c r="D873" i="2"/>
  <c r="C873" i="2"/>
  <c r="B873" i="2"/>
  <c r="D872" i="2"/>
  <c r="C872" i="2"/>
  <c r="B872" i="2"/>
  <c r="D871" i="2"/>
  <c r="C871" i="2"/>
  <c r="B871" i="2"/>
  <c r="D870" i="2"/>
  <c r="C870" i="2"/>
  <c r="B870" i="2"/>
  <c r="D869" i="2"/>
  <c r="C869" i="2"/>
  <c r="B869" i="2"/>
  <c r="D868" i="2"/>
  <c r="C868" i="2"/>
  <c r="B868" i="2"/>
  <c r="D867" i="2"/>
  <c r="C867" i="2"/>
  <c r="B867" i="2"/>
  <c r="D866" i="2"/>
  <c r="C866" i="2"/>
  <c r="B866" i="2"/>
  <c r="D865" i="2"/>
  <c r="C865" i="2"/>
  <c r="B865" i="2"/>
  <c r="D864" i="2"/>
  <c r="C864" i="2"/>
  <c r="B864" i="2"/>
  <c r="D863" i="2"/>
  <c r="C863" i="2"/>
  <c r="B863" i="2"/>
  <c r="D862" i="2"/>
  <c r="C862" i="2"/>
  <c r="B862" i="2"/>
  <c r="D861" i="2"/>
  <c r="C861" i="2"/>
  <c r="B861" i="2"/>
  <c r="D860" i="2"/>
  <c r="C860" i="2"/>
  <c r="B860" i="2"/>
  <c r="D859" i="2"/>
  <c r="C859" i="2"/>
  <c r="B859" i="2"/>
  <c r="D858" i="2"/>
  <c r="C858" i="2"/>
  <c r="B858" i="2"/>
  <c r="D857" i="2"/>
  <c r="C857" i="2"/>
  <c r="B857" i="2"/>
  <c r="D856" i="2"/>
  <c r="C856" i="2"/>
  <c r="B856" i="2"/>
  <c r="D855" i="2"/>
  <c r="C855" i="2"/>
  <c r="B855" i="2"/>
  <c r="D854" i="2"/>
  <c r="C854" i="2"/>
  <c r="B854" i="2"/>
  <c r="D853" i="2"/>
  <c r="C853" i="2"/>
  <c r="B853" i="2"/>
  <c r="D852" i="2"/>
  <c r="C852" i="2"/>
  <c r="B852" i="2"/>
  <c r="D851" i="2"/>
  <c r="C851" i="2"/>
  <c r="B851" i="2"/>
  <c r="D850" i="2"/>
  <c r="C850" i="2"/>
  <c r="B850" i="2"/>
  <c r="D849" i="2"/>
  <c r="C849" i="2"/>
  <c r="B849" i="2"/>
  <c r="D848" i="2"/>
  <c r="C848" i="2"/>
  <c r="B848" i="2"/>
  <c r="D847" i="2"/>
  <c r="C847" i="2"/>
  <c r="B847" i="2"/>
  <c r="D846" i="2"/>
  <c r="C846" i="2"/>
  <c r="B846" i="2"/>
  <c r="D845" i="2"/>
  <c r="C845" i="2"/>
  <c r="B845" i="2"/>
  <c r="D844" i="2"/>
  <c r="C844" i="2"/>
  <c r="B844" i="2"/>
  <c r="D843" i="2"/>
  <c r="C843" i="2"/>
  <c r="B843" i="2"/>
  <c r="D842" i="2"/>
  <c r="C842" i="2"/>
  <c r="B842" i="2"/>
  <c r="D841" i="2"/>
  <c r="C841" i="2"/>
  <c r="B841" i="2"/>
  <c r="D840" i="2"/>
  <c r="C840" i="2"/>
  <c r="B840" i="2"/>
  <c r="D839" i="2"/>
  <c r="C839" i="2"/>
  <c r="B839" i="2"/>
  <c r="D838" i="2"/>
  <c r="C838" i="2"/>
  <c r="B838" i="2"/>
  <c r="D837" i="2"/>
  <c r="C837" i="2"/>
  <c r="B837" i="2"/>
  <c r="D836" i="2"/>
  <c r="C836" i="2"/>
  <c r="B836" i="2"/>
  <c r="D835" i="2"/>
  <c r="C835" i="2"/>
  <c r="B835" i="2"/>
  <c r="D834" i="2"/>
  <c r="C834" i="2"/>
  <c r="B834" i="2"/>
  <c r="D833" i="2"/>
  <c r="C833" i="2"/>
  <c r="B833" i="2"/>
  <c r="D832" i="2"/>
  <c r="C832" i="2"/>
  <c r="B832" i="2"/>
  <c r="D831" i="2"/>
  <c r="C831" i="2"/>
  <c r="B831" i="2"/>
  <c r="D830" i="2"/>
  <c r="C830" i="2"/>
  <c r="B830" i="2"/>
  <c r="D829" i="2"/>
  <c r="C829" i="2"/>
  <c r="B829" i="2"/>
  <c r="D828" i="2"/>
  <c r="C828" i="2"/>
  <c r="B828" i="2"/>
  <c r="D827" i="2"/>
  <c r="C827" i="2"/>
  <c r="B827" i="2"/>
  <c r="D826" i="2"/>
  <c r="C826" i="2"/>
  <c r="B826" i="2"/>
  <c r="D825" i="2"/>
  <c r="C825" i="2"/>
  <c r="B825" i="2"/>
  <c r="D824" i="2"/>
  <c r="C824" i="2"/>
  <c r="B824" i="2"/>
  <c r="D823" i="2"/>
  <c r="C823" i="2"/>
  <c r="B823" i="2"/>
  <c r="D822" i="2"/>
  <c r="C822" i="2"/>
  <c r="B822" i="2"/>
  <c r="D821" i="2"/>
  <c r="C821" i="2"/>
  <c r="B821" i="2"/>
  <c r="D820" i="2"/>
  <c r="C820" i="2"/>
  <c r="B820" i="2"/>
  <c r="D819" i="2"/>
  <c r="C819" i="2"/>
  <c r="B819" i="2"/>
  <c r="D818" i="2"/>
  <c r="C818" i="2"/>
  <c r="B818" i="2"/>
  <c r="D817" i="2"/>
  <c r="C817" i="2"/>
  <c r="B817" i="2"/>
  <c r="D816" i="2"/>
  <c r="C816" i="2"/>
  <c r="B816" i="2"/>
  <c r="D815" i="2"/>
  <c r="C815" i="2"/>
  <c r="B815" i="2"/>
  <c r="D814" i="2"/>
  <c r="C814" i="2"/>
  <c r="B814" i="2"/>
  <c r="D813" i="2"/>
  <c r="C813" i="2"/>
  <c r="B813" i="2"/>
  <c r="D812" i="2"/>
  <c r="C812" i="2"/>
  <c r="B812" i="2"/>
  <c r="D811" i="2"/>
  <c r="C811" i="2"/>
  <c r="B811" i="2"/>
  <c r="D810" i="2"/>
  <c r="C810" i="2"/>
  <c r="B810" i="2"/>
  <c r="D809" i="2"/>
  <c r="C809" i="2"/>
  <c r="B809" i="2"/>
  <c r="D808" i="2"/>
  <c r="C808" i="2"/>
  <c r="B808" i="2"/>
  <c r="D807" i="2"/>
  <c r="C807" i="2"/>
  <c r="B807" i="2"/>
  <c r="D806" i="2"/>
  <c r="C806" i="2"/>
  <c r="B806" i="2"/>
  <c r="D805" i="2"/>
  <c r="C805" i="2"/>
  <c r="B805" i="2"/>
  <c r="D804" i="2"/>
  <c r="C804" i="2"/>
  <c r="B804" i="2"/>
  <c r="D803" i="2"/>
  <c r="C803" i="2"/>
  <c r="B803" i="2"/>
  <c r="D802" i="2"/>
  <c r="C802" i="2"/>
  <c r="B802" i="2"/>
  <c r="D801" i="2"/>
  <c r="C801" i="2"/>
  <c r="B801" i="2"/>
  <c r="D800" i="2"/>
  <c r="C800" i="2"/>
  <c r="B800" i="2"/>
  <c r="D799" i="2"/>
  <c r="C799" i="2"/>
  <c r="B799" i="2"/>
  <c r="D798" i="2"/>
  <c r="C798" i="2"/>
  <c r="B798" i="2"/>
  <c r="D797" i="2"/>
  <c r="C797" i="2"/>
  <c r="B797" i="2"/>
  <c r="D796" i="2"/>
  <c r="C796" i="2"/>
  <c r="B796" i="2"/>
  <c r="D795" i="2"/>
  <c r="C795" i="2"/>
  <c r="B795" i="2"/>
  <c r="D794" i="2"/>
  <c r="C794" i="2"/>
  <c r="B794" i="2"/>
  <c r="D793" i="2"/>
  <c r="C793" i="2"/>
  <c r="B793" i="2"/>
  <c r="D792" i="2"/>
  <c r="C792" i="2"/>
  <c r="B792" i="2"/>
  <c r="D791" i="2"/>
  <c r="C791" i="2"/>
  <c r="B791" i="2"/>
  <c r="D790" i="2"/>
  <c r="C790" i="2"/>
  <c r="B790" i="2"/>
  <c r="D789" i="2"/>
  <c r="C789" i="2"/>
  <c r="B789" i="2"/>
  <c r="D788" i="2"/>
  <c r="C788" i="2"/>
  <c r="B788" i="2"/>
  <c r="D787" i="2"/>
  <c r="C787" i="2"/>
  <c r="B787" i="2"/>
  <c r="D786" i="2"/>
  <c r="C786" i="2"/>
  <c r="B786" i="2"/>
  <c r="D785" i="2"/>
  <c r="C785" i="2"/>
  <c r="B785" i="2"/>
  <c r="D784" i="2"/>
  <c r="C784" i="2"/>
  <c r="B784" i="2"/>
  <c r="D783" i="2"/>
  <c r="C783" i="2"/>
  <c r="B783" i="2"/>
  <c r="D782" i="2"/>
  <c r="C782" i="2"/>
  <c r="B782" i="2"/>
  <c r="D781" i="2"/>
  <c r="C781" i="2"/>
  <c r="B781" i="2"/>
  <c r="D780" i="2"/>
  <c r="C780" i="2"/>
  <c r="B780" i="2"/>
  <c r="D779" i="2"/>
  <c r="C779" i="2"/>
  <c r="B779" i="2"/>
  <c r="D778" i="2"/>
  <c r="C778" i="2"/>
  <c r="B778" i="2"/>
  <c r="D777" i="2"/>
  <c r="C777" i="2"/>
  <c r="B777" i="2"/>
  <c r="D776" i="2"/>
  <c r="C776" i="2"/>
  <c r="B776" i="2"/>
  <c r="D775" i="2"/>
  <c r="C775" i="2"/>
  <c r="B775" i="2"/>
  <c r="D774" i="2"/>
  <c r="C774" i="2"/>
  <c r="B774" i="2"/>
  <c r="D773" i="2"/>
  <c r="C773" i="2"/>
  <c r="B773" i="2"/>
  <c r="D772" i="2"/>
  <c r="C772" i="2"/>
  <c r="B772" i="2"/>
  <c r="D771" i="2"/>
  <c r="C771" i="2"/>
  <c r="B771" i="2"/>
  <c r="D770" i="2"/>
  <c r="C770" i="2"/>
  <c r="B770" i="2"/>
  <c r="D769" i="2"/>
  <c r="C769" i="2"/>
  <c r="B769" i="2"/>
  <c r="D768" i="2"/>
  <c r="C768" i="2"/>
  <c r="B768" i="2"/>
  <c r="D767" i="2"/>
  <c r="C767" i="2"/>
  <c r="B767" i="2"/>
  <c r="D766" i="2"/>
  <c r="C766" i="2"/>
  <c r="B766" i="2"/>
  <c r="D765" i="2"/>
  <c r="C765" i="2"/>
  <c r="B765" i="2"/>
  <c r="D764" i="2"/>
  <c r="C764" i="2"/>
  <c r="B764" i="2"/>
  <c r="D763" i="2"/>
  <c r="C763" i="2"/>
  <c r="B763" i="2"/>
  <c r="D762" i="2"/>
  <c r="C762" i="2"/>
  <c r="B762" i="2"/>
  <c r="D761" i="2"/>
  <c r="C761" i="2"/>
  <c r="B761" i="2"/>
  <c r="D760" i="2"/>
  <c r="C760" i="2"/>
  <c r="B760" i="2"/>
  <c r="D759" i="2"/>
  <c r="C759" i="2"/>
  <c r="B759" i="2"/>
  <c r="D758" i="2"/>
  <c r="C758" i="2"/>
  <c r="B758" i="2"/>
  <c r="D757" i="2"/>
  <c r="C757" i="2"/>
  <c r="B757" i="2"/>
  <c r="D756" i="2"/>
  <c r="C756" i="2"/>
  <c r="B756" i="2"/>
  <c r="D755" i="2"/>
  <c r="C755" i="2"/>
  <c r="B755" i="2"/>
  <c r="D754" i="2"/>
  <c r="C754" i="2"/>
  <c r="B754" i="2"/>
  <c r="D753" i="2"/>
  <c r="C753" i="2"/>
  <c r="B753" i="2"/>
  <c r="D752" i="2"/>
  <c r="C752" i="2"/>
  <c r="B752" i="2"/>
  <c r="D751" i="2"/>
  <c r="C751" i="2"/>
  <c r="B751" i="2"/>
  <c r="D750" i="2"/>
  <c r="C750" i="2"/>
  <c r="B750" i="2"/>
  <c r="D749" i="2"/>
  <c r="C749" i="2"/>
  <c r="B749" i="2"/>
  <c r="D748" i="2"/>
  <c r="C748" i="2"/>
  <c r="B748" i="2"/>
  <c r="D747" i="2"/>
  <c r="C747" i="2"/>
  <c r="B747" i="2"/>
  <c r="D746" i="2"/>
  <c r="C746" i="2"/>
  <c r="B746" i="2"/>
  <c r="D745" i="2"/>
  <c r="C745" i="2"/>
  <c r="B745" i="2"/>
  <c r="D744" i="2"/>
  <c r="C744" i="2"/>
  <c r="B744" i="2"/>
  <c r="D743" i="2"/>
  <c r="C743" i="2"/>
  <c r="B743" i="2"/>
  <c r="D742" i="2"/>
  <c r="C742" i="2"/>
  <c r="B742" i="2"/>
  <c r="D741" i="2"/>
  <c r="C741" i="2"/>
  <c r="B741" i="2"/>
  <c r="D740" i="2"/>
  <c r="C740" i="2"/>
  <c r="B740" i="2"/>
  <c r="D739" i="2"/>
  <c r="C739" i="2"/>
  <c r="B739" i="2"/>
  <c r="D738" i="2"/>
  <c r="C738" i="2"/>
  <c r="B738" i="2"/>
  <c r="D737" i="2"/>
  <c r="C737" i="2"/>
  <c r="B737" i="2"/>
  <c r="D736" i="2"/>
  <c r="C736" i="2"/>
  <c r="B736" i="2"/>
  <c r="D735" i="2"/>
  <c r="C735" i="2"/>
  <c r="B735" i="2"/>
  <c r="D734" i="2"/>
  <c r="C734" i="2"/>
  <c r="B734" i="2"/>
  <c r="D733" i="2"/>
  <c r="C733" i="2"/>
  <c r="B733" i="2"/>
  <c r="D732" i="2"/>
  <c r="C732" i="2"/>
  <c r="B732" i="2"/>
  <c r="D731" i="2"/>
  <c r="C731" i="2"/>
  <c r="B731" i="2"/>
  <c r="D730" i="2"/>
  <c r="C730" i="2"/>
  <c r="B730" i="2"/>
  <c r="D729" i="2"/>
  <c r="C729" i="2"/>
  <c r="B729" i="2"/>
  <c r="D728" i="2"/>
  <c r="C728" i="2"/>
  <c r="B728" i="2"/>
  <c r="D727" i="2"/>
  <c r="C727" i="2"/>
  <c r="B727" i="2"/>
  <c r="D726" i="2"/>
  <c r="C726" i="2"/>
  <c r="B726" i="2"/>
  <c r="D725" i="2"/>
  <c r="C725" i="2"/>
  <c r="B725" i="2"/>
  <c r="D724" i="2"/>
  <c r="C724" i="2"/>
  <c r="B724" i="2"/>
  <c r="D723" i="2"/>
  <c r="C723" i="2"/>
  <c r="B723" i="2"/>
  <c r="D722" i="2"/>
  <c r="C722" i="2"/>
  <c r="B722" i="2"/>
  <c r="D721" i="2"/>
  <c r="C721" i="2"/>
  <c r="B721" i="2"/>
  <c r="D720" i="2"/>
  <c r="C720" i="2"/>
  <c r="B720" i="2"/>
  <c r="D719" i="2"/>
  <c r="C719" i="2"/>
  <c r="B719" i="2"/>
  <c r="D718" i="2"/>
  <c r="C718" i="2"/>
  <c r="B718" i="2"/>
  <c r="D717" i="2"/>
  <c r="C717" i="2"/>
  <c r="B717" i="2"/>
  <c r="D716" i="2"/>
  <c r="C716" i="2"/>
  <c r="B716" i="2"/>
  <c r="D715" i="2"/>
  <c r="C715" i="2"/>
  <c r="B715" i="2"/>
  <c r="D714" i="2"/>
  <c r="C714" i="2"/>
  <c r="B714" i="2"/>
  <c r="D713" i="2"/>
  <c r="C713" i="2"/>
  <c r="B713" i="2"/>
  <c r="D712" i="2"/>
  <c r="C712" i="2"/>
  <c r="B712" i="2"/>
  <c r="D711" i="2"/>
  <c r="C711" i="2"/>
  <c r="B711" i="2"/>
  <c r="D710" i="2"/>
  <c r="C710" i="2"/>
  <c r="B710" i="2"/>
  <c r="D709" i="2"/>
  <c r="C709" i="2"/>
  <c r="B709" i="2"/>
  <c r="D708" i="2"/>
  <c r="C708" i="2"/>
  <c r="B708" i="2"/>
  <c r="D707" i="2"/>
  <c r="C707" i="2"/>
  <c r="B707" i="2"/>
  <c r="D706" i="2"/>
  <c r="C706" i="2"/>
  <c r="B706" i="2"/>
  <c r="D705" i="2"/>
  <c r="C705" i="2"/>
  <c r="B705" i="2"/>
  <c r="D704" i="2"/>
  <c r="C704" i="2"/>
  <c r="B704" i="2"/>
  <c r="D703" i="2"/>
  <c r="C703" i="2"/>
  <c r="B703" i="2"/>
  <c r="D702" i="2"/>
  <c r="C702" i="2"/>
  <c r="B702" i="2"/>
  <c r="D701" i="2"/>
  <c r="C701" i="2"/>
  <c r="B701" i="2"/>
  <c r="D700" i="2"/>
  <c r="C700" i="2"/>
  <c r="B700" i="2"/>
  <c r="D699" i="2"/>
  <c r="C699" i="2"/>
  <c r="B699" i="2"/>
  <c r="D698" i="2"/>
  <c r="C698" i="2"/>
  <c r="B698" i="2"/>
  <c r="D697" i="2"/>
  <c r="C697" i="2"/>
  <c r="B697" i="2"/>
  <c r="D696" i="2"/>
  <c r="C696" i="2"/>
  <c r="B696" i="2"/>
  <c r="D695" i="2"/>
  <c r="C695" i="2"/>
  <c r="B695" i="2"/>
  <c r="D694" i="2"/>
  <c r="C694" i="2"/>
  <c r="B694" i="2"/>
  <c r="D693" i="2"/>
  <c r="C693" i="2"/>
  <c r="B693" i="2"/>
  <c r="D692" i="2"/>
  <c r="C692" i="2"/>
  <c r="B692" i="2"/>
  <c r="D691" i="2"/>
  <c r="C691" i="2"/>
  <c r="B691" i="2"/>
  <c r="D690" i="2"/>
  <c r="C690" i="2"/>
  <c r="B690" i="2"/>
  <c r="D689" i="2"/>
  <c r="C689" i="2"/>
  <c r="B689" i="2"/>
  <c r="D688" i="2"/>
  <c r="C688" i="2"/>
  <c r="B688" i="2"/>
  <c r="D687" i="2"/>
  <c r="C687" i="2"/>
  <c r="B687" i="2"/>
  <c r="D686" i="2"/>
  <c r="C686" i="2"/>
  <c r="B686" i="2"/>
  <c r="D685" i="2"/>
  <c r="C685" i="2"/>
  <c r="B685" i="2"/>
  <c r="D684" i="2"/>
  <c r="C684" i="2"/>
  <c r="B684" i="2"/>
  <c r="D683" i="2"/>
  <c r="C683" i="2"/>
  <c r="B683" i="2"/>
  <c r="D682" i="2"/>
  <c r="C682" i="2"/>
  <c r="B682" i="2"/>
  <c r="D681" i="2"/>
  <c r="C681" i="2"/>
  <c r="B681" i="2"/>
  <c r="D680" i="2"/>
  <c r="C680" i="2"/>
  <c r="B680" i="2"/>
  <c r="D679" i="2"/>
  <c r="C679" i="2"/>
  <c r="B679" i="2"/>
  <c r="D678" i="2"/>
  <c r="C678" i="2"/>
  <c r="B678" i="2"/>
  <c r="D677" i="2"/>
  <c r="C677" i="2"/>
  <c r="B677" i="2"/>
  <c r="D676" i="2"/>
  <c r="C676" i="2"/>
  <c r="B676" i="2"/>
  <c r="D675" i="2"/>
  <c r="C675" i="2"/>
  <c r="B675" i="2"/>
  <c r="D674" i="2"/>
  <c r="C674" i="2"/>
  <c r="B674" i="2"/>
  <c r="D673" i="2"/>
  <c r="C673" i="2"/>
  <c r="B673" i="2"/>
  <c r="D672" i="2"/>
  <c r="C672" i="2"/>
  <c r="B672" i="2"/>
  <c r="D671" i="2"/>
  <c r="C671" i="2"/>
  <c r="B671" i="2"/>
  <c r="D670" i="2"/>
  <c r="C670" i="2"/>
  <c r="B670" i="2"/>
  <c r="D669" i="2"/>
  <c r="C669" i="2"/>
  <c r="B669" i="2"/>
  <c r="D668" i="2"/>
  <c r="C668" i="2"/>
  <c r="B668" i="2"/>
  <c r="D667" i="2"/>
  <c r="C667" i="2"/>
  <c r="B667" i="2"/>
  <c r="D666" i="2"/>
  <c r="C666" i="2"/>
  <c r="B666" i="2"/>
  <c r="D665" i="2"/>
  <c r="C665" i="2"/>
  <c r="B665" i="2"/>
  <c r="D664" i="2"/>
  <c r="C664" i="2"/>
  <c r="B664" i="2"/>
  <c r="D663" i="2"/>
  <c r="C663" i="2"/>
  <c r="B663" i="2"/>
  <c r="D662" i="2"/>
  <c r="C662" i="2"/>
  <c r="B662" i="2"/>
  <c r="D661" i="2"/>
  <c r="C661" i="2"/>
  <c r="B661" i="2"/>
  <c r="D660" i="2"/>
  <c r="C660" i="2"/>
  <c r="B660" i="2"/>
  <c r="D659" i="2"/>
  <c r="C659" i="2"/>
  <c r="B659" i="2"/>
  <c r="D658" i="2"/>
  <c r="C658" i="2"/>
  <c r="B658" i="2"/>
  <c r="D657" i="2"/>
  <c r="C657" i="2"/>
  <c r="B657" i="2"/>
  <c r="D656" i="2"/>
  <c r="C656" i="2"/>
  <c r="B656" i="2"/>
  <c r="D655" i="2"/>
  <c r="C655" i="2"/>
  <c r="B655" i="2"/>
  <c r="D654" i="2"/>
  <c r="C654" i="2"/>
  <c r="B654" i="2"/>
  <c r="D653" i="2"/>
  <c r="C653" i="2"/>
  <c r="B653" i="2"/>
  <c r="D652" i="2"/>
  <c r="C652" i="2"/>
  <c r="B652" i="2"/>
  <c r="D651" i="2"/>
  <c r="C651" i="2"/>
  <c r="B651" i="2"/>
  <c r="D650" i="2"/>
  <c r="C650" i="2"/>
  <c r="B650" i="2"/>
  <c r="D649" i="2"/>
  <c r="C649" i="2"/>
  <c r="B649" i="2"/>
  <c r="D648" i="2"/>
  <c r="C648" i="2"/>
  <c r="B648" i="2"/>
  <c r="D647" i="2"/>
  <c r="C647" i="2"/>
  <c r="B647" i="2"/>
  <c r="D646" i="2"/>
  <c r="C646" i="2"/>
  <c r="B646" i="2"/>
  <c r="D645" i="2"/>
  <c r="C645" i="2"/>
  <c r="B645" i="2"/>
  <c r="D644" i="2"/>
  <c r="C644" i="2"/>
  <c r="B644" i="2"/>
  <c r="D643" i="2"/>
  <c r="C643" i="2"/>
  <c r="B643" i="2"/>
  <c r="D642" i="2"/>
  <c r="C642" i="2"/>
  <c r="B642" i="2"/>
  <c r="D641" i="2"/>
  <c r="C641" i="2"/>
  <c r="B641" i="2"/>
  <c r="D640" i="2"/>
  <c r="C640" i="2"/>
  <c r="B640" i="2"/>
  <c r="D639" i="2"/>
  <c r="C639" i="2"/>
  <c r="B639" i="2"/>
  <c r="D638" i="2"/>
  <c r="C638" i="2"/>
  <c r="B638" i="2"/>
  <c r="D637" i="2"/>
  <c r="C637" i="2"/>
  <c r="B637" i="2"/>
  <c r="D636" i="2"/>
  <c r="C636" i="2"/>
  <c r="B636" i="2"/>
  <c r="D635" i="2"/>
  <c r="C635" i="2"/>
  <c r="B635" i="2"/>
  <c r="D634" i="2"/>
  <c r="C634" i="2"/>
  <c r="B634" i="2"/>
  <c r="D633" i="2"/>
  <c r="C633" i="2"/>
  <c r="B633" i="2"/>
  <c r="D632" i="2"/>
  <c r="C632" i="2"/>
  <c r="B632" i="2"/>
  <c r="D631" i="2"/>
  <c r="C631" i="2"/>
  <c r="B631" i="2"/>
  <c r="D630" i="2"/>
  <c r="C630" i="2"/>
  <c r="B630" i="2"/>
  <c r="D629" i="2"/>
  <c r="C629" i="2"/>
  <c r="B629" i="2"/>
  <c r="D628" i="2"/>
  <c r="C628" i="2"/>
  <c r="B628" i="2"/>
  <c r="D627" i="2"/>
  <c r="C627" i="2"/>
  <c r="B627" i="2"/>
  <c r="D626" i="2"/>
  <c r="C626" i="2"/>
  <c r="B626" i="2"/>
  <c r="D625" i="2"/>
  <c r="C625" i="2"/>
  <c r="B625" i="2"/>
  <c r="D624" i="2"/>
  <c r="C624" i="2"/>
  <c r="B624" i="2"/>
  <c r="D623" i="2"/>
  <c r="C623" i="2"/>
  <c r="B623" i="2"/>
  <c r="D622" i="2"/>
  <c r="C622" i="2"/>
  <c r="B622" i="2"/>
  <c r="D621" i="2"/>
  <c r="C621" i="2"/>
  <c r="B621" i="2"/>
  <c r="D620" i="2"/>
  <c r="C620" i="2"/>
  <c r="B620" i="2"/>
  <c r="D619" i="2"/>
  <c r="C619" i="2"/>
  <c r="B619" i="2"/>
  <c r="D618" i="2"/>
  <c r="C618" i="2"/>
  <c r="B618" i="2"/>
  <c r="D617" i="2"/>
  <c r="C617" i="2"/>
  <c r="B617" i="2"/>
  <c r="D616" i="2"/>
  <c r="C616" i="2"/>
  <c r="B616" i="2"/>
  <c r="D615" i="2"/>
  <c r="C615" i="2"/>
  <c r="B615" i="2"/>
  <c r="D614" i="2"/>
  <c r="C614" i="2"/>
  <c r="B614" i="2"/>
  <c r="D613" i="2"/>
  <c r="C613" i="2"/>
  <c r="B613" i="2"/>
  <c r="D612" i="2"/>
  <c r="C612" i="2"/>
  <c r="B612" i="2"/>
  <c r="D611" i="2"/>
  <c r="C611" i="2"/>
  <c r="B611" i="2"/>
  <c r="D610" i="2"/>
  <c r="C610" i="2"/>
  <c r="B610" i="2"/>
  <c r="D609" i="2"/>
  <c r="C609" i="2"/>
  <c r="B609" i="2"/>
  <c r="D608" i="2"/>
  <c r="C608" i="2"/>
  <c r="B608" i="2"/>
  <c r="D607" i="2"/>
  <c r="C607" i="2"/>
  <c r="B607" i="2"/>
  <c r="D606" i="2"/>
  <c r="C606" i="2"/>
  <c r="B606" i="2"/>
  <c r="D605" i="2"/>
  <c r="C605" i="2"/>
  <c r="B605" i="2"/>
  <c r="D604" i="2"/>
  <c r="C604" i="2"/>
  <c r="B604" i="2"/>
  <c r="D603" i="2"/>
  <c r="C603" i="2"/>
  <c r="B603" i="2"/>
  <c r="D602" i="2"/>
  <c r="C602" i="2"/>
  <c r="B602" i="2"/>
  <c r="D601" i="2"/>
  <c r="C601" i="2"/>
  <c r="B601" i="2"/>
  <c r="D600" i="2"/>
  <c r="C600" i="2"/>
  <c r="B600" i="2"/>
  <c r="D599" i="2"/>
  <c r="C599" i="2"/>
  <c r="B599" i="2"/>
  <c r="D598" i="2"/>
  <c r="C598" i="2"/>
  <c r="B598" i="2"/>
  <c r="D597" i="2"/>
  <c r="C597" i="2"/>
  <c r="B597" i="2"/>
  <c r="D596" i="2"/>
  <c r="C596" i="2"/>
  <c r="B596" i="2"/>
  <c r="D595" i="2"/>
  <c r="C595" i="2"/>
  <c r="B595" i="2"/>
  <c r="D594" i="2"/>
  <c r="C594" i="2"/>
  <c r="B594" i="2"/>
  <c r="D593" i="2"/>
  <c r="C593" i="2"/>
  <c r="B593" i="2"/>
  <c r="D592" i="2"/>
  <c r="C592" i="2"/>
  <c r="B592" i="2"/>
  <c r="D591" i="2"/>
  <c r="C591" i="2"/>
  <c r="B591" i="2"/>
  <c r="D590" i="2"/>
  <c r="C590" i="2"/>
  <c r="B590" i="2"/>
  <c r="D589" i="2"/>
  <c r="C589" i="2"/>
  <c r="B589" i="2"/>
  <c r="D588" i="2"/>
  <c r="C588" i="2"/>
  <c r="B588" i="2"/>
  <c r="D587" i="2"/>
  <c r="C587" i="2"/>
  <c r="B587" i="2"/>
  <c r="D586" i="2"/>
  <c r="C586" i="2"/>
  <c r="B586" i="2"/>
  <c r="D585" i="2"/>
  <c r="C585" i="2"/>
  <c r="B585" i="2"/>
  <c r="D584" i="2"/>
  <c r="C584" i="2"/>
  <c r="B584" i="2"/>
  <c r="D583" i="2"/>
  <c r="C583" i="2"/>
  <c r="B583" i="2"/>
  <c r="D582" i="2"/>
  <c r="C582" i="2"/>
  <c r="B582" i="2"/>
  <c r="D581" i="2"/>
  <c r="C581" i="2"/>
  <c r="B581" i="2"/>
  <c r="D580" i="2"/>
  <c r="C580" i="2"/>
  <c r="B580" i="2"/>
  <c r="D579" i="2"/>
  <c r="C579" i="2"/>
  <c r="B579" i="2"/>
  <c r="D578" i="2"/>
  <c r="C578" i="2"/>
  <c r="B578" i="2"/>
  <c r="D577" i="2"/>
  <c r="C577" i="2"/>
  <c r="B577" i="2"/>
  <c r="D576" i="2"/>
  <c r="C576" i="2"/>
  <c r="B576" i="2"/>
  <c r="D575" i="2"/>
  <c r="C575" i="2"/>
  <c r="B575" i="2"/>
  <c r="D574" i="2"/>
  <c r="C574" i="2"/>
  <c r="B574" i="2"/>
  <c r="D573" i="2"/>
  <c r="C573" i="2"/>
  <c r="B573" i="2"/>
  <c r="D572" i="2"/>
  <c r="C572" i="2"/>
  <c r="B572" i="2"/>
  <c r="D571" i="2"/>
  <c r="C571" i="2"/>
  <c r="B571" i="2"/>
  <c r="D570" i="2"/>
  <c r="C570" i="2"/>
  <c r="B570" i="2"/>
  <c r="D569" i="2"/>
  <c r="C569" i="2"/>
  <c r="B569" i="2"/>
  <c r="D568" i="2"/>
  <c r="C568" i="2"/>
  <c r="B568" i="2"/>
  <c r="D567" i="2"/>
  <c r="C567" i="2"/>
  <c r="B567" i="2"/>
  <c r="D566" i="2"/>
  <c r="C566" i="2"/>
  <c r="B566" i="2"/>
  <c r="D565" i="2"/>
  <c r="C565" i="2"/>
  <c r="B565" i="2"/>
  <c r="D564" i="2"/>
  <c r="C564" i="2"/>
  <c r="B564" i="2"/>
  <c r="D563" i="2"/>
  <c r="C563" i="2"/>
  <c r="B563" i="2"/>
  <c r="D562" i="2"/>
  <c r="C562" i="2"/>
  <c r="B562" i="2"/>
  <c r="D561" i="2"/>
  <c r="C561" i="2"/>
  <c r="B561" i="2"/>
  <c r="D560" i="2"/>
  <c r="C560" i="2"/>
  <c r="B560" i="2"/>
  <c r="D559" i="2"/>
  <c r="C559" i="2"/>
  <c r="B559" i="2"/>
  <c r="D558" i="2"/>
  <c r="C558" i="2"/>
  <c r="B558" i="2"/>
  <c r="D557" i="2"/>
  <c r="C557" i="2"/>
  <c r="B557" i="2"/>
  <c r="D556" i="2"/>
  <c r="C556" i="2"/>
  <c r="B556" i="2"/>
  <c r="D555" i="2"/>
  <c r="C555" i="2"/>
  <c r="B555" i="2"/>
  <c r="D554" i="2"/>
  <c r="C554" i="2"/>
  <c r="B554" i="2"/>
  <c r="D553" i="2"/>
  <c r="C553" i="2"/>
  <c r="B553" i="2"/>
  <c r="D552" i="2"/>
  <c r="C552" i="2"/>
  <c r="B552" i="2"/>
  <c r="D551" i="2"/>
  <c r="C551" i="2"/>
  <c r="B551" i="2"/>
  <c r="D550" i="2"/>
  <c r="C550" i="2"/>
  <c r="B550" i="2"/>
  <c r="D549" i="2"/>
  <c r="C549" i="2"/>
  <c r="B549" i="2"/>
  <c r="D548" i="2"/>
  <c r="C548" i="2"/>
  <c r="B548" i="2"/>
  <c r="D547" i="2"/>
  <c r="C547" i="2"/>
  <c r="B547" i="2"/>
  <c r="D546" i="2"/>
  <c r="C546" i="2"/>
  <c r="B546" i="2"/>
  <c r="D545" i="2"/>
  <c r="C545" i="2"/>
  <c r="B545" i="2"/>
  <c r="D544" i="2"/>
  <c r="C544" i="2"/>
  <c r="B544" i="2"/>
  <c r="D543" i="2"/>
  <c r="C543" i="2"/>
  <c r="B543" i="2"/>
  <c r="D542" i="2"/>
  <c r="C542" i="2"/>
  <c r="B542" i="2"/>
  <c r="D541" i="2"/>
  <c r="C541" i="2"/>
  <c r="B541" i="2"/>
  <c r="D540" i="2"/>
  <c r="C540" i="2"/>
  <c r="B540" i="2"/>
  <c r="D539" i="2"/>
  <c r="C539" i="2"/>
  <c r="B539" i="2"/>
  <c r="D538" i="2"/>
  <c r="C538" i="2"/>
  <c r="B538" i="2"/>
  <c r="D537" i="2"/>
  <c r="C537" i="2"/>
  <c r="B537" i="2"/>
  <c r="D536" i="2"/>
  <c r="C536" i="2"/>
  <c r="B536" i="2"/>
  <c r="D535" i="2"/>
  <c r="C535" i="2"/>
  <c r="B535" i="2"/>
  <c r="D534" i="2"/>
  <c r="C534" i="2"/>
  <c r="B534" i="2"/>
  <c r="D533" i="2"/>
  <c r="C533" i="2"/>
  <c r="B533" i="2"/>
  <c r="D532" i="2"/>
  <c r="C532" i="2"/>
  <c r="B532" i="2"/>
  <c r="D531" i="2"/>
  <c r="C531" i="2"/>
  <c r="B531" i="2"/>
  <c r="D530" i="2"/>
  <c r="C530" i="2"/>
  <c r="B530" i="2"/>
  <c r="D529" i="2"/>
  <c r="C529" i="2"/>
  <c r="B529" i="2"/>
  <c r="D528" i="2"/>
  <c r="C528" i="2"/>
  <c r="B528" i="2"/>
  <c r="D527" i="2"/>
  <c r="C527" i="2"/>
  <c r="B527" i="2"/>
  <c r="D526" i="2"/>
  <c r="C526" i="2"/>
  <c r="B526" i="2"/>
  <c r="D525" i="2"/>
  <c r="C525" i="2"/>
  <c r="B525" i="2"/>
  <c r="D524" i="2"/>
  <c r="C524" i="2"/>
  <c r="B524" i="2"/>
  <c r="D523" i="2"/>
  <c r="C523" i="2"/>
  <c r="B523" i="2"/>
  <c r="D522" i="2"/>
  <c r="C522" i="2"/>
  <c r="B522" i="2"/>
  <c r="D521" i="2"/>
  <c r="C521" i="2"/>
  <c r="B521" i="2"/>
  <c r="D520" i="2"/>
  <c r="C520" i="2"/>
  <c r="B520" i="2"/>
  <c r="D519" i="2"/>
  <c r="C519" i="2"/>
  <c r="B519" i="2"/>
  <c r="D518" i="2"/>
  <c r="C518" i="2"/>
  <c r="B518" i="2"/>
  <c r="D517" i="2"/>
  <c r="C517" i="2"/>
  <c r="B517" i="2"/>
  <c r="D516" i="2"/>
  <c r="C516" i="2"/>
  <c r="B516" i="2"/>
  <c r="D515" i="2"/>
  <c r="C515" i="2"/>
  <c r="B515" i="2"/>
  <c r="D514" i="2"/>
  <c r="C514" i="2"/>
  <c r="B514" i="2"/>
  <c r="D513" i="2"/>
  <c r="C513" i="2"/>
  <c r="B513" i="2"/>
  <c r="D512" i="2"/>
  <c r="C512" i="2"/>
  <c r="B512" i="2"/>
  <c r="D511" i="2"/>
  <c r="C511" i="2"/>
  <c r="B511" i="2"/>
  <c r="D510" i="2"/>
  <c r="C510" i="2"/>
  <c r="B510" i="2"/>
  <c r="D509" i="2"/>
  <c r="C509" i="2"/>
  <c r="B509" i="2"/>
  <c r="D508" i="2"/>
  <c r="C508" i="2"/>
  <c r="B508" i="2"/>
  <c r="D507" i="2"/>
  <c r="C507" i="2"/>
  <c r="B507" i="2"/>
  <c r="D506" i="2"/>
  <c r="C506" i="2"/>
  <c r="B506" i="2"/>
  <c r="D505" i="2"/>
  <c r="C505" i="2"/>
  <c r="B505" i="2"/>
  <c r="D504" i="2"/>
  <c r="C504" i="2"/>
  <c r="B504" i="2"/>
  <c r="D503" i="2"/>
  <c r="C503" i="2"/>
  <c r="B503" i="2"/>
  <c r="D502" i="2"/>
  <c r="C502" i="2"/>
  <c r="B502" i="2"/>
  <c r="D501" i="2"/>
  <c r="C501" i="2"/>
  <c r="B501" i="2"/>
  <c r="D500" i="2"/>
  <c r="C500" i="2"/>
  <c r="B500" i="2"/>
  <c r="D499" i="2"/>
  <c r="C499" i="2"/>
  <c r="B499" i="2"/>
  <c r="D498" i="2"/>
  <c r="C498" i="2"/>
  <c r="B498" i="2"/>
  <c r="D497" i="2"/>
  <c r="C497" i="2"/>
  <c r="B497" i="2"/>
  <c r="D496" i="2"/>
  <c r="C496" i="2"/>
  <c r="B496" i="2"/>
  <c r="D495" i="2"/>
  <c r="C495" i="2"/>
  <c r="B495" i="2"/>
  <c r="D494" i="2"/>
  <c r="C494" i="2"/>
  <c r="B494" i="2"/>
  <c r="D493" i="2"/>
  <c r="C493" i="2"/>
  <c r="B493" i="2"/>
  <c r="D492" i="2"/>
  <c r="C492" i="2"/>
  <c r="B492" i="2"/>
  <c r="D491" i="2"/>
  <c r="C491" i="2"/>
  <c r="B491" i="2"/>
  <c r="D490" i="2"/>
  <c r="C490" i="2"/>
  <c r="B490" i="2"/>
  <c r="D489" i="2"/>
  <c r="C489" i="2"/>
  <c r="B489" i="2"/>
  <c r="D488" i="2"/>
  <c r="C488" i="2"/>
  <c r="B488" i="2"/>
  <c r="D487" i="2"/>
  <c r="C487" i="2"/>
  <c r="B487" i="2"/>
  <c r="D486" i="2"/>
  <c r="C486" i="2"/>
  <c r="B486" i="2"/>
  <c r="D485" i="2"/>
  <c r="C485" i="2"/>
  <c r="B485" i="2"/>
  <c r="D484" i="2"/>
  <c r="C484" i="2"/>
  <c r="B484" i="2"/>
  <c r="D483" i="2"/>
  <c r="C483" i="2"/>
  <c r="B483" i="2"/>
  <c r="D482" i="2"/>
  <c r="C482" i="2"/>
  <c r="B482" i="2"/>
  <c r="D481" i="2"/>
  <c r="C481" i="2"/>
  <c r="B481" i="2"/>
  <c r="D480" i="2"/>
  <c r="C480" i="2"/>
  <c r="B480" i="2"/>
  <c r="D479" i="2"/>
  <c r="C479" i="2"/>
  <c r="B479" i="2"/>
  <c r="D478" i="2"/>
  <c r="C478" i="2"/>
  <c r="B478" i="2"/>
  <c r="D477" i="2"/>
  <c r="C477" i="2"/>
  <c r="B477" i="2"/>
  <c r="D476" i="2"/>
  <c r="C476" i="2"/>
  <c r="B476" i="2"/>
  <c r="D475" i="2"/>
  <c r="C475" i="2"/>
  <c r="B475" i="2"/>
  <c r="D474" i="2"/>
  <c r="C474" i="2"/>
  <c r="B474" i="2"/>
  <c r="D473" i="2"/>
  <c r="C473" i="2"/>
  <c r="B473" i="2"/>
  <c r="D472" i="2"/>
  <c r="C472" i="2"/>
  <c r="B472" i="2"/>
  <c r="D471" i="2"/>
  <c r="C471" i="2"/>
  <c r="B471" i="2"/>
  <c r="D470" i="2"/>
  <c r="C470" i="2"/>
  <c r="B470" i="2"/>
  <c r="D469" i="2"/>
  <c r="C469" i="2"/>
  <c r="B469" i="2"/>
  <c r="D468" i="2"/>
  <c r="C468" i="2"/>
  <c r="B468" i="2"/>
  <c r="D467" i="2"/>
  <c r="C467" i="2"/>
  <c r="B467" i="2"/>
  <c r="D466" i="2"/>
  <c r="C466" i="2"/>
  <c r="B466" i="2"/>
  <c r="D465" i="2"/>
  <c r="C465" i="2"/>
  <c r="B465" i="2"/>
  <c r="D464" i="2"/>
  <c r="C464" i="2"/>
  <c r="B464" i="2"/>
  <c r="D463" i="2"/>
  <c r="C463" i="2"/>
  <c r="B463" i="2"/>
  <c r="D462" i="2"/>
  <c r="C462" i="2"/>
  <c r="B462" i="2"/>
  <c r="D461" i="2"/>
  <c r="C461" i="2"/>
  <c r="B461" i="2"/>
  <c r="D460" i="2"/>
  <c r="C460" i="2"/>
  <c r="B460" i="2"/>
  <c r="D459" i="2"/>
  <c r="C459" i="2"/>
  <c r="B459" i="2"/>
  <c r="D458" i="2"/>
  <c r="C458" i="2"/>
  <c r="B458" i="2"/>
  <c r="D457" i="2"/>
  <c r="C457" i="2"/>
  <c r="B457" i="2"/>
  <c r="D456" i="2"/>
  <c r="C456" i="2"/>
  <c r="B456" i="2"/>
  <c r="D455" i="2"/>
  <c r="C455" i="2"/>
  <c r="B455" i="2"/>
  <c r="D454" i="2"/>
  <c r="C454" i="2"/>
  <c r="B454" i="2"/>
  <c r="D453" i="2"/>
  <c r="C453" i="2"/>
  <c r="B453" i="2"/>
  <c r="D452" i="2"/>
  <c r="C452" i="2"/>
  <c r="B452" i="2"/>
  <c r="D451" i="2"/>
  <c r="C451" i="2"/>
  <c r="B451" i="2"/>
  <c r="D450" i="2"/>
  <c r="C450" i="2"/>
  <c r="B450" i="2"/>
  <c r="D449" i="2"/>
  <c r="C449" i="2"/>
  <c r="B449" i="2"/>
  <c r="D448" i="2"/>
  <c r="C448" i="2"/>
  <c r="B448" i="2"/>
  <c r="D447" i="2"/>
  <c r="C447" i="2"/>
  <c r="B447" i="2"/>
  <c r="D446" i="2"/>
  <c r="C446" i="2"/>
  <c r="B446" i="2"/>
  <c r="D445" i="2"/>
  <c r="C445" i="2"/>
  <c r="B445" i="2"/>
  <c r="D444" i="2"/>
  <c r="C444" i="2"/>
  <c r="B444" i="2"/>
  <c r="D443" i="2"/>
  <c r="C443" i="2"/>
  <c r="B443" i="2"/>
  <c r="D442" i="2"/>
  <c r="C442" i="2"/>
  <c r="B442" i="2"/>
  <c r="D441" i="2"/>
  <c r="C441" i="2"/>
  <c r="B441" i="2"/>
  <c r="D440" i="2"/>
  <c r="C440" i="2"/>
  <c r="B440" i="2"/>
  <c r="D439" i="2"/>
  <c r="C439" i="2"/>
  <c r="B439" i="2"/>
  <c r="D438" i="2"/>
  <c r="C438" i="2"/>
  <c r="B438" i="2"/>
  <c r="D437" i="2"/>
  <c r="C437" i="2"/>
  <c r="B437" i="2"/>
  <c r="D436" i="2"/>
  <c r="C436" i="2"/>
  <c r="B436" i="2"/>
  <c r="D435" i="2"/>
  <c r="C435" i="2"/>
  <c r="B435" i="2"/>
  <c r="D434" i="2"/>
  <c r="C434" i="2"/>
  <c r="B434" i="2"/>
  <c r="D433" i="2"/>
  <c r="C433" i="2"/>
  <c r="B433" i="2"/>
  <c r="D432" i="2"/>
  <c r="C432" i="2"/>
  <c r="B432" i="2"/>
  <c r="D431" i="2"/>
  <c r="C431" i="2"/>
  <c r="B431" i="2"/>
  <c r="D430" i="2"/>
  <c r="C430" i="2"/>
  <c r="B430" i="2"/>
  <c r="D429" i="2"/>
  <c r="C429" i="2"/>
  <c r="B429" i="2"/>
  <c r="D428" i="2"/>
  <c r="C428" i="2"/>
  <c r="B428" i="2"/>
  <c r="D427" i="2"/>
  <c r="C427" i="2"/>
  <c r="B427" i="2"/>
  <c r="D426" i="2"/>
  <c r="C426" i="2"/>
  <c r="B426" i="2"/>
  <c r="D425" i="2"/>
  <c r="C425" i="2"/>
  <c r="B425" i="2"/>
  <c r="D424" i="2"/>
  <c r="C424" i="2"/>
  <c r="B424" i="2"/>
  <c r="D423" i="2"/>
  <c r="C423" i="2"/>
  <c r="B423" i="2"/>
  <c r="D422" i="2"/>
  <c r="C422" i="2"/>
  <c r="B422" i="2"/>
  <c r="D421" i="2"/>
  <c r="C421" i="2"/>
  <c r="B421" i="2"/>
  <c r="D420" i="2"/>
  <c r="C420" i="2"/>
  <c r="B420" i="2"/>
  <c r="D419" i="2"/>
  <c r="C419" i="2"/>
  <c r="B419" i="2"/>
  <c r="D418" i="2"/>
  <c r="C418" i="2"/>
  <c r="B418" i="2"/>
  <c r="D417" i="2"/>
  <c r="C417" i="2"/>
  <c r="B417" i="2"/>
  <c r="D416" i="2"/>
  <c r="C416" i="2"/>
  <c r="B416" i="2"/>
  <c r="D415" i="2"/>
  <c r="C415" i="2"/>
  <c r="B415" i="2"/>
  <c r="D414" i="2"/>
  <c r="C414" i="2"/>
  <c r="B414" i="2"/>
  <c r="D413" i="2"/>
  <c r="C413" i="2"/>
  <c r="B413" i="2"/>
  <c r="D412" i="2"/>
  <c r="C412" i="2"/>
  <c r="B412" i="2"/>
  <c r="D411" i="2"/>
  <c r="C411" i="2"/>
  <c r="B411" i="2"/>
  <c r="D410" i="2"/>
  <c r="C410" i="2"/>
  <c r="B410" i="2"/>
  <c r="D409" i="2"/>
  <c r="C409" i="2"/>
  <c r="B409" i="2"/>
  <c r="D408" i="2"/>
  <c r="C408" i="2"/>
  <c r="B408" i="2"/>
  <c r="D407" i="2"/>
  <c r="C407" i="2"/>
  <c r="B407" i="2"/>
  <c r="D406" i="2"/>
  <c r="C406" i="2"/>
  <c r="B406" i="2"/>
  <c r="D405" i="2"/>
  <c r="C405" i="2"/>
  <c r="B405" i="2"/>
  <c r="D404" i="2"/>
  <c r="C404" i="2"/>
  <c r="B404" i="2"/>
  <c r="D403" i="2"/>
  <c r="C403" i="2"/>
  <c r="B403" i="2"/>
  <c r="D402" i="2"/>
  <c r="C402" i="2"/>
  <c r="B402" i="2"/>
  <c r="D401" i="2"/>
  <c r="C401" i="2"/>
  <c r="B401" i="2"/>
  <c r="D400" i="2"/>
  <c r="C400" i="2"/>
  <c r="B400" i="2"/>
  <c r="D399" i="2"/>
  <c r="C399" i="2"/>
  <c r="B399" i="2"/>
  <c r="D398" i="2"/>
  <c r="C398" i="2"/>
  <c r="B398" i="2"/>
  <c r="D397" i="2"/>
  <c r="C397" i="2"/>
  <c r="B397" i="2"/>
  <c r="D396" i="2"/>
  <c r="C396" i="2"/>
  <c r="B396" i="2"/>
  <c r="D395" i="2"/>
  <c r="C395" i="2"/>
  <c r="B395" i="2"/>
  <c r="D394" i="2"/>
  <c r="C394" i="2"/>
  <c r="B394" i="2"/>
  <c r="D393" i="2"/>
  <c r="C393" i="2"/>
  <c r="B393" i="2"/>
  <c r="D392" i="2"/>
  <c r="C392" i="2"/>
  <c r="B392" i="2"/>
  <c r="D391" i="2"/>
  <c r="C391" i="2"/>
  <c r="B391" i="2"/>
  <c r="D390" i="2"/>
  <c r="C390" i="2"/>
  <c r="B390" i="2"/>
  <c r="D389" i="2"/>
  <c r="C389" i="2"/>
  <c r="B389" i="2"/>
  <c r="D388" i="2"/>
  <c r="C388" i="2"/>
  <c r="B388" i="2"/>
  <c r="D387" i="2"/>
  <c r="C387" i="2"/>
  <c r="B387" i="2"/>
  <c r="D386" i="2"/>
  <c r="C386" i="2"/>
  <c r="B386" i="2"/>
  <c r="D385" i="2"/>
  <c r="C385" i="2"/>
  <c r="B385" i="2"/>
  <c r="D384" i="2"/>
  <c r="C384" i="2"/>
  <c r="B384" i="2"/>
  <c r="D383" i="2"/>
  <c r="C383" i="2"/>
  <c r="B383" i="2"/>
  <c r="D382" i="2"/>
  <c r="C382" i="2"/>
  <c r="B382" i="2"/>
  <c r="D381" i="2"/>
  <c r="C381" i="2"/>
  <c r="B381" i="2"/>
  <c r="D380" i="2"/>
  <c r="C380" i="2"/>
  <c r="B380" i="2"/>
  <c r="D379" i="2"/>
  <c r="C379" i="2"/>
  <c r="B379" i="2"/>
  <c r="D378" i="2"/>
  <c r="C378" i="2"/>
  <c r="B378" i="2"/>
  <c r="D377" i="2"/>
  <c r="C377" i="2"/>
  <c r="B377" i="2"/>
  <c r="D376" i="2"/>
  <c r="C376" i="2"/>
  <c r="B376" i="2"/>
  <c r="D375" i="2"/>
  <c r="C375" i="2"/>
  <c r="B375" i="2"/>
  <c r="D374" i="2"/>
  <c r="C374" i="2"/>
  <c r="B374" i="2"/>
  <c r="D373" i="2"/>
  <c r="C373" i="2"/>
  <c r="B373" i="2"/>
  <c r="D372" i="2"/>
  <c r="C372" i="2"/>
  <c r="B372" i="2"/>
  <c r="D371" i="2"/>
  <c r="C371" i="2"/>
  <c r="B371" i="2"/>
  <c r="D370" i="2"/>
  <c r="C370" i="2"/>
  <c r="B370" i="2"/>
  <c r="D369" i="2"/>
  <c r="C369" i="2"/>
  <c r="B369" i="2"/>
  <c r="D368" i="2"/>
  <c r="C368" i="2"/>
  <c r="B368" i="2"/>
  <c r="D367" i="2"/>
  <c r="C367" i="2"/>
  <c r="B367" i="2"/>
  <c r="D366" i="2"/>
  <c r="C366" i="2"/>
  <c r="B366" i="2"/>
  <c r="D365" i="2"/>
  <c r="C365" i="2"/>
  <c r="B365" i="2"/>
  <c r="D364" i="2"/>
  <c r="C364" i="2"/>
  <c r="B364" i="2"/>
  <c r="D363" i="2"/>
  <c r="C363" i="2"/>
  <c r="B363" i="2"/>
  <c r="D362" i="2"/>
  <c r="C362" i="2"/>
  <c r="B362" i="2"/>
  <c r="D361" i="2"/>
  <c r="C361" i="2"/>
  <c r="B361" i="2"/>
  <c r="D360" i="2"/>
  <c r="C360" i="2"/>
  <c r="B360" i="2"/>
  <c r="D359" i="2"/>
  <c r="C359" i="2"/>
  <c r="B359" i="2"/>
  <c r="D358" i="2"/>
  <c r="C358" i="2"/>
  <c r="B358" i="2"/>
  <c r="D357" i="2"/>
  <c r="C357" i="2"/>
  <c r="B357" i="2"/>
  <c r="D356" i="2"/>
  <c r="C356" i="2"/>
  <c r="B356" i="2"/>
  <c r="D355" i="2"/>
  <c r="C355" i="2"/>
  <c r="B355" i="2"/>
  <c r="D354" i="2"/>
  <c r="C354" i="2"/>
  <c r="B354" i="2"/>
  <c r="D353" i="2"/>
  <c r="C353" i="2"/>
  <c r="B353" i="2"/>
  <c r="D352" i="2"/>
  <c r="C352" i="2"/>
  <c r="B352" i="2"/>
  <c r="D351" i="2"/>
  <c r="C351" i="2"/>
  <c r="B351" i="2"/>
  <c r="D350" i="2"/>
  <c r="C350" i="2"/>
  <c r="B350" i="2"/>
  <c r="D349" i="2"/>
  <c r="C349" i="2"/>
  <c r="B349" i="2"/>
  <c r="D348" i="2"/>
  <c r="C348" i="2"/>
  <c r="B348" i="2"/>
  <c r="D347" i="2"/>
  <c r="C347" i="2"/>
  <c r="B347" i="2"/>
  <c r="D346" i="2"/>
  <c r="C346" i="2"/>
  <c r="B346" i="2"/>
  <c r="D345" i="2"/>
  <c r="C345" i="2"/>
  <c r="B345" i="2"/>
  <c r="D344" i="2"/>
  <c r="C344" i="2"/>
  <c r="B344" i="2"/>
  <c r="D343" i="2"/>
  <c r="C343" i="2"/>
  <c r="B343" i="2"/>
  <c r="D342" i="2"/>
  <c r="C342" i="2"/>
  <c r="B342" i="2"/>
  <c r="D341" i="2"/>
  <c r="C341" i="2"/>
  <c r="B341" i="2"/>
  <c r="D340" i="2"/>
  <c r="C340" i="2"/>
  <c r="B340" i="2"/>
  <c r="D339" i="2"/>
  <c r="C339" i="2"/>
  <c r="B339" i="2"/>
  <c r="D338" i="2"/>
  <c r="C338" i="2"/>
  <c r="B338" i="2"/>
  <c r="D337" i="2"/>
  <c r="C337" i="2"/>
  <c r="B337" i="2"/>
  <c r="D336" i="2"/>
  <c r="C336" i="2"/>
  <c r="B336" i="2"/>
  <c r="D335" i="2"/>
  <c r="C335" i="2"/>
  <c r="B335" i="2"/>
  <c r="D334" i="2"/>
  <c r="C334" i="2"/>
  <c r="B334" i="2"/>
  <c r="D333" i="2"/>
  <c r="C333" i="2"/>
  <c r="B333" i="2"/>
  <c r="D332" i="2"/>
  <c r="C332" i="2"/>
  <c r="B332" i="2"/>
  <c r="D331" i="2"/>
  <c r="C331" i="2"/>
  <c r="B331" i="2"/>
  <c r="D330" i="2"/>
  <c r="C330" i="2"/>
  <c r="B330" i="2"/>
  <c r="D329" i="2"/>
  <c r="C329" i="2"/>
  <c r="B329" i="2"/>
  <c r="D328" i="2"/>
  <c r="C328" i="2"/>
  <c r="B328" i="2"/>
  <c r="D327" i="2"/>
  <c r="C327" i="2"/>
  <c r="B327" i="2"/>
  <c r="D326" i="2"/>
  <c r="C326" i="2"/>
  <c r="B326" i="2"/>
  <c r="D325" i="2"/>
  <c r="C325" i="2"/>
  <c r="B325" i="2"/>
  <c r="D324" i="2"/>
  <c r="C324" i="2"/>
  <c r="B324" i="2"/>
  <c r="D323" i="2"/>
  <c r="C323" i="2"/>
  <c r="B323" i="2"/>
  <c r="D322" i="2"/>
  <c r="C322" i="2"/>
  <c r="B322" i="2"/>
  <c r="D321" i="2"/>
  <c r="C321" i="2"/>
  <c r="B321" i="2"/>
  <c r="D320" i="2"/>
  <c r="C320" i="2"/>
  <c r="B320" i="2"/>
  <c r="D319" i="2"/>
  <c r="C319" i="2"/>
  <c r="B319" i="2"/>
  <c r="D318" i="2"/>
  <c r="C318" i="2"/>
  <c r="B318" i="2"/>
  <c r="D317" i="2"/>
  <c r="C317" i="2"/>
  <c r="B317" i="2"/>
  <c r="D316" i="2"/>
  <c r="C316" i="2"/>
  <c r="B316" i="2"/>
  <c r="D315" i="2"/>
  <c r="C315" i="2"/>
  <c r="B315" i="2"/>
  <c r="D314" i="2"/>
  <c r="C314" i="2"/>
  <c r="B314" i="2"/>
  <c r="D313" i="2"/>
  <c r="C313" i="2"/>
  <c r="B313" i="2"/>
  <c r="D312" i="2"/>
  <c r="C312" i="2"/>
  <c r="B312" i="2"/>
  <c r="D311" i="2"/>
  <c r="C311" i="2"/>
  <c r="B311" i="2"/>
  <c r="D310" i="2"/>
  <c r="C310" i="2"/>
  <c r="B310" i="2"/>
  <c r="D309" i="2"/>
  <c r="C309" i="2"/>
  <c r="B309" i="2"/>
  <c r="D308" i="2"/>
  <c r="C308" i="2"/>
  <c r="B308" i="2"/>
  <c r="D307" i="2"/>
  <c r="C307" i="2"/>
  <c r="B307" i="2"/>
  <c r="D306" i="2"/>
  <c r="C306" i="2"/>
  <c r="B306" i="2"/>
  <c r="D305" i="2"/>
  <c r="C305" i="2"/>
  <c r="B305" i="2"/>
  <c r="D304" i="2"/>
  <c r="C304" i="2"/>
  <c r="B304" i="2"/>
  <c r="D303" i="2"/>
  <c r="C303" i="2"/>
  <c r="B303" i="2"/>
  <c r="D302" i="2"/>
  <c r="C302" i="2"/>
  <c r="B302" i="2"/>
  <c r="D301" i="2"/>
  <c r="C301" i="2"/>
  <c r="B301" i="2"/>
  <c r="D300" i="2"/>
  <c r="C300" i="2"/>
  <c r="B300" i="2"/>
  <c r="D299" i="2"/>
  <c r="C299" i="2"/>
  <c r="B299" i="2"/>
  <c r="D298" i="2"/>
  <c r="C298" i="2"/>
  <c r="B298" i="2"/>
  <c r="D297" i="2"/>
  <c r="C297" i="2"/>
  <c r="B297" i="2"/>
  <c r="D296" i="2"/>
  <c r="C296" i="2"/>
  <c r="B296" i="2"/>
  <c r="D295" i="2"/>
  <c r="C295" i="2"/>
  <c r="B295" i="2"/>
  <c r="D294" i="2"/>
  <c r="C294" i="2"/>
  <c r="B294" i="2"/>
  <c r="D293" i="2"/>
  <c r="C293" i="2"/>
  <c r="B293" i="2"/>
  <c r="D292" i="2"/>
  <c r="C292" i="2"/>
  <c r="B292" i="2"/>
  <c r="D291" i="2"/>
  <c r="C291" i="2"/>
  <c r="B291" i="2"/>
  <c r="D290" i="2"/>
  <c r="C290" i="2"/>
  <c r="B290" i="2"/>
  <c r="D289" i="2"/>
  <c r="C289" i="2"/>
  <c r="B289" i="2"/>
  <c r="D288" i="2"/>
  <c r="C288" i="2"/>
  <c r="B288" i="2"/>
  <c r="D287" i="2"/>
  <c r="C287" i="2"/>
  <c r="B287" i="2"/>
  <c r="D286" i="2"/>
  <c r="C286" i="2"/>
  <c r="B286" i="2"/>
  <c r="D285" i="2"/>
  <c r="C285" i="2"/>
  <c r="B285" i="2"/>
  <c r="D284" i="2"/>
  <c r="C284" i="2"/>
  <c r="B284" i="2"/>
  <c r="D283" i="2"/>
  <c r="C283" i="2"/>
  <c r="B283" i="2"/>
  <c r="D282" i="2"/>
  <c r="C282" i="2"/>
  <c r="B282" i="2"/>
  <c r="D281" i="2"/>
  <c r="C281" i="2"/>
  <c r="B281" i="2"/>
  <c r="D280" i="2"/>
  <c r="C280" i="2"/>
  <c r="B280" i="2"/>
  <c r="D279" i="2"/>
  <c r="C279" i="2"/>
  <c r="B279" i="2"/>
  <c r="D278" i="2"/>
  <c r="C278" i="2"/>
  <c r="B278" i="2"/>
  <c r="D277" i="2"/>
  <c r="C277" i="2"/>
  <c r="B277" i="2"/>
  <c r="D276" i="2"/>
  <c r="C276" i="2"/>
  <c r="B276" i="2"/>
  <c r="D275" i="2"/>
  <c r="C275" i="2"/>
  <c r="B275" i="2"/>
  <c r="D274" i="2"/>
  <c r="C274" i="2"/>
  <c r="B274" i="2"/>
  <c r="D273" i="2"/>
  <c r="C273" i="2"/>
  <c r="B273" i="2"/>
  <c r="D272" i="2"/>
  <c r="C272" i="2"/>
  <c r="B272" i="2"/>
  <c r="D271" i="2"/>
  <c r="C271" i="2"/>
  <c r="B271" i="2"/>
  <c r="D270" i="2"/>
  <c r="C270" i="2"/>
  <c r="B270" i="2"/>
  <c r="D269" i="2"/>
  <c r="C269" i="2"/>
  <c r="B269" i="2"/>
  <c r="D268" i="2"/>
  <c r="C268" i="2"/>
  <c r="B268" i="2"/>
  <c r="D267" i="2"/>
  <c r="C267" i="2"/>
  <c r="B267" i="2"/>
  <c r="D266" i="2"/>
  <c r="C266" i="2"/>
  <c r="B266" i="2"/>
  <c r="D265" i="2"/>
  <c r="C265" i="2"/>
  <c r="B265" i="2"/>
  <c r="D264" i="2"/>
  <c r="C264" i="2"/>
  <c r="B264" i="2"/>
  <c r="D263" i="2"/>
  <c r="C263" i="2"/>
  <c r="B263" i="2"/>
  <c r="D262" i="2"/>
  <c r="C262" i="2"/>
  <c r="B262" i="2"/>
  <c r="D261" i="2"/>
  <c r="C261" i="2"/>
  <c r="B261" i="2"/>
  <c r="D260" i="2"/>
  <c r="C260" i="2"/>
  <c r="B260" i="2"/>
  <c r="D259" i="2"/>
  <c r="C259" i="2"/>
  <c r="B259" i="2"/>
  <c r="D258" i="2"/>
  <c r="C258" i="2"/>
  <c r="B258" i="2"/>
  <c r="D257" i="2"/>
  <c r="C257" i="2"/>
  <c r="B257" i="2"/>
  <c r="D256" i="2"/>
  <c r="C256" i="2"/>
  <c r="B256" i="2"/>
  <c r="D255" i="2"/>
  <c r="C255" i="2"/>
  <c r="B255" i="2"/>
  <c r="D254" i="2"/>
  <c r="C254" i="2"/>
  <c r="B254" i="2"/>
  <c r="D253" i="2"/>
  <c r="C253" i="2"/>
  <c r="B253" i="2"/>
  <c r="D252" i="2"/>
  <c r="C252" i="2"/>
  <c r="B252" i="2"/>
  <c r="D251" i="2"/>
  <c r="C251" i="2"/>
  <c r="B251" i="2"/>
  <c r="D250" i="2"/>
  <c r="C250" i="2"/>
  <c r="B250" i="2"/>
  <c r="D249" i="2"/>
  <c r="C249" i="2"/>
  <c r="B249" i="2"/>
  <c r="D248" i="2"/>
  <c r="C248" i="2"/>
  <c r="B248" i="2"/>
  <c r="D247" i="2"/>
  <c r="C247" i="2"/>
  <c r="B247" i="2"/>
  <c r="D246" i="2"/>
  <c r="C246" i="2"/>
  <c r="B246" i="2"/>
  <c r="D245" i="2"/>
  <c r="C245" i="2"/>
  <c r="B245" i="2"/>
  <c r="D244" i="2"/>
  <c r="C244" i="2"/>
  <c r="B244" i="2"/>
  <c r="D243" i="2"/>
  <c r="C243" i="2"/>
  <c r="B243" i="2"/>
  <c r="D242" i="2"/>
  <c r="C242" i="2"/>
  <c r="B242" i="2"/>
  <c r="D241" i="2"/>
  <c r="C241" i="2"/>
  <c r="B241" i="2"/>
  <c r="D240" i="2"/>
  <c r="C240" i="2"/>
  <c r="B240" i="2"/>
  <c r="D239" i="2"/>
  <c r="C239" i="2"/>
  <c r="B239" i="2"/>
  <c r="D238" i="2"/>
  <c r="C238" i="2"/>
  <c r="B238" i="2"/>
  <c r="D237" i="2"/>
  <c r="C237" i="2"/>
  <c r="B237" i="2"/>
  <c r="D236" i="2"/>
  <c r="C236" i="2"/>
  <c r="B236" i="2"/>
  <c r="D235" i="2"/>
  <c r="C235" i="2"/>
  <c r="B235" i="2"/>
  <c r="D234" i="2"/>
  <c r="C234" i="2"/>
  <c r="B234" i="2"/>
  <c r="D233" i="2"/>
  <c r="C233" i="2"/>
  <c r="B233" i="2"/>
  <c r="D232" i="2"/>
  <c r="C232" i="2"/>
  <c r="B232" i="2"/>
  <c r="D231" i="2"/>
  <c r="C231" i="2"/>
  <c r="B231" i="2"/>
  <c r="D230" i="2"/>
  <c r="C230" i="2"/>
  <c r="B230" i="2"/>
  <c r="D229" i="2"/>
  <c r="C229" i="2"/>
  <c r="B229" i="2"/>
  <c r="D228" i="2"/>
  <c r="C228" i="2"/>
  <c r="B228" i="2"/>
  <c r="D227" i="2"/>
  <c r="C227" i="2"/>
  <c r="B227" i="2"/>
  <c r="D226" i="2"/>
  <c r="C226" i="2"/>
  <c r="B226" i="2"/>
  <c r="D225" i="2"/>
  <c r="C225" i="2"/>
  <c r="B225" i="2"/>
  <c r="D224" i="2"/>
  <c r="C224" i="2"/>
  <c r="B224" i="2"/>
  <c r="D223" i="2"/>
  <c r="C223" i="2"/>
  <c r="B223" i="2"/>
  <c r="D222" i="2"/>
  <c r="C222" i="2"/>
  <c r="B222" i="2"/>
  <c r="D221" i="2"/>
  <c r="C221" i="2"/>
  <c r="B221" i="2"/>
  <c r="D220" i="2"/>
  <c r="C220" i="2"/>
  <c r="B220" i="2"/>
  <c r="D219" i="2"/>
  <c r="C219" i="2"/>
  <c r="B219" i="2"/>
  <c r="D218" i="2"/>
  <c r="C218" i="2"/>
  <c r="B218" i="2"/>
  <c r="D217" i="2"/>
  <c r="C217" i="2"/>
  <c r="B217" i="2"/>
  <c r="D216" i="2"/>
  <c r="C216" i="2"/>
  <c r="B216" i="2"/>
  <c r="D215" i="2"/>
  <c r="C215" i="2"/>
  <c r="B215" i="2"/>
  <c r="D214" i="2"/>
  <c r="C214" i="2"/>
  <c r="B214" i="2"/>
  <c r="D213" i="2"/>
  <c r="C213" i="2"/>
  <c r="B213" i="2"/>
  <c r="D212" i="2"/>
  <c r="C212" i="2"/>
  <c r="B212" i="2"/>
  <c r="D211" i="2"/>
  <c r="C211" i="2"/>
  <c r="B211" i="2"/>
  <c r="D210" i="2"/>
  <c r="C210" i="2"/>
  <c r="B210" i="2"/>
  <c r="D209" i="2"/>
  <c r="C209" i="2"/>
  <c r="B209" i="2"/>
  <c r="D208" i="2"/>
  <c r="C208" i="2"/>
  <c r="B208" i="2"/>
  <c r="D207" i="2"/>
  <c r="C207" i="2"/>
  <c r="B207" i="2"/>
  <c r="D206" i="2"/>
  <c r="C206" i="2"/>
  <c r="B206" i="2"/>
  <c r="D205" i="2"/>
  <c r="C205" i="2"/>
  <c r="B205" i="2"/>
  <c r="D204" i="2"/>
  <c r="C204" i="2"/>
  <c r="B204" i="2"/>
  <c r="D203" i="2"/>
  <c r="C203" i="2"/>
  <c r="B203" i="2"/>
  <c r="D202" i="2"/>
  <c r="C202" i="2"/>
  <c r="B202" i="2"/>
  <c r="D201" i="2"/>
  <c r="C201" i="2"/>
  <c r="B201" i="2"/>
  <c r="D200" i="2"/>
  <c r="C200" i="2"/>
  <c r="B200" i="2"/>
  <c r="D199" i="2"/>
  <c r="C199" i="2"/>
  <c r="B199" i="2"/>
  <c r="D198" i="2"/>
  <c r="C198" i="2"/>
  <c r="B198" i="2"/>
  <c r="D197" i="2"/>
  <c r="C197" i="2"/>
  <c r="B197" i="2"/>
  <c r="D196" i="2"/>
  <c r="C196" i="2"/>
  <c r="B196" i="2"/>
  <c r="D195" i="2"/>
  <c r="C195" i="2"/>
  <c r="B195" i="2"/>
  <c r="D194" i="2"/>
  <c r="C194" i="2"/>
  <c r="B194" i="2"/>
  <c r="D193" i="2"/>
  <c r="C193" i="2"/>
  <c r="B193" i="2"/>
  <c r="D192" i="2"/>
  <c r="C192" i="2"/>
  <c r="B192" i="2"/>
  <c r="D191" i="2"/>
  <c r="C191" i="2"/>
  <c r="B191" i="2"/>
  <c r="D190" i="2"/>
  <c r="C190" i="2"/>
  <c r="B190" i="2"/>
  <c r="D189" i="2"/>
  <c r="C189" i="2"/>
  <c r="B189" i="2"/>
  <c r="D188" i="2"/>
  <c r="C188" i="2"/>
  <c r="B188" i="2"/>
  <c r="D187" i="2"/>
  <c r="C187" i="2"/>
  <c r="B187" i="2"/>
  <c r="D186" i="2"/>
  <c r="C186" i="2"/>
  <c r="B186" i="2"/>
  <c r="D185" i="2"/>
  <c r="C185" i="2"/>
  <c r="B185" i="2"/>
  <c r="D184" i="2"/>
  <c r="C184" i="2"/>
  <c r="B184" i="2"/>
  <c r="D183" i="2"/>
  <c r="C183" i="2"/>
  <c r="B183" i="2"/>
  <c r="D182" i="2"/>
  <c r="C182" i="2"/>
  <c r="B182" i="2"/>
  <c r="D181" i="2"/>
  <c r="C181" i="2"/>
  <c r="B181" i="2"/>
  <c r="D180" i="2"/>
  <c r="C180" i="2"/>
  <c r="B180" i="2"/>
  <c r="D179" i="2"/>
  <c r="C179" i="2"/>
  <c r="B179" i="2"/>
  <c r="D178" i="2"/>
  <c r="C178" i="2"/>
  <c r="B178" i="2"/>
  <c r="D177" i="2"/>
  <c r="C177" i="2"/>
  <c r="B177" i="2"/>
  <c r="D176" i="2"/>
  <c r="C176" i="2"/>
  <c r="B176" i="2"/>
  <c r="D175" i="2"/>
  <c r="C175" i="2"/>
  <c r="B175" i="2"/>
  <c r="D174" i="2"/>
  <c r="C174" i="2"/>
  <c r="B174" i="2"/>
  <c r="D173" i="2"/>
  <c r="C173" i="2"/>
  <c r="B173" i="2"/>
  <c r="D172" i="2"/>
  <c r="C172" i="2"/>
  <c r="B172" i="2"/>
  <c r="D171" i="2"/>
  <c r="C171" i="2"/>
  <c r="B171" i="2"/>
  <c r="D170" i="2"/>
  <c r="C170" i="2"/>
  <c r="B170" i="2"/>
  <c r="D169" i="2"/>
  <c r="C169" i="2"/>
  <c r="B169" i="2"/>
  <c r="D168" i="2"/>
  <c r="C168" i="2"/>
  <c r="B168" i="2"/>
  <c r="D167" i="2"/>
  <c r="C167" i="2"/>
  <c r="B167" i="2"/>
  <c r="D166" i="2"/>
  <c r="C166" i="2"/>
  <c r="B166" i="2"/>
  <c r="D165" i="2"/>
  <c r="C165" i="2"/>
  <c r="B165" i="2"/>
  <c r="D164" i="2"/>
  <c r="C164" i="2"/>
  <c r="B164" i="2"/>
  <c r="D163" i="2"/>
  <c r="C163" i="2"/>
  <c r="B163" i="2"/>
  <c r="D162" i="2"/>
  <c r="C162" i="2"/>
  <c r="B162" i="2"/>
  <c r="D161" i="2"/>
  <c r="C161" i="2"/>
  <c r="B161" i="2"/>
  <c r="D160" i="2"/>
  <c r="C160" i="2"/>
  <c r="B160" i="2"/>
  <c r="D159" i="2"/>
  <c r="C159" i="2"/>
  <c r="B159" i="2"/>
  <c r="D158" i="2"/>
  <c r="C158" i="2"/>
  <c r="B158" i="2"/>
  <c r="D157" i="2"/>
  <c r="C157" i="2"/>
  <c r="B157" i="2"/>
  <c r="D156" i="2"/>
  <c r="C156" i="2"/>
  <c r="B156" i="2"/>
  <c r="D155" i="2"/>
  <c r="C155" i="2"/>
  <c r="B155" i="2"/>
  <c r="D154" i="2"/>
  <c r="C154" i="2"/>
  <c r="B154" i="2"/>
  <c r="D153" i="2"/>
  <c r="C153" i="2"/>
  <c r="B153" i="2"/>
  <c r="D152" i="2"/>
  <c r="C152" i="2"/>
  <c r="B152" i="2"/>
  <c r="D151" i="2"/>
  <c r="C151" i="2"/>
  <c r="B151" i="2"/>
  <c r="D150" i="2"/>
  <c r="C150" i="2"/>
  <c r="B150" i="2"/>
  <c r="D149" i="2"/>
  <c r="C149" i="2"/>
  <c r="B149" i="2"/>
  <c r="D148" i="2"/>
  <c r="C148" i="2"/>
  <c r="B148" i="2"/>
  <c r="D147" i="2"/>
  <c r="C147" i="2"/>
  <c r="B147" i="2"/>
  <c r="D146" i="2"/>
  <c r="C146" i="2"/>
  <c r="B146" i="2"/>
  <c r="D145" i="2"/>
  <c r="C145" i="2"/>
  <c r="B145" i="2"/>
  <c r="D144" i="2"/>
  <c r="C144" i="2"/>
  <c r="B144" i="2"/>
  <c r="D143" i="2"/>
  <c r="C143" i="2"/>
  <c r="B143" i="2"/>
  <c r="D142" i="2"/>
  <c r="C142" i="2"/>
  <c r="B142" i="2"/>
  <c r="D141" i="2"/>
  <c r="C141" i="2"/>
  <c r="B141" i="2"/>
  <c r="D140" i="2"/>
  <c r="C140" i="2"/>
  <c r="B140" i="2"/>
  <c r="D139" i="2"/>
  <c r="C139" i="2"/>
  <c r="B139" i="2"/>
  <c r="D138" i="2"/>
  <c r="C138" i="2"/>
  <c r="B138" i="2"/>
  <c r="D137" i="2"/>
  <c r="C137" i="2"/>
  <c r="B137" i="2"/>
  <c r="D136" i="2"/>
  <c r="C136" i="2"/>
  <c r="B136" i="2"/>
  <c r="D135" i="2"/>
  <c r="C135" i="2"/>
  <c r="B135" i="2"/>
  <c r="D134" i="2"/>
  <c r="C134" i="2"/>
  <c r="B134" i="2"/>
  <c r="D133" i="2"/>
  <c r="C133" i="2"/>
  <c r="B133" i="2"/>
  <c r="D132" i="2"/>
  <c r="C132" i="2"/>
  <c r="B132" i="2"/>
  <c r="D131" i="2"/>
  <c r="C131" i="2"/>
  <c r="B131" i="2"/>
  <c r="D130" i="2"/>
  <c r="C130" i="2"/>
  <c r="B130" i="2"/>
  <c r="D129" i="2"/>
  <c r="C129" i="2"/>
  <c r="B129" i="2"/>
  <c r="D128" i="2"/>
  <c r="C128" i="2"/>
  <c r="B128" i="2"/>
  <c r="D127" i="2"/>
  <c r="C127" i="2"/>
  <c r="B127" i="2"/>
  <c r="D126" i="2"/>
  <c r="C126" i="2"/>
  <c r="B126" i="2"/>
  <c r="D125" i="2"/>
  <c r="C125" i="2"/>
  <c r="B125" i="2"/>
  <c r="D124" i="2"/>
  <c r="C124" i="2"/>
  <c r="B124" i="2"/>
  <c r="D123" i="2"/>
  <c r="C123" i="2"/>
  <c r="B123" i="2"/>
  <c r="D122" i="2"/>
  <c r="C122" i="2"/>
  <c r="B122" i="2"/>
  <c r="D121" i="2"/>
  <c r="C121" i="2"/>
  <c r="B121" i="2"/>
  <c r="D120" i="2"/>
  <c r="C120" i="2"/>
  <c r="B120" i="2"/>
  <c r="D119" i="2"/>
  <c r="C119" i="2"/>
  <c r="B119" i="2"/>
  <c r="D118" i="2"/>
  <c r="C118" i="2"/>
  <c r="B118" i="2"/>
  <c r="D117" i="2"/>
  <c r="C117" i="2"/>
  <c r="B117" i="2"/>
  <c r="D116" i="2"/>
  <c r="C116" i="2"/>
  <c r="B116" i="2"/>
  <c r="D115" i="2"/>
  <c r="C115" i="2"/>
  <c r="B115" i="2"/>
  <c r="D114" i="2"/>
  <c r="C114" i="2"/>
  <c r="B114" i="2"/>
  <c r="D113" i="2"/>
  <c r="C113" i="2"/>
  <c r="B113" i="2"/>
  <c r="D112" i="2"/>
  <c r="C112" i="2"/>
  <c r="B112" i="2"/>
  <c r="D111" i="2"/>
  <c r="C111" i="2"/>
  <c r="B111" i="2"/>
  <c r="D110" i="2"/>
  <c r="C110" i="2"/>
  <c r="B110" i="2"/>
  <c r="D109" i="2"/>
  <c r="C109" i="2"/>
  <c r="B109" i="2"/>
  <c r="D108" i="2"/>
  <c r="C108" i="2"/>
  <c r="B108" i="2"/>
  <c r="D107" i="2"/>
  <c r="C107" i="2"/>
  <c r="B107" i="2"/>
  <c r="D106" i="2"/>
  <c r="C106" i="2"/>
  <c r="B106" i="2"/>
  <c r="D105" i="2"/>
  <c r="C105" i="2"/>
  <c r="B105" i="2"/>
  <c r="D104" i="2"/>
  <c r="C104" i="2"/>
  <c r="B104" i="2"/>
  <c r="D103" i="2"/>
  <c r="C103" i="2"/>
  <c r="B103" i="2"/>
  <c r="D102" i="2"/>
  <c r="C102" i="2"/>
  <c r="B102" i="2"/>
  <c r="D101" i="2"/>
  <c r="C101" i="2"/>
  <c r="B101" i="2"/>
  <c r="D100" i="2"/>
  <c r="C100" i="2"/>
  <c r="B100" i="2"/>
  <c r="D99" i="2"/>
  <c r="C99" i="2"/>
  <c r="B99" i="2"/>
  <c r="D98" i="2"/>
  <c r="C98" i="2"/>
  <c r="B98" i="2"/>
  <c r="D97" i="2"/>
  <c r="C97" i="2"/>
  <c r="B97" i="2"/>
  <c r="D96" i="2"/>
  <c r="C96" i="2"/>
  <c r="B96" i="2"/>
  <c r="D95" i="2"/>
  <c r="C95" i="2"/>
  <c r="B95" i="2"/>
  <c r="D94" i="2"/>
  <c r="C94" i="2"/>
  <c r="B94" i="2"/>
  <c r="D93" i="2"/>
  <c r="C93" i="2"/>
  <c r="B93" i="2"/>
  <c r="D92" i="2"/>
  <c r="C92" i="2"/>
  <c r="B92" i="2"/>
  <c r="D91" i="2"/>
  <c r="C91" i="2"/>
  <c r="B91" i="2"/>
  <c r="D90" i="2"/>
  <c r="C90" i="2"/>
  <c r="B90" i="2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C81" i="2"/>
  <c r="B81" i="2"/>
  <c r="D80" i="2"/>
  <c r="C80" i="2"/>
  <c r="B80" i="2"/>
  <c r="D79" i="2"/>
  <c r="C79" i="2"/>
  <c r="B79" i="2"/>
  <c r="D78" i="2"/>
  <c r="C78" i="2"/>
  <c r="B78" i="2"/>
  <c r="D77" i="2"/>
  <c r="C77" i="2"/>
  <c r="B77" i="2"/>
  <c r="D76" i="2"/>
  <c r="C76" i="2"/>
  <c r="B76" i="2"/>
  <c r="D75" i="2"/>
  <c r="C75" i="2"/>
  <c r="B75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A3" i="2" s="1"/>
  <c r="A4" i="2" l="1"/>
  <c r="A5" i="2" s="1"/>
  <c r="A6" i="2" s="1"/>
  <c r="A7" i="2" s="1"/>
  <c r="A8" i="2" s="1"/>
  <c r="A9" i="2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E2D9674E-EC75-49C5-88D6-0546C3F73AC7}">
      <text>
        <r>
          <rPr>
            <sz val="10"/>
            <color rgb="FF000000"/>
            <rFont val="Arial"/>
            <family val="2"/>
          </rPr>
          <t>-121	103	104	7.38%</t>
        </r>
      </text>
    </comment>
    <comment ref="E6" authorId="0" shapeId="0" xr:uid="{4A768606-8FAE-4472-AAA0-55D2EA97FF6E}">
      <text>
        <r>
          <rPr>
            <sz val="10"/>
            <color rgb="FF000000"/>
            <rFont val="Arial"/>
            <family val="2"/>
          </rPr>
          <t>-123 101 105 7.78%</t>
        </r>
      </text>
    </comment>
    <comment ref="E7" authorId="0" shapeId="0" xr:uid="{E9FDB196-992B-42E3-992F-E1E2FE971494}">
      <text>
        <r>
          <rPr>
            <sz val="10"/>
            <color rgb="FF000000"/>
            <rFont val="Arial"/>
            <family val="2"/>
          </rPr>
          <t>-108	-108	112	6.00%</t>
        </r>
      </text>
    </comment>
    <comment ref="E12" authorId="0" shapeId="0" xr:uid="{0C969D5E-83FF-4C22-80F9-7027A99DF56D}">
      <text>
        <r>
          <rPr>
            <sz val="10"/>
            <color rgb="FF000000"/>
            <rFont val="Arial"/>
            <family val="2"/>
          </rPr>
          <t>-294	267	-230	5.10%</t>
        </r>
      </text>
    </comment>
    <comment ref="E25" authorId="0" shapeId="0" xr:uid="{BEE6C5E9-3020-4F58-A66E-D751F4CEA6D5}">
      <text>
        <r>
          <rPr>
            <sz val="10"/>
            <color rgb="FF000000"/>
            <rFont val="Arial"/>
            <family val="2"/>
          </rPr>
          <t>CL</t>
        </r>
      </text>
    </comment>
    <comment ref="E26" authorId="0" shapeId="0" xr:uid="{B226399C-8CD9-4D6D-810E-AFD38FFF7D8D}">
      <text>
        <r>
          <rPr>
            <sz val="10"/>
            <color rgb="FF000000"/>
            <rFont val="Arial"/>
            <family val="2"/>
          </rPr>
          <t>CL</t>
        </r>
      </text>
    </comment>
    <comment ref="E37" authorId="0" shapeId="0" xr:uid="{C82FCFE9-217B-450C-90E4-559E24528AAC}">
      <text>
        <r>
          <rPr>
            <sz val="10"/>
            <color rgb="FF000000"/>
            <rFont val="Arial"/>
            <family val="2"/>
          </rPr>
          <t>pg: -120/115 5.87% edge</t>
        </r>
      </text>
    </comment>
    <comment ref="E38" authorId="0" shapeId="0" xr:uid="{2930B709-2133-4F93-9B3C-BE353F89A491}">
      <text>
        <r>
          <rPr>
            <sz val="10"/>
            <color rgb="FF000000"/>
            <rFont val="Arial"/>
            <family val="2"/>
          </rPr>
          <t>Need to find site with BM closing lines. PIN doesnt have DW state</t>
        </r>
      </text>
    </comment>
    <comment ref="E95" authorId="0" shapeId="0" xr:uid="{7CFF7976-6887-4064-97AB-B5E8505BB035}">
      <text>
        <r>
          <rPr>
            <sz val="10"/>
            <color rgb="FF000000"/>
            <rFont val="Arial"/>
            <family val="2"/>
          </rPr>
          <t>CL</t>
        </r>
      </text>
    </comment>
    <comment ref="E96" authorId="0" shapeId="0" xr:uid="{5F2A2663-F99F-4E2A-A582-4867F7DD4631}">
      <text>
        <r>
          <rPr>
            <sz val="10"/>
            <color rgb="FF000000"/>
            <rFont val="Arial"/>
            <family val="2"/>
          </rPr>
          <t>CL</t>
        </r>
      </text>
    </comment>
    <comment ref="E112" authorId="0" shapeId="0" xr:uid="{64C2EAC2-A2CB-47AA-A943-24C5E2877FE9}">
      <text>
        <r>
          <rPr>
            <sz val="10"/>
            <color rgb="FF000000"/>
            <rFont val="Arial"/>
            <family val="2"/>
          </rPr>
          <t>CL</t>
        </r>
      </text>
    </comment>
    <comment ref="E115" authorId="0" shapeId="0" xr:uid="{2B05E58A-2602-4AE8-9AD2-1CE3E00EAE43}">
      <text>
        <r>
          <rPr>
            <sz val="10"/>
            <color rgb="FF000000"/>
            <rFont val="Arial"/>
            <family val="2"/>
          </rPr>
          <t>CL</t>
        </r>
      </text>
    </comment>
    <comment ref="E219" authorId="0" shapeId="0" xr:uid="{23EED53C-3304-44A3-B7EF-484DF7B7B3F6}">
      <text>
        <r>
          <rPr>
            <sz val="10"/>
            <color rgb="FF000000"/>
            <rFont val="Arial"/>
            <family val="2"/>
          </rPr>
          <t>End of BRlz kambi</t>
        </r>
      </text>
    </comment>
    <comment ref="E782" authorId="0" shapeId="0" xr:uid="{B5ED02F3-FD31-4396-8C0A-3ED630B93E5A}">
      <text>
        <r>
          <rPr>
            <sz val="10"/>
            <color rgb="FF000000"/>
            <rFont val="Arial"/>
            <family val="2"/>
          </rPr>
          <t>-141	122	-117	4.79%</t>
        </r>
      </text>
    </comment>
    <comment ref="E792" authorId="0" shapeId="0" xr:uid="{44FE2A02-94DF-4B47-AB9C-42A26C2CE02A}">
      <text>
        <r>
          <rPr>
            <sz val="10"/>
            <color rgb="FF000000"/>
            <rFont val="Arial"/>
            <family val="2"/>
          </rPr>
          <t>pregame -107/100</t>
        </r>
      </text>
    </comment>
    <comment ref="E850" authorId="0" shapeId="0" xr:uid="{46763D06-4672-46D7-A050-A90C45FA0AAA}">
      <text>
        <r>
          <rPr>
            <sz val="10"/>
            <color rgb="FF000000"/>
            <rFont val="Arial"/>
            <family val="2"/>
          </rPr>
          <t>I didn't notice the date in PTO. Need to fix my filters</t>
        </r>
      </text>
    </comment>
    <comment ref="E855" authorId="0" shapeId="0" xr:uid="{6E31358D-8DC5-4332-BA26-0DAE5C6B0533}">
      <text>
        <r>
          <rPr>
            <sz val="10"/>
            <color rgb="FF000000"/>
            <rFont val="Arial"/>
            <family val="2"/>
          </rPr>
          <t>CL</t>
        </r>
      </text>
    </comment>
    <comment ref="E862" authorId="0" shapeId="0" xr:uid="{5FDB0110-B8C9-427D-8C4C-1C57B06A9DEB}">
      <text>
        <r>
          <rPr>
            <sz val="10"/>
            <color rgb="FF000000"/>
            <rFont val="Arial"/>
            <family val="2"/>
          </rPr>
          <t>profit boost</t>
        </r>
      </text>
    </comment>
    <comment ref="E878" authorId="0" shapeId="0" xr:uid="{F2C5CBEA-CB4C-450C-84B3-0D9CA5677A4F}">
      <text>
        <r>
          <rPr>
            <sz val="10"/>
            <color rgb="FF000000"/>
            <rFont val="Arial"/>
            <family val="2"/>
          </rPr>
          <t>CL</t>
        </r>
      </text>
    </comment>
    <comment ref="E1040" authorId="0" shapeId="0" xr:uid="{D0172F9B-6E3F-43A8-9EAB-866700CB3FD7}">
      <text>
        <r>
          <rPr>
            <sz val="10"/>
            <color rgb="FF000000"/>
            <rFont val="Arial"/>
            <family val="2"/>
          </rPr>
          <t>Line moved against when went live</t>
        </r>
      </text>
    </comment>
    <comment ref="E1163" authorId="0" shapeId="0" xr:uid="{4108D3AB-9273-4117-A1E4-8ECAC2365E6E}">
      <text>
        <r>
          <rPr>
            <sz val="10"/>
            <color rgb="FF000000"/>
            <rFont val="Arial"/>
            <family val="2"/>
          </rPr>
          <t>50% profit boost token SGP</t>
        </r>
      </text>
    </comment>
    <comment ref="E1178" authorId="0" shapeId="0" xr:uid="{845FB56E-E0BD-47C8-8F83-F819EE23A4D6}">
      <text>
        <r>
          <rPr>
            <sz val="10"/>
            <color rgb="FF000000"/>
            <rFont val="Arial"/>
            <family val="2"/>
          </rPr>
          <t>50% profit boost SGP</t>
        </r>
      </text>
    </comment>
    <comment ref="E1216" authorId="0" shapeId="0" xr:uid="{3DD7A5FE-E5BF-4A7D-9B64-31AFBEE11CB5}">
      <text>
        <r>
          <rPr>
            <sz val="10"/>
            <color rgb="FF000000"/>
            <rFont val="Arial"/>
            <family val="2"/>
          </rPr>
          <t>same game profit boost</t>
        </r>
      </text>
    </comment>
    <comment ref="E1300" authorId="0" shapeId="0" xr:uid="{6F64EBB4-C54E-4B8D-9F5B-14A23A45B7BA}">
      <text>
        <r>
          <rPr>
            <sz val="10"/>
            <color rgb="FF000000"/>
            <rFont val="Arial"/>
            <family val="2"/>
          </rPr>
          <t>-130	123	-120	2.23%</t>
        </r>
      </text>
    </comment>
    <comment ref="E1318" authorId="0" shapeId="0" xr:uid="{A68E93FC-FAB2-4764-B5F8-01F391E4D707}">
      <text>
        <r>
          <rPr>
            <sz val="10"/>
            <color rgb="FF000000"/>
            <rFont val="Arial"/>
            <family val="2"/>
          </rPr>
          <t>profit boost</t>
        </r>
      </text>
    </comment>
    <comment ref="E1319" authorId="0" shapeId="0" xr:uid="{CDA26C52-1F59-4F9A-90DC-BCBE1BCBD38A}">
      <text>
        <r>
          <rPr>
            <sz val="10"/>
            <color rgb="FF000000"/>
            <rFont val="Arial"/>
            <family val="2"/>
          </rPr>
          <t>100% profit boost sgp</t>
        </r>
      </text>
    </comment>
    <comment ref="E1374" authorId="0" shapeId="0" xr:uid="{B70D2D79-4F11-4687-AB5F-FFE274B176F9}">
      <text>
        <r>
          <rPr>
            <sz val="10"/>
            <color rgb="FF000000"/>
            <rFont val="Arial"/>
            <family val="2"/>
          </rPr>
          <t>Mistake</t>
        </r>
      </text>
    </comment>
    <comment ref="E1377" authorId="0" shapeId="0" xr:uid="{4C9AB881-E9B3-47F3-9C1A-51EEF1EE6B99}">
      <text>
        <r>
          <rPr>
            <sz val="10"/>
            <color rgb="FF000000"/>
            <rFont val="Arial"/>
            <family val="2"/>
          </rPr>
          <t>75% profit boost SGP</t>
        </r>
      </text>
    </comment>
    <comment ref="E1378" authorId="0" shapeId="0" xr:uid="{1A9D1360-3640-48EE-B861-1E505E1A237C}">
      <text>
        <r>
          <rPr>
            <sz val="10"/>
            <color rgb="FF000000"/>
            <rFont val="Arial"/>
            <family val="2"/>
          </rPr>
          <t>50% profit boost SGP</t>
        </r>
      </text>
    </comment>
    <comment ref="E1380" authorId="0" shapeId="0" xr:uid="{07E846A2-548A-4661-B40B-AE12F295017D}">
      <text>
        <r>
          <rPr>
            <sz val="10"/>
            <color rgb="FF000000"/>
            <rFont val="Arial"/>
            <family val="2"/>
          </rPr>
          <t>profit boost</t>
        </r>
      </text>
    </comment>
    <comment ref="E1385" authorId="0" shapeId="0" xr:uid="{1639D030-3F23-4362-A08F-5E18346105BD}">
      <text>
        <r>
          <rPr>
            <sz val="10"/>
            <color rgb="FF000000"/>
            <rFont val="Arial"/>
            <family val="2"/>
          </rPr>
          <t>50% profit boost 3 game parlay</t>
        </r>
      </text>
    </comment>
    <comment ref="E1387" authorId="0" shapeId="0" xr:uid="{543568A5-8BC5-4452-BD06-B025F5FA4233}">
      <text>
        <r>
          <rPr>
            <sz val="10"/>
            <color rgb="FF000000"/>
            <rFont val="Arial"/>
            <family val="2"/>
          </rPr>
          <t>50% profit boost</t>
        </r>
      </text>
    </comment>
  </commentList>
</comments>
</file>

<file path=xl/sharedStrings.xml><?xml version="1.0" encoding="utf-8"?>
<sst xmlns="http://schemas.openxmlformats.org/spreadsheetml/2006/main" count="6534" uniqueCount="1544">
  <si>
    <t>Unique Bet Rule 1</t>
  </si>
  <si>
    <t>Team</t>
  </si>
  <si>
    <t>Total?</t>
  </si>
  <si>
    <t>Bet</t>
  </si>
  <si>
    <t>Book</t>
  </si>
  <si>
    <t>Date</t>
  </si>
  <si>
    <t>Market</t>
  </si>
  <si>
    <t xml:space="preserve">Other    </t>
  </si>
  <si>
    <t xml:space="preserve">LineTaken   </t>
  </si>
  <si>
    <t xml:space="preserve">Edge  </t>
  </si>
  <si>
    <t>Ignore</t>
  </si>
  <si>
    <t>TrueL</t>
  </si>
  <si>
    <t>Decim</t>
  </si>
  <si>
    <t xml:space="preserve">Betsize    </t>
  </si>
  <si>
    <t>Sport</t>
  </si>
  <si>
    <t>Opp</t>
  </si>
  <si>
    <t>Total Stake</t>
  </si>
  <si>
    <t>Rich Stake</t>
  </si>
  <si>
    <t>Other Stake</t>
  </si>
  <si>
    <t>Grade</t>
  </si>
  <si>
    <t xml:space="preserve">CloseLine    </t>
  </si>
  <si>
    <t xml:space="preserve">CloseOther    </t>
  </si>
  <si>
    <t>CloseEdge</t>
  </si>
  <si>
    <t>Trueline</t>
  </si>
  <si>
    <t>Net</t>
  </si>
  <si>
    <t>ExpWinPlace</t>
  </si>
  <si>
    <t>RunExpWinPlace</t>
  </si>
  <si>
    <t>RunNet</t>
  </si>
  <si>
    <t>Bankroll</t>
  </si>
  <si>
    <t>Kelly</t>
  </si>
  <si>
    <t>Time</t>
  </si>
  <si>
    <t>PIN M</t>
  </si>
  <si>
    <t>PIN M$</t>
  </si>
  <si>
    <t>PIN O</t>
  </si>
  <si>
    <t>PIN O$</t>
  </si>
  <si>
    <t>BM M</t>
  </si>
  <si>
    <t>BM O</t>
  </si>
  <si>
    <t>PM M</t>
  </si>
  <si>
    <t>PM M$</t>
  </si>
  <si>
    <t>PM O</t>
  </si>
  <si>
    <t>PM O$</t>
  </si>
  <si>
    <t>ST M</t>
  </si>
  <si>
    <t>ST M$</t>
  </si>
  <si>
    <t>ST O</t>
  </si>
  <si>
    <t>ST O$</t>
  </si>
  <si>
    <t>KAL M</t>
  </si>
  <si>
    <t>KAL M$</t>
  </si>
  <si>
    <t>KAL O</t>
  </si>
  <si>
    <t>KAL O$</t>
  </si>
  <si>
    <t>FD M</t>
  </si>
  <si>
    <t>FD O</t>
  </si>
  <si>
    <t>BOL M</t>
  </si>
  <si>
    <t>BOL O</t>
  </si>
  <si>
    <t>BOV M</t>
  </si>
  <si>
    <t>BOV O</t>
  </si>
  <si>
    <t>NV M</t>
  </si>
  <si>
    <t>NV M$</t>
  </si>
  <si>
    <t>NV O</t>
  </si>
  <si>
    <t>NV O$</t>
  </si>
  <si>
    <t>PX M</t>
  </si>
  <si>
    <t>PX M$</t>
  </si>
  <si>
    <t>PX O</t>
  </si>
  <si>
    <t>PX O$</t>
  </si>
  <si>
    <t>CZR M</t>
  </si>
  <si>
    <t>CZR O</t>
  </si>
  <si>
    <t>BM M$</t>
  </si>
  <si>
    <t>BM O$</t>
  </si>
  <si>
    <t>DK M</t>
  </si>
  <si>
    <t>DK O</t>
  </si>
  <si>
    <t>4C M</t>
  </si>
  <si>
    <t>4C M$</t>
  </si>
  <si>
    <t>4C O</t>
  </si>
  <si>
    <t>4C O$</t>
  </si>
  <si>
    <t>Pistons +30.5 L</t>
  </si>
  <si>
    <t>FWmb</t>
  </si>
  <si>
    <t>NBA</t>
  </si>
  <si>
    <t>spread</t>
  </si>
  <si>
    <t>W</t>
  </si>
  <si>
    <t>Pistons +32.5 L</t>
  </si>
  <si>
    <t>Pistons +29.5 L</t>
  </si>
  <si>
    <t>Clippers ml L</t>
  </si>
  <si>
    <t>moneyline</t>
  </si>
  <si>
    <t>L</t>
  </si>
  <si>
    <t>BRmb</t>
  </si>
  <si>
    <t>Rockets -8 L</t>
  </si>
  <si>
    <t>Rockets -5 L</t>
  </si>
  <si>
    <t>Rockets -5.5 L</t>
  </si>
  <si>
    <t>Rockets -6 L</t>
  </si>
  <si>
    <t>P</t>
  </si>
  <si>
    <t>0</t>
  </si>
  <si>
    <t>Rockets -3 L</t>
  </si>
  <si>
    <t>Zubac rebounds u13.5 L</t>
  </si>
  <si>
    <t>total</t>
  </si>
  <si>
    <t>Celtics q1 o61.5</t>
  </si>
  <si>
    <t>Hornets team o111.5</t>
  </si>
  <si>
    <t>Lakers u233.5</t>
  </si>
  <si>
    <t>Lakers u234.5</t>
  </si>
  <si>
    <t>PEmb</t>
  </si>
  <si>
    <t>Pacers team u117.5</t>
  </si>
  <si>
    <t>Pacers 1h u114.5</t>
  </si>
  <si>
    <t>Pelicans ml</t>
  </si>
  <si>
    <t>Pelicans 1h u114.5</t>
  </si>
  <si>
    <t>Pelicans 1h u113.5</t>
  </si>
  <si>
    <t>Pelicans 1h u115.5</t>
  </si>
  <si>
    <t>Pistons 1h ml</t>
  </si>
  <si>
    <t>Raptors 1h ml</t>
  </si>
  <si>
    <t>Trail Blazers 1h ml</t>
  </si>
  <si>
    <t>Aldama 3pt's o1.5</t>
  </si>
  <si>
    <t>Blazers +19 L</t>
  </si>
  <si>
    <t>Blazers +23.5 L</t>
  </si>
  <si>
    <t>Blazers u208 L</t>
  </si>
  <si>
    <t>Blazers u207 L</t>
  </si>
  <si>
    <t>Blazers o206 L</t>
  </si>
  <si>
    <t>D wade rebounds o4.5</t>
  </si>
  <si>
    <t>Jazz 1h ml</t>
  </si>
  <si>
    <t xml:space="preserve">Jazz team o105.5 </t>
  </si>
  <si>
    <t>K george pts u17.5</t>
  </si>
  <si>
    <t>T maxey points u29.5</t>
  </si>
  <si>
    <t>Wade rebounds o4.5</t>
  </si>
  <si>
    <t>Hawks o116.5 1h</t>
  </si>
  <si>
    <t>Hawks o117.5 1h</t>
  </si>
  <si>
    <t>Hawks o118.5 1h</t>
  </si>
  <si>
    <t>Magic +25.5 L</t>
  </si>
  <si>
    <t>Jazz u57.5 Q2</t>
  </si>
  <si>
    <t>Lakers o229 L</t>
  </si>
  <si>
    <t>Lakers o229.5 L</t>
  </si>
  <si>
    <t>Lakers o230 L</t>
  </si>
  <si>
    <t>Lakers o230.5 L</t>
  </si>
  <si>
    <t>Lakers o231 L</t>
  </si>
  <si>
    <t>Lakers o231.5 L</t>
  </si>
  <si>
    <t>Lakers o232 L</t>
  </si>
  <si>
    <t>Magic o193.5 L</t>
  </si>
  <si>
    <t>Nuggets -10</t>
  </si>
  <si>
    <t>Nuggets -9.5</t>
  </si>
  <si>
    <t>Nuggets -9</t>
  </si>
  <si>
    <t>Nuggets -8.5</t>
  </si>
  <si>
    <t>Nuggets -10.5</t>
  </si>
  <si>
    <t>Spurs u106.5 1H</t>
  </si>
  <si>
    <t>Spurs u105.5 1H</t>
  </si>
  <si>
    <t>Spurs u104.5 1H</t>
  </si>
  <si>
    <t>Thunder -12</t>
  </si>
  <si>
    <t>Warriors o217</t>
  </si>
  <si>
    <t>Wright State +20</t>
  </si>
  <si>
    <t>NCAAB</t>
  </si>
  <si>
    <t>Bulls u58.5 Q2</t>
  </si>
  <si>
    <t>Edwardsville o151</t>
  </si>
  <si>
    <t>Edwardsville o151.5</t>
  </si>
  <si>
    <t>Edwardsville o152</t>
  </si>
  <si>
    <t>Edwardsville o152.5</t>
  </si>
  <si>
    <t>Edwardsville o153</t>
  </si>
  <si>
    <t>Indiana ml L</t>
  </si>
  <si>
    <t>Lakers ml Q2</t>
  </si>
  <si>
    <t>Magic o231.5 L</t>
  </si>
  <si>
    <t>Nuggets ml Q2</t>
  </si>
  <si>
    <t>Pelicans +7.5</t>
  </si>
  <si>
    <t>Pelicans +8</t>
  </si>
  <si>
    <t>Pelicans +7</t>
  </si>
  <si>
    <t>Pelicans tt o109.5</t>
  </si>
  <si>
    <t>Pistons o209 L</t>
  </si>
  <si>
    <t>Bulls tt o108.5</t>
  </si>
  <si>
    <t xml:space="preserve">Jacksonville o153.5 </t>
  </si>
  <si>
    <t>Jacksonville o154</t>
  </si>
  <si>
    <t>Jacksonville o152.5</t>
  </si>
  <si>
    <t>Jacksonville o153</t>
  </si>
  <si>
    <t>Jacksonville o154.5</t>
  </si>
  <si>
    <t>Jazz ml Q2</t>
  </si>
  <si>
    <t>Belmont ml 1h</t>
  </si>
  <si>
    <t>Charleston ml</t>
  </si>
  <si>
    <t>East Tennessee St -10.5</t>
  </si>
  <si>
    <t>Florida Gulf Coast o148.5</t>
  </si>
  <si>
    <t>Fresno St ml</t>
  </si>
  <si>
    <t>New Mexico +3.5</t>
  </si>
  <si>
    <t>UC Davis o142</t>
  </si>
  <si>
    <t>Wolves score first</t>
  </si>
  <si>
    <t>Columbia -11.5</t>
  </si>
  <si>
    <t>Delaware state ml</t>
  </si>
  <si>
    <t>Delaware state ml 1h</t>
  </si>
  <si>
    <t>LSU score first</t>
  </si>
  <si>
    <t>Wofford o155</t>
  </si>
  <si>
    <t>Wofford o155.5</t>
  </si>
  <si>
    <t>Wofford o156</t>
  </si>
  <si>
    <t>Wofford o154.5</t>
  </si>
  <si>
    <t>Wofford o154</t>
  </si>
  <si>
    <t>Mavericks o235 L</t>
  </si>
  <si>
    <t>Mavericks o235.5 L</t>
  </si>
  <si>
    <t>Raptors u239 L</t>
  </si>
  <si>
    <t>Raptors u238.5 L</t>
  </si>
  <si>
    <t>Warriors u250.5 L</t>
  </si>
  <si>
    <t>Warriors u251 L</t>
  </si>
  <si>
    <t>Pelicans ml L</t>
  </si>
  <si>
    <t>Chattanooga L</t>
  </si>
  <si>
    <t>Seattle NCAAB ml L</t>
  </si>
  <si>
    <t>Celtics -14.5</t>
  </si>
  <si>
    <t>Raptors tt o106.5</t>
  </si>
  <si>
    <t>Clippers -11 L</t>
  </si>
  <si>
    <t>Clippers -11.5 L</t>
  </si>
  <si>
    <t>Clippers -12 L</t>
  </si>
  <si>
    <t>76ers +3</t>
  </si>
  <si>
    <t>76ers +3.5</t>
  </si>
  <si>
    <t>76ers +2.5</t>
  </si>
  <si>
    <t>76ers +2</t>
  </si>
  <si>
    <t>Haliburton assists u9.5</t>
  </si>
  <si>
    <t>Magic o108.5 1h</t>
  </si>
  <si>
    <t>Pacers o117.5 1h</t>
  </si>
  <si>
    <t>Pacers o119.5 1h</t>
  </si>
  <si>
    <t>Pacers o118.5 1h</t>
  </si>
  <si>
    <t>Celtics ml</t>
  </si>
  <si>
    <t>Cincinnati -13</t>
  </si>
  <si>
    <t>Florida State -7.5</t>
  </si>
  <si>
    <t>Florida State -7</t>
  </si>
  <si>
    <t>Florida State -8</t>
  </si>
  <si>
    <t>Mavericks -11.5</t>
  </si>
  <si>
    <t>Mavericks -10.5</t>
  </si>
  <si>
    <t>Mavericks -6.5 1h</t>
  </si>
  <si>
    <t>Nuggets u58.5 q2</t>
  </si>
  <si>
    <t>Spurs ml 1h</t>
  </si>
  <si>
    <t>Spurs ml q2</t>
  </si>
  <si>
    <t>Uconn -20.5 1h</t>
  </si>
  <si>
    <t>Wagner u120</t>
  </si>
  <si>
    <t>Wagner u120.5</t>
  </si>
  <si>
    <t>Western Illinois u63.5 1h</t>
  </si>
  <si>
    <t>Cavaliers -12.5</t>
  </si>
  <si>
    <t>Hawks o121.5 1h</t>
  </si>
  <si>
    <t>Norfolk State +22.5</t>
  </si>
  <si>
    <t>Northern Colorado o151.5</t>
  </si>
  <si>
    <t>Northern Colorado o151</t>
  </si>
  <si>
    <t>Northern Colorado o150.5</t>
  </si>
  <si>
    <t>Pacers ml q1</t>
  </si>
  <si>
    <t>San Jose State u141</t>
  </si>
  <si>
    <t>South Dakota State ml</t>
  </si>
  <si>
    <t>South Dakota State -5.5</t>
  </si>
  <si>
    <t>South Dakota State -6</t>
  </si>
  <si>
    <t>South Dakota State -5</t>
  </si>
  <si>
    <t>Stanford -10.5 1h</t>
  </si>
  <si>
    <t>Stony Brook +10.5</t>
  </si>
  <si>
    <t>Jazz u54.5 q1</t>
  </si>
  <si>
    <t>Lindenwood u145.5</t>
  </si>
  <si>
    <t>Lindenwood u145</t>
  </si>
  <si>
    <t>Lindenwood u146</t>
  </si>
  <si>
    <t>Magic o109.5 1h</t>
  </si>
  <si>
    <t>Magic o110.5 1h</t>
  </si>
  <si>
    <t>Raptors ml 1h</t>
  </si>
  <si>
    <t>Raptors o109.5 tt</t>
  </si>
  <si>
    <t>Timberwolves -5.5</t>
  </si>
  <si>
    <t>Virginia ml 1h</t>
  </si>
  <si>
    <t>Arizona ml</t>
  </si>
  <si>
    <t>Arizona +1</t>
  </si>
  <si>
    <t>Arkansas -10.5 1h</t>
  </si>
  <si>
    <t>Arkansas -21</t>
  </si>
  <si>
    <t>Arkansas -19</t>
  </si>
  <si>
    <t>Cal State Fullerton u133.5</t>
  </si>
  <si>
    <t>Drexel ml</t>
  </si>
  <si>
    <t>Florida -9.5 1h</t>
  </si>
  <si>
    <t>Jackson State +35.5</t>
  </si>
  <si>
    <t>Jackson State +34.5</t>
  </si>
  <si>
    <t>Louisana u132</t>
  </si>
  <si>
    <t>Louisana u131.5</t>
  </si>
  <si>
    <t>Louisana u131</t>
  </si>
  <si>
    <t>Louisana u130.5</t>
  </si>
  <si>
    <t>Louisana u133</t>
  </si>
  <si>
    <t>Louisana u132.5</t>
  </si>
  <si>
    <t>Norfolk State +19.5</t>
  </si>
  <si>
    <t>Norfolk State +19</t>
  </si>
  <si>
    <t>Pacific u148</t>
  </si>
  <si>
    <t>Wisconsin o150</t>
  </si>
  <si>
    <t>Wizards o111.5 tt</t>
  </si>
  <si>
    <t>Wofford ml 1h</t>
  </si>
  <si>
    <t>Wofford ml</t>
  </si>
  <si>
    <t>Wofford +1.5</t>
  </si>
  <si>
    <t>California Baptist ml (ncaab)</t>
  </si>
  <si>
    <t>Coastal Carolina -2 (ncaab)</t>
  </si>
  <si>
    <t>Grizzlies o244</t>
  </si>
  <si>
    <t>Kent State -1.5 1h (ncaab)</t>
  </si>
  <si>
    <t>Knicks u121.5 tt</t>
  </si>
  <si>
    <t>Long Beach State ml (ncaab)</t>
  </si>
  <si>
    <t>Long Beach State -2 (ncaab)</t>
  </si>
  <si>
    <t>Long Beach State -3 (ncaab)</t>
  </si>
  <si>
    <t>Long Beach State -2.5 (ncaab)</t>
  </si>
  <si>
    <t>Long Beach State -3.5 (ncaab)</t>
  </si>
  <si>
    <t>Loyola Chiago ml (ncaab)</t>
  </si>
  <si>
    <t>Magic u107.5 tt</t>
  </si>
  <si>
    <t>Nuggets u57.5 q1</t>
  </si>
  <si>
    <t>Omaha o146.5 (ncaab)</t>
  </si>
  <si>
    <t>Omaha o151 (ncaab)</t>
  </si>
  <si>
    <t>Pistons ml 1h</t>
  </si>
  <si>
    <t>Rockets -11.5</t>
  </si>
  <si>
    <t>Rockets -10.5</t>
  </si>
  <si>
    <t>Stanford ml 1h (ncaab)</t>
  </si>
  <si>
    <t>Stony Brook +12 (ncaab)</t>
  </si>
  <si>
    <t>Stony Brook +11.5 (ncaab)</t>
  </si>
  <si>
    <t>Temple +3 (ncaab)</t>
  </si>
  <si>
    <t>Trail Blazers ml q2</t>
  </si>
  <si>
    <t>Trail Blazers +15.5</t>
  </si>
  <si>
    <t>Trail Blazers ml 1h</t>
  </si>
  <si>
    <t>Trail Blazers +15 L</t>
  </si>
  <si>
    <t>Trail Blazers +14.5</t>
  </si>
  <si>
    <t>Trail Blazers u228</t>
  </si>
  <si>
    <t>Trail Blazers o106.5 tt</t>
  </si>
  <si>
    <t>Tulsa +11.5 (ncaab)</t>
  </si>
  <si>
    <t>Tulsa +11 (ncaab)</t>
  </si>
  <si>
    <t>Wofford +4 (ncaab)</t>
  </si>
  <si>
    <t>Fairfield +9.5 (ncaab)</t>
  </si>
  <si>
    <t>Heat ml</t>
  </si>
  <si>
    <t>Jackson State u71.5 1h</t>
  </si>
  <si>
    <t>Maryland ml (ncaab)</t>
  </si>
  <si>
    <t>Milwaukee -1.5 (ncaab)</t>
  </si>
  <si>
    <t>Milwaukee -1 (ncaab)</t>
  </si>
  <si>
    <t>Nets o224.5</t>
  </si>
  <si>
    <t>Nets o223.5</t>
  </si>
  <si>
    <t>Nets o223</t>
  </si>
  <si>
    <t>Nets o224</t>
  </si>
  <si>
    <t>Nets o222.5</t>
  </si>
  <si>
    <t>Nets o225</t>
  </si>
  <si>
    <t>Nets o225.5</t>
  </si>
  <si>
    <t>Nets o226</t>
  </si>
  <si>
    <t>Nets o226.5</t>
  </si>
  <si>
    <t>Nets o227</t>
  </si>
  <si>
    <t>Portland State +7.5 (ncaab)</t>
  </si>
  <si>
    <t>Portland State +7 (ncaab)</t>
  </si>
  <si>
    <t>Portland State +8 (ncaab)</t>
  </si>
  <si>
    <t>Portland State +8.5 (ncaab)</t>
  </si>
  <si>
    <t>Portland State +6.5 (ncaab)</t>
  </si>
  <si>
    <t>Portland State +6 (ncaab)</t>
  </si>
  <si>
    <t>Raptors ml q2</t>
  </si>
  <si>
    <t>St Thomas +4 (ncaab)</t>
  </si>
  <si>
    <t>St Thomas +3 (ncaab)</t>
  </si>
  <si>
    <t>St Thomas +4.5 (ncaab)</t>
  </si>
  <si>
    <t>St Thomas +3.5 (ncaab)</t>
  </si>
  <si>
    <t>Timberwolves o221</t>
  </si>
  <si>
    <t>Timberwolves o220</t>
  </si>
  <si>
    <t>Timberwolves o219.5</t>
  </si>
  <si>
    <t>Timberwolves o221.5</t>
  </si>
  <si>
    <t>Timberwolves o222</t>
  </si>
  <si>
    <t>USC -21.5 (ncaab)</t>
  </si>
  <si>
    <t>Villanova o139 (ncaab)</t>
  </si>
  <si>
    <t>Alabama A&amp;M -4.5 (ncaab)</t>
  </si>
  <si>
    <t>Alabama A&amp;M -4 (ncaab)</t>
  </si>
  <si>
    <t>Alabama A&amp;M -5 (ncaab)</t>
  </si>
  <si>
    <t>Alabama A&amp;M -5.5 (ncaab)</t>
  </si>
  <si>
    <t>Chattanooga ml (ncaab)</t>
  </si>
  <si>
    <t>Clemson ml (ncaab)</t>
  </si>
  <si>
    <t>Colorado +8 (ncaab)</t>
  </si>
  <si>
    <t>Colorado +8.5 (ncaab)</t>
  </si>
  <si>
    <t>Mavericks ml</t>
  </si>
  <si>
    <t>Nets +15.5</t>
  </si>
  <si>
    <t>North Carolina ml (ncaab)</t>
  </si>
  <si>
    <t>Pelicans u111.5 1h</t>
  </si>
  <si>
    <t>Sac Kings o235.5</t>
  </si>
  <si>
    <t>Saint Louis ml (ncaab)</t>
  </si>
  <si>
    <t>South Carolina +8 (ncaab)</t>
  </si>
  <si>
    <t>South Carolina +7.5 (ncaab)</t>
  </si>
  <si>
    <t>South Carolina +7 (ncaab)</t>
  </si>
  <si>
    <t>South Carolina +6.5 (ncaab)</t>
  </si>
  <si>
    <t>South Carolina +6 (ncaab)</t>
  </si>
  <si>
    <t>South Carolina +5.5 (ncaab)</t>
  </si>
  <si>
    <t>South Carolina +5 (ncaab)</t>
  </si>
  <si>
    <t>South Carolina +4.5 (ncaab)</t>
  </si>
  <si>
    <t>Belmont ml</t>
  </si>
  <si>
    <t>Dayton ml 1h</t>
  </si>
  <si>
    <t>Dayton +11 (ncaab)</t>
  </si>
  <si>
    <t>Dayton +10.5</t>
  </si>
  <si>
    <t>Dayton +10</t>
  </si>
  <si>
    <t>Duke ml (ncaab)</t>
  </si>
  <si>
    <t>Fresno State +14.5 (ncaab)</t>
  </si>
  <si>
    <t>Fresno State +15 (ncaab)</t>
  </si>
  <si>
    <t>Grambling State o151</t>
  </si>
  <si>
    <t>Grambling State o151.5</t>
  </si>
  <si>
    <t>Grambling State o152</t>
  </si>
  <si>
    <t>Notre Dame +1.5 1h</t>
  </si>
  <si>
    <t>Rockets u106.5 1h</t>
  </si>
  <si>
    <t>Rockets u107.5 1h</t>
  </si>
  <si>
    <t>Stanford +2</t>
  </si>
  <si>
    <t>UC Santa Barbara ml</t>
  </si>
  <si>
    <t>Daivdson +19</t>
  </si>
  <si>
    <t>Daividson +18.5</t>
  </si>
  <si>
    <t>Davidson +19.5</t>
  </si>
  <si>
    <t>Davidson +18</t>
  </si>
  <si>
    <t>Davidson +17.5</t>
  </si>
  <si>
    <t>Hawks ml</t>
  </si>
  <si>
    <t>Knicks u232</t>
  </si>
  <si>
    <t>Knicks u232.5 L</t>
  </si>
  <si>
    <t>Michigan State ml 1h</t>
  </si>
  <si>
    <t>Nets ml q1</t>
  </si>
  <si>
    <t>Pacers u120.5 tt</t>
  </si>
  <si>
    <t>Raptors o107.5 1h</t>
  </si>
  <si>
    <t>Samford ml</t>
  </si>
  <si>
    <t>Bethune ml 1h</t>
  </si>
  <si>
    <t>Magic u210</t>
  </si>
  <si>
    <t>Magic u209.5</t>
  </si>
  <si>
    <t>Pelicans o110.5 tt</t>
  </si>
  <si>
    <t>Hornets +1.5 q1</t>
  </si>
  <si>
    <t>Hawks ml L</t>
  </si>
  <si>
    <t>Knicks u214.5</t>
  </si>
  <si>
    <t>Knicks u214</t>
  </si>
  <si>
    <t>Knicks u213.5</t>
  </si>
  <si>
    <t>Knicks u213</t>
  </si>
  <si>
    <t>Pacers -11 L</t>
  </si>
  <si>
    <t>Pacers -9 L</t>
  </si>
  <si>
    <t>Pacers -9.5 L</t>
  </si>
  <si>
    <t>Pacers o239.5 L</t>
  </si>
  <si>
    <t>Pelicans +23.5 L</t>
  </si>
  <si>
    <t>Rockets ml L</t>
  </si>
  <si>
    <t>Spurs ml L</t>
  </si>
  <si>
    <t>Timberwolves -1.5</t>
  </si>
  <si>
    <t>Cavaliers -24 L</t>
  </si>
  <si>
    <t>Cavaliers -23.5 L</t>
  </si>
  <si>
    <t>Cavaliers -23 L</t>
  </si>
  <si>
    <t>Hawks o241.5 L</t>
  </si>
  <si>
    <t>Hawks o241 L</t>
  </si>
  <si>
    <t>Hawks o240.5 L</t>
  </si>
  <si>
    <t>Hawks o242.5 L</t>
  </si>
  <si>
    <t>Hawks o243 L</t>
  </si>
  <si>
    <t>Miss State o151.5</t>
  </si>
  <si>
    <t>Miss State o152.5 (ncaab)</t>
  </si>
  <si>
    <t>Pistons ml L</t>
  </si>
  <si>
    <t>Warriors -9.5 L</t>
  </si>
  <si>
    <t>Hawks -9 L</t>
  </si>
  <si>
    <t>Heat -11 L</t>
  </si>
  <si>
    <t xml:space="preserve">Knicks -13 </t>
  </si>
  <si>
    <t>Knicks -12.5</t>
  </si>
  <si>
    <t>Rockets -19.5 L</t>
  </si>
  <si>
    <t>Spurs +7 L</t>
  </si>
  <si>
    <t>Spurs +6.5 L</t>
  </si>
  <si>
    <t>Spurs +5.5 L</t>
  </si>
  <si>
    <t>Spurs +6 L</t>
  </si>
  <si>
    <t>Suns u115.5 1h</t>
  </si>
  <si>
    <t>Wizards o241 L</t>
  </si>
  <si>
    <t>Wizards o240.5 L</t>
  </si>
  <si>
    <t>76ers -11 L</t>
  </si>
  <si>
    <t>76ers -9 L</t>
  </si>
  <si>
    <t>76ers -8.5 L</t>
  </si>
  <si>
    <t>Celtics ml L</t>
  </si>
  <si>
    <t>Mavericks +16.5 L</t>
  </si>
  <si>
    <t>Oakland u130.5 (ncaab)</t>
  </si>
  <si>
    <t>Oakland u131.5 (ncaab)</t>
  </si>
  <si>
    <t>Oakland u132.5 (ncaab)</t>
  </si>
  <si>
    <t>Spurs +5 L</t>
  </si>
  <si>
    <t>Spurs o222.5 L</t>
  </si>
  <si>
    <t>Spurs o223 L</t>
  </si>
  <si>
    <t>Spurs o222 L</t>
  </si>
  <si>
    <t>Spurs o223.5 L</t>
  </si>
  <si>
    <t>Spurs o224 L</t>
  </si>
  <si>
    <t>Spurs o221.5 L</t>
  </si>
  <si>
    <t>nets ml, pelicans +7,5, grizzlies -11.5</t>
  </si>
  <si>
    <t>Pistons +7.5 L</t>
  </si>
  <si>
    <t>Pistons +7 L</t>
  </si>
  <si>
    <t>Pistons +6.5 L</t>
  </si>
  <si>
    <t>Pistons +6 L</t>
  </si>
  <si>
    <t>Pistons +5.5 L</t>
  </si>
  <si>
    <t>Twolves ml L</t>
  </si>
  <si>
    <t>UT arlington +6 (ncaab)</t>
  </si>
  <si>
    <t>UT arlington +6.5 (ncaab)</t>
  </si>
  <si>
    <t>UT arlington +7 (ncaab)</t>
  </si>
  <si>
    <t>UT arlington +7.5 (ncaab)</t>
  </si>
  <si>
    <t>UT arlington +5.5 (ncaab)</t>
  </si>
  <si>
    <t>Knicks -13 L</t>
  </si>
  <si>
    <t>Rockets -10.5 L</t>
  </si>
  <si>
    <t>Thunder +6 L</t>
  </si>
  <si>
    <t>Thunder +6.5 L</t>
  </si>
  <si>
    <t>Thunder +7 L</t>
  </si>
  <si>
    <t>Thunder +7.5 L</t>
  </si>
  <si>
    <t>Tarleton State ml L</t>
  </si>
  <si>
    <t>Tarleton State -1 L</t>
  </si>
  <si>
    <t>Tarleton State -1.5 L</t>
  </si>
  <si>
    <t>Tarleton State -2 L</t>
  </si>
  <si>
    <t>UT Rio grande valley o158.5</t>
  </si>
  <si>
    <t>UT Rio grande valley o157.5</t>
  </si>
  <si>
    <t>UT Rio grande valley o156.5</t>
  </si>
  <si>
    <t xml:space="preserve">Bucks +4.5 </t>
  </si>
  <si>
    <t xml:space="preserve">Bucks +4 </t>
  </si>
  <si>
    <t xml:space="preserve">Bucks +5 </t>
  </si>
  <si>
    <t>Magic 2q ml</t>
  </si>
  <si>
    <t>Oklahoma ml, Kansas -4, NJIT +9</t>
  </si>
  <si>
    <t>Delaware u126.5 L</t>
  </si>
  <si>
    <t>BRrb</t>
  </si>
  <si>
    <t>NCAAB (M)</t>
  </si>
  <si>
    <t>Delaware State</t>
  </si>
  <si>
    <t>2025:12:06:14:04:08</t>
  </si>
  <si>
    <t>Duke ml L</t>
  </si>
  <si>
    <t>Michigan State</t>
  </si>
  <si>
    <t>2025:12:06:12:39:43</t>
  </si>
  <si>
    <t>Miami ohio +7.5 L</t>
  </si>
  <si>
    <t>Bucknell</t>
  </si>
  <si>
    <t>2025:12:06:12:30:40</t>
  </si>
  <si>
    <t>Miami Florida -8.5 L</t>
  </si>
  <si>
    <t>Southern Miss</t>
  </si>
  <si>
    <t>2025:12:06:13:03:18</t>
  </si>
  <si>
    <t>Michigan State ml L</t>
  </si>
  <si>
    <t>Duke</t>
  </si>
  <si>
    <t>2025:12:06:13:53:06</t>
  </si>
  <si>
    <t>Monmouth u135.5 L</t>
  </si>
  <si>
    <t>Georgia Tech</t>
  </si>
  <si>
    <t>2025:12:06:13:11:51</t>
  </si>
  <si>
    <t>New Haven +4.5</t>
  </si>
  <si>
    <t>2025:12:06:12:52:29</t>
  </si>
  <si>
    <t>New Haven +5.5 L</t>
  </si>
  <si>
    <t>Boston College</t>
  </si>
  <si>
    <t>2025:12:06:13:31:39</t>
  </si>
  <si>
    <t>2025:12:06:13:36:45</t>
  </si>
  <si>
    <t>Old Dominion +8.5 L</t>
  </si>
  <si>
    <t>Richmond</t>
  </si>
  <si>
    <t>2025:12:06:14:08:14</t>
  </si>
  <si>
    <t>Providence -12.5 L</t>
  </si>
  <si>
    <t>Rhode Island</t>
  </si>
  <si>
    <t>2025:12:06:12:29:41</t>
  </si>
  <si>
    <t>Purdue ml L</t>
  </si>
  <si>
    <t>Basketball</t>
  </si>
  <si>
    <t>Iowa State</t>
  </si>
  <si>
    <t>2025:12:06:12:50:20</t>
  </si>
  <si>
    <t>Southern Miss +16.5 L</t>
  </si>
  <si>
    <t>Miami Florida</t>
  </si>
  <si>
    <t>2025:12:06:13:52:12</t>
  </si>
  <si>
    <t>UMBC +4.5 L</t>
  </si>
  <si>
    <t>2025:12:06:12:24:37</t>
  </si>
  <si>
    <t>UMBC ml L</t>
  </si>
  <si>
    <t>2025:12:06:12:25:33</t>
  </si>
  <si>
    <t>UMBC o135.5 L</t>
  </si>
  <si>
    <t>2025:12:06:12:36:43</t>
  </si>
  <si>
    <t>UMBC Retrievers u127.5 L</t>
  </si>
  <si>
    <t>Bucknell Bison</t>
  </si>
  <si>
    <t>2025:12:06:13:07:59</t>
  </si>
  <si>
    <t>UNC Asheville +13.5 L</t>
  </si>
  <si>
    <t>NC State</t>
  </si>
  <si>
    <t>2025:12:06:14:45:43</t>
  </si>
  <si>
    <t>UNC Asheville +15.5 L</t>
  </si>
  <si>
    <t>2025:12:06:14:46:12</t>
  </si>
  <si>
    <t>2025:12:06:14:48:13</t>
  </si>
  <si>
    <t>2025:12:06:14:49:16</t>
  </si>
  <si>
    <t>Philadelphia 76ers ml L</t>
  </si>
  <si>
    <t>BRlz</t>
  </si>
  <si>
    <t>Los Angeles Lakers</t>
  </si>
  <si>
    <t>2025:12:07:21:00:22</t>
  </si>
  <si>
    <t>Utah Jazz ml L</t>
  </si>
  <si>
    <t>Oklahoma City Thunder</t>
  </si>
  <si>
    <t>2025:12:07:22:05:57</t>
  </si>
  <si>
    <t>New York Knicks u241 L</t>
  </si>
  <si>
    <t>Toronto Raptors</t>
  </si>
  <si>
    <t>2025:12:09:21:19:02</t>
  </si>
  <si>
    <t>New York Knicks -12.5 L</t>
  </si>
  <si>
    <t>2025:12:09:22:24:32</t>
  </si>
  <si>
    <t>Denver Nuggets u253.5 L</t>
  </si>
  <si>
    <t>Sacramento Kings</t>
  </si>
  <si>
    <t>2025:12:11:23:45:49</t>
  </si>
  <si>
    <t>North Dakota State u149.5 L</t>
  </si>
  <si>
    <t>Cal State Bakersfield</t>
  </si>
  <si>
    <t>2025:12:11:23:10:59</t>
  </si>
  <si>
    <t>Butler ml L</t>
  </si>
  <si>
    <t>Providence</t>
  </si>
  <si>
    <t>2025:12:13:15:55:35</t>
  </si>
  <si>
    <t>Cal Riverside u157.5 L</t>
  </si>
  <si>
    <t>BYU</t>
  </si>
  <si>
    <t>2025:12:13:22:51:38</t>
  </si>
  <si>
    <t>Central Arkansas +25.5 L</t>
  </si>
  <si>
    <t>Vanderbilt</t>
  </si>
  <si>
    <t>2025:12:13:20:11:40</t>
  </si>
  <si>
    <t>Central Arkansas +15.5 L</t>
  </si>
  <si>
    <t>2025:12:13:20:23:10</t>
  </si>
  <si>
    <t>Central Arkansas u153.5 L</t>
  </si>
  <si>
    <t>2025:12:13:20:23:46</t>
  </si>
  <si>
    <t>Chattanooga o164.5 L</t>
  </si>
  <si>
    <t>Auburn</t>
  </si>
  <si>
    <t>2025:12:13:18:19:13</t>
  </si>
  <si>
    <t>Dayton -36.5 L</t>
  </si>
  <si>
    <t>North Florida</t>
  </si>
  <si>
    <t>2025:12:13:19:29:40</t>
  </si>
  <si>
    <t>Delaware ml L</t>
  </si>
  <si>
    <t>Cal State Northridge</t>
  </si>
  <si>
    <t>2025:12:13:13:12:10</t>
  </si>
  <si>
    <t>Drake +3.5 L</t>
  </si>
  <si>
    <t>North Dakota State</t>
  </si>
  <si>
    <t>2025:12:13:14:23:50</t>
  </si>
  <si>
    <t>Drake ml L</t>
  </si>
  <si>
    <t>2025:12:13:15:48:30</t>
  </si>
  <si>
    <t>Florida State ml L</t>
  </si>
  <si>
    <t>Massachusetts</t>
  </si>
  <si>
    <t>2025:12:13:13:40:25</t>
  </si>
  <si>
    <t>George Mason -13.5 L</t>
  </si>
  <si>
    <t>Old Dominion</t>
  </si>
  <si>
    <t>2025:12:13:14:03:15</t>
  </si>
  <si>
    <t>Georgia State ml L</t>
  </si>
  <si>
    <t>Jacksonville State</t>
  </si>
  <si>
    <t>2025:12:13:15:49:04</t>
  </si>
  <si>
    <t>Georgia -9.5 L</t>
  </si>
  <si>
    <t>Cincinnati</t>
  </si>
  <si>
    <t>2025:12:13:16:05:17</t>
  </si>
  <si>
    <t>Grand Canyon -31.5 L</t>
  </si>
  <si>
    <t>Coastal Carolina</t>
  </si>
  <si>
    <t>2025:12:13:20:42:07</t>
  </si>
  <si>
    <t>Grand Canyon -32.5 L</t>
  </si>
  <si>
    <t>2025:12:13:20:43:52</t>
  </si>
  <si>
    <t>Indiana +7.5 L</t>
  </si>
  <si>
    <t>Kentucky</t>
  </si>
  <si>
    <t>2025:12:13:21:52:55</t>
  </si>
  <si>
    <t>Jacksonville State ml L</t>
  </si>
  <si>
    <t>Georgia State</t>
  </si>
  <si>
    <t>2025:12:13:15:18:15</t>
  </si>
  <si>
    <t>Kansas State -5.5 L</t>
  </si>
  <si>
    <t>Creighton</t>
  </si>
  <si>
    <t>2025:12:13:17:06:18</t>
  </si>
  <si>
    <t>Longwood ml L</t>
  </si>
  <si>
    <t>2025:12:13:15:24:45</t>
  </si>
  <si>
    <t>Marquette +20.5 L</t>
  </si>
  <si>
    <t>Purdue</t>
  </si>
  <si>
    <t>2025:12:13:14:35:05</t>
  </si>
  <si>
    <t>Mercer +5.5 L</t>
  </si>
  <si>
    <t>Clemson</t>
  </si>
  <si>
    <t>2025:12:13:16:42:09</t>
  </si>
  <si>
    <t>Penn State</t>
  </si>
  <si>
    <t>2025:12:13:13:48:41</t>
  </si>
  <si>
    <t>Michigan State u151.5 L</t>
  </si>
  <si>
    <t>2025:12:13:13:24:46</t>
  </si>
  <si>
    <t>Michigan State u152.5 L</t>
  </si>
  <si>
    <t>2025:12:13:13:42:37</t>
  </si>
  <si>
    <t>Michigan o183.5 L</t>
  </si>
  <si>
    <t>Maryland</t>
  </si>
  <si>
    <t>2025:12:13:20:59:07</t>
  </si>
  <si>
    <t>Michigan u193.5 L</t>
  </si>
  <si>
    <t>2025:12:13:21:50:49</t>
  </si>
  <si>
    <t>NC State ml L</t>
  </si>
  <si>
    <t>Kansas</t>
  </si>
  <si>
    <t>2025:12:13:19:33:28</t>
  </si>
  <si>
    <t>North Dakota State o190.5 L</t>
  </si>
  <si>
    <t>Drake</t>
  </si>
  <si>
    <t>2025:12:13:15:30:51</t>
  </si>
  <si>
    <t>Ohio State ml L</t>
  </si>
  <si>
    <t>West Virginia</t>
  </si>
  <si>
    <t>2025:12:13:22:29:48</t>
  </si>
  <si>
    <t>2025:12:13:22:49:34</t>
  </si>
  <si>
    <t>Oklahoma State +4.5 L</t>
  </si>
  <si>
    <t>Oklahoma</t>
  </si>
  <si>
    <t>2025:12:13:13:29:01</t>
  </si>
  <si>
    <t>Oklahoma State +3.5 L</t>
  </si>
  <si>
    <t>2025:12:13:13:29:57</t>
  </si>
  <si>
    <t>Oklahoma State u160.5 L</t>
  </si>
  <si>
    <t>2025:12:13:13:38:28</t>
  </si>
  <si>
    <t>Oklahoma State o156.5 L</t>
  </si>
  <si>
    <t>2025:12:13:14:40:39</t>
  </si>
  <si>
    <t>Oregon -24.5 L</t>
  </si>
  <si>
    <t>UC Davis</t>
  </si>
  <si>
    <t>2025:12:13:16:23:58</t>
  </si>
  <si>
    <t>Oregon -28.5 L</t>
  </si>
  <si>
    <t>2025:12:13:16:29:26</t>
  </si>
  <si>
    <t>Oregon -31.5 L</t>
  </si>
  <si>
    <t>2025:12:13:16:31:07</t>
  </si>
  <si>
    <t>Oregon -30.5 L</t>
  </si>
  <si>
    <t>2025:12:13:16:32:11</t>
  </si>
  <si>
    <t>Oregon -32.5 L</t>
  </si>
  <si>
    <t>2025:12:13:16:37:53</t>
  </si>
  <si>
    <t>Penn State +16.5 L</t>
  </si>
  <si>
    <t>2025:12:13:12:16:55</t>
  </si>
  <si>
    <t>Penn State +14.5 L</t>
  </si>
  <si>
    <t>2025:12:13:12:17:33</t>
  </si>
  <si>
    <t>Providence ml L</t>
  </si>
  <si>
    <t>Butler</t>
  </si>
  <si>
    <t>2025:12:13:14:14:11</t>
  </si>
  <si>
    <t>2025:12:13:15:43:22</t>
  </si>
  <si>
    <t>Purdue -27.5 L</t>
  </si>
  <si>
    <t>Marquette</t>
  </si>
  <si>
    <t>2025:12:13:15:27:08</t>
  </si>
  <si>
    <t>Rice ml L</t>
  </si>
  <si>
    <t>Arkansas State</t>
  </si>
  <si>
    <t>2025:12:13:16:10:44</t>
  </si>
  <si>
    <t>Robert Morris ml L</t>
  </si>
  <si>
    <t>Toledo</t>
  </si>
  <si>
    <t>2025:12:13:14:46:23</t>
  </si>
  <si>
    <t>Rutgers +15.5 L</t>
  </si>
  <si>
    <t>Seton Hall</t>
  </si>
  <si>
    <t>2025:12:13:21:36:41</t>
  </si>
  <si>
    <t>Rutgers u128.5 L</t>
  </si>
  <si>
    <t>2025:12:13:21:36:13</t>
  </si>
  <si>
    <t>Saint Peter's +11.5 L</t>
  </si>
  <si>
    <t>Georgetown</t>
  </si>
  <si>
    <t>2025:12:13:15:56:28</t>
  </si>
  <si>
    <t>Saint Peter's +12.5 L</t>
  </si>
  <si>
    <t>2025:12:13:15:57:19</t>
  </si>
  <si>
    <t>Saint Peter's +13.5 L</t>
  </si>
  <si>
    <t>2025:12:13:16:00:18</t>
  </si>
  <si>
    <t>Saint Peter's +14.5 L</t>
  </si>
  <si>
    <t>2025:12:13:16:11:17</t>
  </si>
  <si>
    <t>Saint Peter's u124.5 L</t>
  </si>
  <si>
    <t>2025:12:13:16:09:45</t>
  </si>
  <si>
    <t>San Francisco +14.5 L</t>
  </si>
  <si>
    <t>Saint Louis</t>
  </si>
  <si>
    <t>2025:12:13:21:41:29</t>
  </si>
  <si>
    <t>San Francisco +15.5 L</t>
  </si>
  <si>
    <t>2025:12:13:21:42:24</t>
  </si>
  <si>
    <t>Santa Clara ml L</t>
  </si>
  <si>
    <t>Arizona State</t>
  </si>
  <si>
    <t>2025:12:13:20:43:23</t>
  </si>
  <si>
    <t>Toledo ml L</t>
  </si>
  <si>
    <t>Robert Morris</t>
  </si>
  <si>
    <t>2025:12:13:14:37:30</t>
  </si>
  <si>
    <t>UC Davis u157.5 L</t>
  </si>
  <si>
    <t>Oregon</t>
  </si>
  <si>
    <t>2025:12:13:17:41:27</t>
  </si>
  <si>
    <t>UC Davis u158.5 L</t>
  </si>
  <si>
    <t>2025:12:13:17:45:09</t>
  </si>
  <si>
    <t>Utah Valley -15.5 L</t>
  </si>
  <si>
    <t>UC Santa Barbara</t>
  </si>
  <si>
    <t>2025:12:13:14:31:36</t>
  </si>
  <si>
    <t>UTSA +27.5 L</t>
  </si>
  <si>
    <t>Colorado</t>
  </si>
  <si>
    <t>2025:12:13:18:07:51</t>
  </si>
  <si>
    <t>West Virginia o142.5 L</t>
  </si>
  <si>
    <t>Ohio State</t>
  </si>
  <si>
    <t>2025:12:13:20:17:23</t>
  </si>
  <si>
    <t>Bethune Cookman u145.5 L</t>
  </si>
  <si>
    <t>BRmb-ny</t>
  </si>
  <si>
    <t>Missouri</t>
  </si>
  <si>
    <t>2025:12:14:15:38:35</t>
  </si>
  <si>
    <t>Campbell ml L</t>
  </si>
  <si>
    <t>Ball State</t>
  </si>
  <si>
    <t>2025:12:14:16:08:50</t>
  </si>
  <si>
    <t>Charlotte +1.5 L</t>
  </si>
  <si>
    <t>Charleston Southern</t>
  </si>
  <si>
    <t>2025:12:14:17:49:34</t>
  </si>
  <si>
    <t>Los Angeles Lakers ml L</t>
  </si>
  <si>
    <t>Phoenix Suns</t>
  </si>
  <si>
    <t>2025:12:14:22:47:01</t>
  </si>
  <si>
    <t>Monmouth +1.5 L</t>
  </si>
  <si>
    <t>Fairfield</t>
  </si>
  <si>
    <t>2025:12:14:15:27:14</t>
  </si>
  <si>
    <t>Sacramento Kings ml L</t>
  </si>
  <si>
    <t>Minnesota Timberwolves</t>
  </si>
  <si>
    <t>2025:12:14:20:55:56</t>
  </si>
  <si>
    <t>Troy +3.5 L</t>
  </si>
  <si>
    <t>UAB</t>
  </si>
  <si>
    <t>2025:12:14:16:38:32</t>
  </si>
  <si>
    <t>Washington State o130.5 L</t>
  </si>
  <si>
    <t>USC</t>
  </si>
  <si>
    <t>2025:12:14:21:25:28</t>
  </si>
  <si>
    <t>Detroit Pistons u222.5 L</t>
  </si>
  <si>
    <t>Boston Celtics</t>
  </si>
  <si>
    <t>2025:12:15:21:31:33</t>
  </si>
  <si>
    <t>Detroit Pistons u220.5 L</t>
  </si>
  <si>
    <t>2025:12:15:21:33:12</t>
  </si>
  <si>
    <t>Cleveland Cavaliers -9.5 L</t>
  </si>
  <si>
    <t>BBrb-ny</t>
  </si>
  <si>
    <t>New York Knicks</t>
  </si>
  <si>
    <t>2025:12:25:14:15:50</t>
  </si>
  <si>
    <t>Cleveland Cavaliers u246 L</t>
  </si>
  <si>
    <t>2025:12:25:13:04:08</t>
  </si>
  <si>
    <t>Dallas Mavericks ml L</t>
  </si>
  <si>
    <t>Golden State Warriors</t>
  </si>
  <si>
    <t>2025:12:25:19:31:31</t>
  </si>
  <si>
    <t>Golden State Warriors q4 ml L</t>
  </si>
  <si>
    <t>Dallas Mavericks</t>
  </si>
  <si>
    <t>2025:12:25:19:35:58</t>
  </si>
  <si>
    <t>Houston Rockets -9.5 L</t>
  </si>
  <si>
    <t>2025:12:25:21:03:09</t>
  </si>
  <si>
    <t>Houston Rockets 3q ml L</t>
  </si>
  <si>
    <t>3q moneyline</t>
  </si>
  <si>
    <t>2025:12:25:21:12:21</t>
  </si>
  <si>
    <t>Houston Rockets -7.5 L</t>
  </si>
  <si>
    <t>2025:12:25:21:12:59</t>
  </si>
  <si>
    <t>Houston Rockets -6.5 L</t>
  </si>
  <si>
    <t>2025:12:25:21:13:12</t>
  </si>
  <si>
    <t>Houston Rockets -17.5 L</t>
  </si>
  <si>
    <t>2025:12:25:22:15:59</t>
  </si>
  <si>
    <t>Houston Rockets o213.5 L</t>
  </si>
  <si>
    <t>2025:12:25:22:14:53</t>
  </si>
  <si>
    <t>Detroit Pistons ml L</t>
  </si>
  <si>
    <t>Utah Jazz</t>
  </si>
  <si>
    <t>2025:12:26:23:23:38</t>
  </si>
  <si>
    <t>2025:12:26:23:27:11</t>
  </si>
  <si>
    <t>2025:12:26:23:39:51</t>
  </si>
  <si>
    <t>Detroit Pistons u264.5 L</t>
  </si>
  <si>
    <t>2025:12:26:23:19:50</t>
  </si>
  <si>
    <t>Detroit Pistons u263.5 L</t>
  </si>
  <si>
    <t>2025:12:26:23:20:07</t>
  </si>
  <si>
    <t>Detroit Pistons u260.5 L</t>
  </si>
  <si>
    <t>2025:12:26:23:21:31</t>
  </si>
  <si>
    <t>Colorado ml L</t>
  </si>
  <si>
    <t>BBmb-ny</t>
  </si>
  <si>
    <t>Northern Colorado</t>
  </si>
  <si>
    <t>2025:12:28:16:40:21</t>
  </si>
  <si>
    <t>Detroit Pistons 3q ml L</t>
  </si>
  <si>
    <t>Los Angeles Clippers</t>
  </si>
  <si>
    <t>2025:12:28:22:42:02</t>
  </si>
  <si>
    <t>Detroit Pistons +18.5 L</t>
  </si>
  <si>
    <t>2025:12:28:22:52:32</t>
  </si>
  <si>
    <t>Detroit Pistons +16.5 L</t>
  </si>
  <si>
    <t>2025:12:28:23:04:21</t>
  </si>
  <si>
    <t>Detroit Pistons +17.5 L</t>
  </si>
  <si>
    <t>2025:12:28:23:06:06</t>
  </si>
  <si>
    <t>Memphis Grizzlies o120.5 1h L</t>
  </si>
  <si>
    <t>1h total</t>
  </si>
  <si>
    <t>Washington Wizards</t>
  </si>
  <si>
    <t>2025:12:28:18:47:40</t>
  </si>
  <si>
    <t>Philadelphia 76ers u229.5 L</t>
  </si>
  <si>
    <t>2025:12:28:17:47:19</t>
  </si>
  <si>
    <t>Philadelphia 76ers u230.5 L</t>
  </si>
  <si>
    <t>2025:12:28:17:47:37</t>
  </si>
  <si>
    <t>Sacramento Kings +21.5 L</t>
  </si>
  <si>
    <t>2025:12:28:22:58:56</t>
  </si>
  <si>
    <t>Sacramento Kings +20.5 L</t>
  </si>
  <si>
    <t>2025:12:28:22:58:19</t>
  </si>
  <si>
    <t>Sacramento Kings +24.5 L</t>
  </si>
  <si>
    <t>2025:12:28:23:03:20</t>
  </si>
  <si>
    <t>2025:12:28:23:11:02</t>
  </si>
  <si>
    <t>Washington Wizards 1h ml L</t>
  </si>
  <si>
    <t>1h moneyline</t>
  </si>
  <si>
    <t>Memphis Grizzlies</t>
  </si>
  <si>
    <t>2025:12:28:18:52:56</t>
  </si>
  <si>
    <t>Air Force +40.5 L</t>
  </si>
  <si>
    <t>SHti-pa</t>
  </si>
  <si>
    <t>Boise State</t>
  </si>
  <si>
    <t>2026:01:24:17:43:20</t>
  </si>
  <si>
    <t>Arizona -19.5 L</t>
  </si>
  <si>
    <t>2026:01:24:14:23:02</t>
  </si>
  <si>
    <t>Auburn o141.5 L</t>
  </si>
  <si>
    <t>Florida</t>
  </si>
  <si>
    <t>2026:01:24:18:10:28</t>
  </si>
  <si>
    <t>Binghamton ml L</t>
  </si>
  <si>
    <t>BRti-pa</t>
  </si>
  <si>
    <t>Maine</t>
  </si>
  <si>
    <t>2026:01:24:14:06:53</t>
  </si>
  <si>
    <t>Boston College +6.5 L</t>
  </si>
  <si>
    <t>Notre Dame</t>
  </si>
  <si>
    <t>2026:01:24:20:07:41</t>
  </si>
  <si>
    <t>Boston Celtics u236.5 L</t>
  </si>
  <si>
    <t>Chicago Bulls</t>
  </si>
  <si>
    <t>2026:01:24:20:16:27</t>
  </si>
  <si>
    <t>Boston Celtics u232.5 L</t>
  </si>
  <si>
    <t>2026:01:24:21:54:29</t>
  </si>
  <si>
    <t>Bowling Green +2.5 L</t>
  </si>
  <si>
    <t>2026:01:24:17:15:49</t>
  </si>
  <si>
    <t>Brown ml L</t>
  </si>
  <si>
    <t>Princeton</t>
  </si>
  <si>
    <t>2026:01:24:13:33:12</t>
  </si>
  <si>
    <t>Brown o131.5 L</t>
  </si>
  <si>
    <t>2026:01:24:12:09:18</t>
  </si>
  <si>
    <t>Brown u111.5 L</t>
  </si>
  <si>
    <t>2026:01:24:13:19:07</t>
  </si>
  <si>
    <t>California u148.5 L</t>
  </si>
  <si>
    <t>Stanford</t>
  </si>
  <si>
    <t>2026:01:24:21:57:38</t>
  </si>
  <si>
    <t>Monmouth</t>
  </si>
  <si>
    <t>2026:01:24:13:05:37</t>
  </si>
  <si>
    <t>Central Michigan +2.5 L</t>
  </si>
  <si>
    <t>Western Michigan</t>
  </si>
  <si>
    <t>2026:01:24:18:22:16</t>
  </si>
  <si>
    <t>Charlotte Hornets -12.5 L</t>
  </si>
  <si>
    <t>2026:01:24:12:29:49</t>
  </si>
  <si>
    <t>Charlotte Hornets -11.5 L</t>
  </si>
  <si>
    <t>2026:01:24:12:32:23</t>
  </si>
  <si>
    <t>2026:01:24:13:42:53</t>
  </si>
  <si>
    <t>Chicago Bulls +1.5 L</t>
  </si>
  <si>
    <t>2026:01:24:21:50:36</t>
  </si>
  <si>
    <t>Clemson u140.5 L</t>
  </si>
  <si>
    <t>2026:01:24:13:36:18</t>
  </si>
  <si>
    <t>Clemson u142.5 L</t>
  </si>
  <si>
    <t>2026:01:24:13:56:24</t>
  </si>
  <si>
    <t>Cleveland Cavaliers u218.5 L</t>
  </si>
  <si>
    <t>Orlando Magic</t>
  </si>
  <si>
    <t>2026:01:24:19:59:43</t>
  </si>
  <si>
    <t>Colgate ml L</t>
  </si>
  <si>
    <t>Boston University</t>
  </si>
  <si>
    <t>2026:01:24:15:55:57</t>
  </si>
  <si>
    <t>Columbia ml L</t>
  </si>
  <si>
    <t>Dartmouth</t>
  </si>
  <si>
    <t>2026:01:24:14:38:32</t>
  </si>
  <si>
    <t>Davidson ml L</t>
  </si>
  <si>
    <t>VCU</t>
  </si>
  <si>
    <t>2026:01:24:18:09:02</t>
  </si>
  <si>
    <t>Davidson +8.5 L</t>
  </si>
  <si>
    <t>2026:01:24:18:09:22</t>
  </si>
  <si>
    <t>Davidson +3.5 L</t>
  </si>
  <si>
    <t>2026:01:24:18:48:24</t>
  </si>
  <si>
    <t>Dayton o150.5 L</t>
  </si>
  <si>
    <t>Saint Joseph's</t>
  </si>
  <si>
    <t>2026:01:24:15:45:52</t>
  </si>
  <si>
    <t>Drake -9.5 L</t>
  </si>
  <si>
    <t>Indiana State</t>
  </si>
  <si>
    <t>2026:01:24:14:45:06</t>
  </si>
  <si>
    <t>Drake -10.5 L</t>
  </si>
  <si>
    <t>2026:01:24:14:46:04</t>
  </si>
  <si>
    <t>Eastern Kentucky ml L</t>
  </si>
  <si>
    <t>Jacksonville</t>
  </si>
  <si>
    <t>2026:01:24:17:08:13</t>
  </si>
  <si>
    <t>Elon ml L</t>
  </si>
  <si>
    <t>2026:01:24:12:06:39</t>
  </si>
  <si>
    <t>Florida ml L</t>
  </si>
  <si>
    <t>2026:01:24:16:44:03</t>
  </si>
  <si>
    <t>Florida +3.5 L</t>
  </si>
  <si>
    <t>2026:01:24:17:03:02</t>
  </si>
  <si>
    <t>2026:01:24:17:17:06</t>
  </si>
  <si>
    <t>Florida State +8.5 L</t>
  </si>
  <si>
    <t>SMU</t>
  </si>
  <si>
    <t>2026:01:24:17:34:36</t>
  </si>
  <si>
    <t>2026:01:24:18:01:50</t>
  </si>
  <si>
    <t>Florida State u160.5 L</t>
  </si>
  <si>
    <t>2026:01:24:18:01:27</t>
  </si>
  <si>
    <t>2026:01:24:15:42:01</t>
  </si>
  <si>
    <t>Georgia u155.5 L</t>
  </si>
  <si>
    <t>Texas</t>
  </si>
  <si>
    <t>2026:01:24:14:55:44</t>
  </si>
  <si>
    <t>Grand Canyon -3.5 L</t>
  </si>
  <si>
    <t>Fresno State</t>
  </si>
  <si>
    <t>2026:01:24:21:18:14</t>
  </si>
  <si>
    <t>Houston u179.5 L</t>
  </si>
  <si>
    <t>Texas Tech</t>
  </si>
  <si>
    <t>2026:01:24:14:57:46</t>
  </si>
  <si>
    <t>Houston o182.5 L</t>
  </si>
  <si>
    <t>2026:01:24:16:02:45</t>
  </si>
  <si>
    <t>Indiana State +1.5 L</t>
  </si>
  <si>
    <t>2026:01:24:13:07:17</t>
  </si>
  <si>
    <t>Iona -9.5 L</t>
  </si>
  <si>
    <t>Manhattan</t>
  </si>
  <si>
    <t>2026:01:24:20:19:29</t>
  </si>
  <si>
    <t>Jacksonville ml L</t>
  </si>
  <si>
    <t>Eastern Kentucky</t>
  </si>
  <si>
    <t>2026:01:24:16:18:54</t>
  </si>
  <si>
    <t>Kent State ml L</t>
  </si>
  <si>
    <t>Eastern Michigan</t>
  </si>
  <si>
    <t>2026:01:24:16:52:11</t>
  </si>
  <si>
    <t>2026:01:24:17:24:05</t>
  </si>
  <si>
    <t>2026:01:24:17:54:46</t>
  </si>
  <si>
    <t>Kentucky -7.5 L</t>
  </si>
  <si>
    <t>Ole Miss</t>
  </si>
  <si>
    <t>2026:01:24:12:12:39</t>
  </si>
  <si>
    <t>Lafayette +2.5 L</t>
  </si>
  <si>
    <t>Lehigh</t>
  </si>
  <si>
    <t>2026:01:24:19:16:41</t>
  </si>
  <si>
    <t>Lafayette ml L</t>
  </si>
  <si>
    <t>2026:01:24:20:42:30</t>
  </si>
  <si>
    <t>LSU o167.5 L</t>
  </si>
  <si>
    <t>Arkansas</t>
  </si>
  <si>
    <t>2026:01:24:18:43:57</t>
  </si>
  <si>
    <t>Manhattan o119.5 L</t>
  </si>
  <si>
    <t>Iona</t>
  </si>
  <si>
    <t>2026:01:24:20:23:04</t>
  </si>
  <si>
    <t>Maryland +41.5 L</t>
  </si>
  <si>
    <t>2026:01:24:13:54:43</t>
  </si>
  <si>
    <t>Maryland +42.5 L</t>
  </si>
  <si>
    <t>2026:01:24:14:00:27</t>
  </si>
  <si>
    <t>Memphis +16.5 L</t>
  </si>
  <si>
    <t>Wichita State</t>
  </si>
  <si>
    <t>2026:01:24:17:40:23</t>
  </si>
  <si>
    <t>Memphis +14.5 L</t>
  </si>
  <si>
    <t>2026:01:24:17:57:54</t>
  </si>
  <si>
    <t>Mercer +2.5 L</t>
  </si>
  <si>
    <t>BRti-mi</t>
  </si>
  <si>
    <t>Wofford</t>
  </si>
  <si>
    <t>2026:01:24:12:54:22</t>
  </si>
  <si>
    <t>Miami Florida -10.5 L</t>
  </si>
  <si>
    <t>Syracuse</t>
  </si>
  <si>
    <t>2026:01:24:15:43:18</t>
  </si>
  <si>
    <t>Michigan State -27.5 L</t>
  </si>
  <si>
    <t>2026:01:24:12:25:45</t>
  </si>
  <si>
    <t>Michigan State -28.5 L</t>
  </si>
  <si>
    <t>2026:01:24:12:26:41</t>
  </si>
  <si>
    <t>Michigan State -30.5 L</t>
  </si>
  <si>
    <t>2026:01:24:12:28:04</t>
  </si>
  <si>
    <t>Milwaukee ml L</t>
  </si>
  <si>
    <t>Youngstown State</t>
  </si>
  <si>
    <t>2026:01:24:14:52:29</t>
  </si>
  <si>
    <t>Missouri State ml L</t>
  </si>
  <si>
    <t>UTEP</t>
  </si>
  <si>
    <t>2026:01:24:16:12:06</t>
  </si>
  <si>
    <t>Montana State ml L</t>
  </si>
  <si>
    <t>Weber State</t>
  </si>
  <si>
    <t>2026:01:24:20:24:54</t>
  </si>
  <si>
    <t>North Carolina -2.5 L</t>
  </si>
  <si>
    <t>Virginia</t>
  </si>
  <si>
    <t>2026:01:24:13:57:09</t>
  </si>
  <si>
    <t>Northern Iowa -9.5 L</t>
  </si>
  <si>
    <t>Murray State</t>
  </si>
  <si>
    <t>2026:01:24:16:38:05</t>
  </si>
  <si>
    <t>Northern Iowa ml L</t>
  </si>
  <si>
    <t>2026:01:24:17:42:29</t>
  </si>
  <si>
    <t>Oklahoma o152.5 L</t>
  </si>
  <si>
    <t>2026:01:24:15:57:46</t>
  </si>
  <si>
    <t>Ole Miss ml L</t>
  </si>
  <si>
    <t>2026:01:24:13:02:45</t>
  </si>
  <si>
    <t>Orlando Magic 2q ml L</t>
  </si>
  <si>
    <t>2q moneyline</t>
  </si>
  <si>
    <t>Cleveland Cavaliers</t>
  </si>
  <si>
    <t>2026:01:24:19:44:49</t>
  </si>
  <si>
    <t>Princeton -7.5 L</t>
  </si>
  <si>
    <t>Brown</t>
  </si>
  <si>
    <t>2026:01:24:13:52:59</t>
  </si>
  <si>
    <t>2026:01:24:14:26:48</t>
  </si>
  <si>
    <t>Seattle +6.5 L</t>
  </si>
  <si>
    <t>Pacific</t>
  </si>
  <si>
    <t>2026:01:24:19:09:46</t>
  </si>
  <si>
    <t>South Carolina +31.5 L</t>
  </si>
  <si>
    <t>Texas A&amp;M</t>
  </si>
  <si>
    <t>2026:01:24:14:19:51</t>
  </si>
  <si>
    <t>South Carolina u151.5 L</t>
  </si>
  <si>
    <t>2026:01:24:14:08:57</t>
  </si>
  <si>
    <t>South Carolina u161.5 L</t>
  </si>
  <si>
    <t>2026:01:24:14:41:35</t>
  </si>
  <si>
    <t>St. John's -0.5 L</t>
  </si>
  <si>
    <t>Xavier</t>
  </si>
  <si>
    <t>2026:01:24:15:04:17</t>
  </si>
  <si>
    <t>St. John's u169.5 L</t>
  </si>
  <si>
    <t>2026:01:24:14:06:28</t>
  </si>
  <si>
    <t>Stephen F. Austin ml L</t>
  </si>
  <si>
    <t>Lamar</t>
  </si>
  <si>
    <t>2026:01:24:17:33:40</t>
  </si>
  <si>
    <t>Syracuse +3.5 L</t>
  </si>
  <si>
    <t>2026:01:24:14:07:35</t>
  </si>
  <si>
    <t>TCU u157.5 L</t>
  </si>
  <si>
    <t>Baylor</t>
  </si>
  <si>
    <t>2026:01:24:19:51:17</t>
  </si>
  <si>
    <t>TCU o153.5 L</t>
  </si>
  <si>
    <t>2026:01:24:20:04:25</t>
  </si>
  <si>
    <t>Temple o133.5 L</t>
  </si>
  <si>
    <t>UTSA</t>
  </si>
  <si>
    <t>2026:01:24:14:32:33</t>
  </si>
  <si>
    <t>Texas Tech ml L</t>
  </si>
  <si>
    <t>Houston</t>
  </si>
  <si>
    <t>2026:01:24:15:30:03</t>
  </si>
  <si>
    <t>Texas State u148.5 L</t>
  </si>
  <si>
    <t>James Madison</t>
  </si>
  <si>
    <t>2026:01:24:14:31:29</t>
  </si>
  <si>
    <t>Bowling Green</t>
  </si>
  <si>
    <t>2026:01:24:18:51:41</t>
  </si>
  <si>
    <t>Towson o148.5 L</t>
  </si>
  <si>
    <t>North Carolina A&amp;T</t>
  </si>
  <si>
    <t>2026:01:24:12:23:02</t>
  </si>
  <si>
    <t>Tulsa o154.5 L</t>
  </si>
  <si>
    <t>Rice</t>
  </si>
  <si>
    <t>2026:01:24:16:45:34</t>
  </si>
  <si>
    <t>Tulsa o158.5 L</t>
  </si>
  <si>
    <t>2026:01:24:18:12:12</t>
  </si>
  <si>
    <t>UC Santa Barbara ml L</t>
  </si>
  <si>
    <t>Long Beach State</t>
  </si>
  <si>
    <t>2026:01:24:20:44:48</t>
  </si>
  <si>
    <t>UT Rio Grande Valley u142.5 L</t>
  </si>
  <si>
    <t>Houston Christian</t>
  </si>
  <si>
    <t>2026:01:24:16:40:37</t>
  </si>
  <si>
    <t>Utah +13.5 L</t>
  </si>
  <si>
    <t>2026:01:24:18:03:27</t>
  </si>
  <si>
    <t>Utah +14.5 L</t>
  </si>
  <si>
    <t>2026:01:24:18:03:45</t>
  </si>
  <si>
    <t>Utah +12.5 L</t>
  </si>
  <si>
    <t>2026:01:24:19:01:28</t>
  </si>
  <si>
    <t>BPti-pa</t>
  </si>
  <si>
    <t>2026:01:24:19:02:43</t>
  </si>
  <si>
    <t>Vanderbilt u160.5 L</t>
  </si>
  <si>
    <t>Mississippi State</t>
  </si>
  <si>
    <t>2026:01:24:12:11:01</t>
  </si>
  <si>
    <t>VCU ml L</t>
  </si>
  <si>
    <t>Davidson</t>
  </si>
  <si>
    <t>2026:01:24:17:28:51</t>
  </si>
  <si>
    <t>VCU +1.5 L</t>
  </si>
  <si>
    <t>2026:01:24:17:29:14</t>
  </si>
  <si>
    <t>Villanova +4.5 L</t>
  </si>
  <si>
    <t>Connecticut</t>
  </si>
  <si>
    <t>2026:01:24:14:01:38</t>
  </si>
  <si>
    <t>Villanova ml L</t>
  </si>
  <si>
    <t>2026:01:24:14:39:44</t>
  </si>
  <si>
    <t>Virginia Tech o142.5 L</t>
  </si>
  <si>
    <t>Louisville</t>
  </si>
  <si>
    <t>2026:01:24:15:09:02</t>
  </si>
  <si>
    <t>Wake Forest u157.5 L</t>
  </si>
  <si>
    <t>2026:01:24:13:45:48</t>
  </si>
  <si>
    <t>Washington Wizards o244.5 L</t>
  </si>
  <si>
    <t>Charlotte Hornets</t>
  </si>
  <si>
    <t>2026:01:24:13:24:27</t>
  </si>
  <si>
    <t>Washington Wizards o239.5 L</t>
  </si>
  <si>
    <t>2026:01:24:13:25:40</t>
  </si>
  <si>
    <t>West Virginia u141.5 L</t>
  </si>
  <si>
    <t>Arizona</t>
  </si>
  <si>
    <t>2026:01:24:15:54:49</t>
  </si>
  <si>
    <t>Western Michigan +1.5 L</t>
  </si>
  <si>
    <t>Central Michigan</t>
  </si>
  <si>
    <t>2026:01:24:18:15:20</t>
  </si>
  <si>
    <t>Western Michigan ml L</t>
  </si>
  <si>
    <t>2026:01:24:18:15:58</t>
  </si>
  <si>
    <t>Wichita State -15.5 L</t>
  </si>
  <si>
    <t>Memphis</t>
  </si>
  <si>
    <t>2026:01:24:16:48:33</t>
  </si>
  <si>
    <t>Wichita State -17.5 L</t>
  </si>
  <si>
    <t>2026:01:24:16:49:15</t>
  </si>
  <si>
    <t>William &amp; Mary ml L</t>
  </si>
  <si>
    <t>Hofstra</t>
  </si>
  <si>
    <t>2026:01:24:12:07:54</t>
  </si>
  <si>
    <t>Chicago Bulls ml L</t>
  </si>
  <si>
    <t>2026:01:24:22:17:44</t>
  </si>
  <si>
    <t>2026:01:24:22:54:29</t>
  </si>
  <si>
    <t>Golden State Warriors ml q4 L</t>
  </si>
  <si>
    <t>2026:01:25:19:26:49</t>
  </si>
  <si>
    <t>Golden State Warriors u119.5 1h L</t>
  </si>
  <si>
    <t>2026:01:25:17:48:56</t>
  </si>
  <si>
    <t>Golden State Warriors u118.5 1h L</t>
  </si>
  <si>
    <t>2026:01:25:17:57:25</t>
  </si>
  <si>
    <t>Golden State Warriors u56.5 1q L</t>
  </si>
  <si>
    <t>2026:01:25:17:57:45</t>
  </si>
  <si>
    <t>Golden State Warriors u57.51q  L</t>
  </si>
  <si>
    <t>2026:01:25:17:58:01</t>
  </si>
  <si>
    <t>Golden State Warriors o216.5 L</t>
  </si>
  <si>
    <t>2026:01:25:18:54:21</t>
  </si>
  <si>
    <t>Golden State Warriors u203.5 L</t>
  </si>
  <si>
    <t>2026:01:25:19:36:40</t>
  </si>
  <si>
    <t>Golden State Warriors u198.5 L</t>
  </si>
  <si>
    <t>2026:01:25:19:41:35</t>
  </si>
  <si>
    <t>Golden State Warriors u199.5 L</t>
  </si>
  <si>
    <t>2026:01:25:19:42:12</t>
  </si>
  <si>
    <t>Los Angeles Clippers -33.5 L</t>
  </si>
  <si>
    <t>Brooklyn Nets</t>
  </si>
  <si>
    <t>2026:01:25:21:51:46</t>
  </si>
  <si>
    <t>Miami Heat -26.5 L</t>
  </si>
  <si>
    <t>2026:01:24:23:49:56</t>
  </si>
  <si>
    <t>Miami Heat o240.5 L</t>
  </si>
  <si>
    <t>2026:01:24:23:12:26</t>
  </si>
  <si>
    <t>Miami Heat u256.5 L</t>
  </si>
  <si>
    <t>2026:01:24:23:46:14</t>
  </si>
  <si>
    <t>Miami Heat u254.5 L</t>
  </si>
  <si>
    <t>2026:01:24:23:46:47</t>
  </si>
  <si>
    <t>Miami Heat o254.5 L</t>
  </si>
  <si>
    <t>2026:01:24:23:48:37</t>
  </si>
  <si>
    <t>Oklahoma City Thunder q2 ml L</t>
  </si>
  <si>
    <t>2026:01:25:19:59:24</t>
  </si>
  <si>
    <t>Oklahoma City Thunder ml L</t>
  </si>
  <si>
    <t>2026:01:25:21:25:06</t>
  </si>
  <si>
    <t>Oregon +14.5 L</t>
  </si>
  <si>
    <t>Washington</t>
  </si>
  <si>
    <t>2026:01:25:16:37:07</t>
  </si>
  <si>
    <t>Oregon o129.5 L</t>
  </si>
  <si>
    <t>2026:01:25:15:26:22</t>
  </si>
  <si>
    <t>Sacramento Kings +19 L</t>
  </si>
  <si>
    <t>Detroit Pistons</t>
  </si>
  <si>
    <t>2026:01:25:17:32:21</t>
  </si>
  <si>
    <t>Sacramento Kings +20 L</t>
  </si>
  <si>
    <t>2026:01:25:17:33:56</t>
  </si>
  <si>
    <t>Sacramento Kings +19.5 L</t>
  </si>
  <si>
    <t>2026:01:25:17:34:45</t>
  </si>
  <si>
    <t>Sacramento Kings u264 L</t>
  </si>
  <si>
    <t>2026:01:25:17:30:15</t>
  </si>
  <si>
    <t>Santa Clara o152.5 L</t>
  </si>
  <si>
    <t>UC San Diego</t>
  </si>
  <si>
    <t>2026:01:24:22:02:06</t>
  </si>
  <si>
    <t>Santa Clara o151.5 L</t>
  </si>
  <si>
    <t>2026:01:24:23:05:08</t>
  </si>
  <si>
    <t>Toronto Raptors +5.5 L</t>
  </si>
  <si>
    <t>2026:01:25:20:56:08</t>
  </si>
  <si>
    <t>Toronto Raptors o106.5 1h L</t>
  </si>
  <si>
    <t>2026:01:25:19:54:01</t>
  </si>
  <si>
    <t>USC u147.5 L</t>
  </si>
  <si>
    <t>Wisconsin</t>
  </si>
  <si>
    <t>2026:01:25:17:37:15</t>
  </si>
  <si>
    <t>Utah Jazz +15.5 L</t>
  </si>
  <si>
    <t>Miami Heat</t>
  </si>
  <si>
    <t>2026:01:24:22:37:16</t>
  </si>
  <si>
    <t>Utah Jazz +18.5 L</t>
  </si>
  <si>
    <t>2026:01:24:22:37:25</t>
  </si>
  <si>
    <t>Wisconsin -0.5 L</t>
  </si>
  <si>
    <t>2026:01:25:17:51:55</t>
  </si>
  <si>
    <t>Brooklyn Nets u213.5 L</t>
  </si>
  <si>
    <t>2026:01:25:22:44:54</t>
  </si>
  <si>
    <t>Brooklyn Nets u210.5 L</t>
  </si>
  <si>
    <t>2026:01:25:22:45:28</t>
  </si>
  <si>
    <t>Brooklyn Nets u209.5 L</t>
  </si>
  <si>
    <t>2026:01:25:23:05:45</t>
  </si>
  <si>
    <t>Brooklyn Nets u208.5 L</t>
  </si>
  <si>
    <t>2026:01:25:23:07:27</t>
  </si>
  <si>
    <t>Miami Heat -14.5 L</t>
  </si>
  <si>
    <t>2026:01:25:22:19:26</t>
  </si>
  <si>
    <t>Miami Heat -13.5 L</t>
  </si>
  <si>
    <t>2026:01:25:22:19:50</t>
  </si>
  <si>
    <t>Miami Heat u208.5 L</t>
  </si>
  <si>
    <t>2026:01:25:22:06:56</t>
  </si>
  <si>
    <t>Miami Heat u210.5 L</t>
  </si>
  <si>
    <t>2026:01:25:22:19:03</t>
  </si>
  <si>
    <t>Ball State ml L</t>
  </si>
  <si>
    <t>Buffalo</t>
  </si>
  <si>
    <t>Ball state o163.5</t>
  </si>
  <si>
    <t>Holy Cross</t>
  </si>
  <si>
    <t>Brooklyn Nets -11.5 L</t>
  </si>
  <si>
    <t>Indiana Pacers</t>
  </si>
  <si>
    <t>Brooklyn Nets -9.5 L</t>
  </si>
  <si>
    <t>Brooklyn Nets +2.5 L</t>
  </si>
  <si>
    <t>Cincinnati u162.5 L</t>
  </si>
  <si>
    <t>Kansas State</t>
  </si>
  <si>
    <t>Cleveland Cavaliers -15.5 L</t>
  </si>
  <si>
    <t>Cleveland Cavaliers -14.5 L</t>
  </si>
  <si>
    <t>Eastern Michigan o170.5 L</t>
  </si>
  <si>
    <t>Kent State</t>
  </si>
  <si>
    <t>La Salle +11.5 L</t>
  </si>
  <si>
    <t>Memphis Grizzlies 1q ml L</t>
  </si>
  <si>
    <t>Denver Nuggets</t>
  </si>
  <si>
    <t>Memphis Grizzlies +3.5 L</t>
  </si>
  <si>
    <t>Miami Heat 4q ml L</t>
  </si>
  <si>
    <t>New Orleans Pelicans</t>
  </si>
  <si>
    <t>Miami Heat -9.5 L</t>
  </si>
  <si>
    <t>Philadelphia 76ers +21.5 L</t>
  </si>
  <si>
    <t>Portland ml L</t>
  </si>
  <si>
    <t>San Diego</t>
  </si>
  <si>
    <t>Sacramento Kings +27.5 L</t>
  </si>
  <si>
    <t>Sacramento Kings +26.5 L</t>
  </si>
  <si>
    <t>Sacramento Kings +25.5 L</t>
  </si>
  <si>
    <t>South Florida u144.5 L</t>
  </si>
  <si>
    <t>Texas Tech -29.5 L</t>
  </si>
  <si>
    <t>Alabama -2.5 L</t>
  </si>
  <si>
    <t>BRti-dlbb</t>
  </si>
  <si>
    <t>Alabama ml L</t>
  </si>
  <si>
    <t>Auburn ml L</t>
  </si>
  <si>
    <t>Boise State +8.5 L</t>
  </si>
  <si>
    <t>Utah State</t>
  </si>
  <si>
    <t>Boise State +10.5 L</t>
  </si>
  <si>
    <t>Butler -9.5 L</t>
  </si>
  <si>
    <t>Butler -8.5 L</t>
  </si>
  <si>
    <t>BYU ml L</t>
  </si>
  <si>
    <t>Clemson u146.5 L</t>
  </si>
  <si>
    <t>Wake Forest</t>
  </si>
  <si>
    <t>Creighton +14.5 L</t>
  </si>
  <si>
    <t>Duquesne -12.5 L</t>
  </si>
  <si>
    <t>La Salle</t>
  </si>
  <si>
    <t>James Madison ml L</t>
  </si>
  <si>
    <t>La Salle o134.5 L</t>
  </si>
  <si>
    <t>Duquesne</t>
  </si>
  <si>
    <t>Marquette +5.5 L</t>
  </si>
  <si>
    <t>St. John's</t>
  </si>
  <si>
    <t>Missouri State +2.5 L</t>
  </si>
  <si>
    <t>Kennesaw State</t>
  </si>
  <si>
    <t>Missouri -10.5 L</t>
  </si>
  <si>
    <t>ND State -8.5</t>
  </si>
  <si>
    <t>Oklahoma State +16.5 L</t>
  </si>
  <si>
    <t>Oklahoma o158.5 L</t>
  </si>
  <si>
    <t>Tennessee</t>
  </si>
  <si>
    <t>Ole Miss u146.5 L</t>
  </si>
  <si>
    <t>San Francisco +12.5 L</t>
  </si>
  <si>
    <t>Gonzaga</t>
  </si>
  <si>
    <t>St. John's +1.5 L</t>
  </si>
  <si>
    <t>St. John's ml L</t>
  </si>
  <si>
    <t>Tennessee -17.5 L</t>
  </si>
  <si>
    <t>Tennessee -10.5 L</t>
  </si>
  <si>
    <t>Virginia -36.5 L</t>
  </si>
  <si>
    <t>Wake Forest -11.5 L</t>
  </si>
  <si>
    <t>Appalachian State -11.5 L</t>
  </si>
  <si>
    <t>Marshall</t>
  </si>
  <si>
    <t>Appalachian State -8.5 L</t>
  </si>
  <si>
    <t>Appalachian State -5.5 L</t>
  </si>
  <si>
    <t>Appalachian State -7.5 L</t>
  </si>
  <si>
    <t>Appalachian State ml L</t>
  </si>
  <si>
    <t>Arkansas State ml L</t>
  </si>
  <si>
    <t>UL Lafayette</t>
  </si>
  <si>
    <t>Arkansas Pine Bluff ml L</t>
  </si>
  <si>
    <t>Texas Southern</t>
  </si>
  <si>
    <t>Atlanta Hawks ml L</t>
  </si>
  <si>
    <t>Philadelphia 76ers</t>
  </si>
  <si>
    <t>Atlanta Hawks o231.5 L</t>
  </si>
  <si>
    <t>Atlanta Hawks o229.5 L</t>
  </si>
  <si>
    <t>Bryant ml L</t>
  </si>
  <si>
    <t>Binghamton</t>
  </si>
  <si>
    <t>Cal State Northridge ml L</t>
  </si>
  <si>
    <t>Cal State Bakersfield +20.5 L</t>
  </si>
  <si>
    <t>Cal Riverside</t>
  </si>
  <si>
    <t>Cal State Northridge o132.5 L</t>
  </si>
  <si>
    <t>Detroit Pistons 2q ml L</t>
  </si>
  <si>
    <t>Detroit Pistons o229.5 L</t>
  </si>
  <si>
    <t>Detroit Pistons o228.5 L</t>
  </si>
  <si>
    <t>Gardner Webb o153.5 L</t>
  </si>
  <si>
    <t>Radford</t>
  </si>
  <si>
    <t>Hawaii ml L</t>
  </si>
  <si>
    <t>Cal Poly SLO</t>
  </si>
  <si>
    <t>Houston Rockets o206.5 L</t>
  </si>
  <si>
    <t>Liberty ml L</t>
  </si>
  <si>
    <t>Florida International</t>
  </si>
  <si>
    <t>Lindenwood ml L</t>
  </si>
  <si>
    <t>Tennessee State</t>
  </si>
  <si>
    <t>Marshall +10.5 L</t>
  </si>
  <si>
    <t>Appalachian State</t>
  </si>
  <si>
    <t>Marshall u162.5 L</t>
  </si>
  <si>
    <t>Memphis +15.5 L</t>
  </si>
  <si>
    <t>South Florida</t>
  </si>
  <si>
    <t>Memphis +18.5 L</t>
  </si>
  <si>
    <t>New Haven ml L</t>
  </si>
  <si>
    <t>Stonehill</t>
  </si>
  <si>
    <t>Orlando Magic o107.5 1h L</t>
  </si>
  <si>
    <t>Phoenix Suns +24.5 L</t>
  </si>
  <si>
    <t>San Antonio Spurs</t>
  </si>
  <si>
    <t>Phoenix Suns o232.5 L</t>
  </si>
  <si>
    <t>Phoenix Suns u227.5 L</t>
  </si>
  <si>
    <t>Phoenix Suns u223.5 L</t>
  </si>
  <si>
    <t>Phoenix Suns o217.5 L</t>
  </si>
  <si>
    <t>Phoenix Suns o216.5 L</t>
  </si>
  <si>
    <t>Phoenix Suns o215.5 L</t>
  </si>
  <si>
    <t>Phoenix Suns o214.5 L</t>
  </si>
  <si>
    <t>Presbyterian ml L</t>
  </si>
  <si>
    <t>Longwood</t>
  </si>
  <si>
    <t>USC Upstate +6.5 L</t>
  </si>
  <si>
    <t>Winthrop</t>
  </si>
  <si>
    <t>UT Martin ml L</t>
  </si>
  <si>
    <t>Arkansas Little Rock</t>
  </si>
  <si>
    <t>Weber State ml L</t>
  </si>
  <si>
    <t>Montana State</t>
  </si>
  <si>
    <t>Rider +5.5 L</t>
  </si>
  <si>
    <t>PEti-mi</t>
  </si>
  <si>
    <t>Canisius</t>
  </si>
  <si>
    <t>California -9.5 L</t>
  </si>
  <si>
    <t>California -10.5 L</t>
  </si>
  <si>
    <t>Clemson +1.5 L</t>
  </si>
  <si>
    <t>Florida State</t>
  </si>
  <si>
    <t>Coastal Carolina -10.5 L</t>
  </si>
  <si>
    <t>Cornell ml L</t>
  </si>
  <si>
    <t>Harvard</t>
  </si>
  <si>
    <t>Duquesne +12.5 L</t>
  </si>
  <si>
    <t>Georgetown o113.5 L</t>
  </si>
  <si>
    <t>Georgia Tech u160.5 L</t>
  </si>
  <si>
    <t>Miami Florida u162.5 L</t>
  </si>
  <si>
    <t>Nebraska -26.5 L</t>
  </si>
  <si>
    <t>North Carolina u138.5 L</t>
  </si>
  <si>
    <t>St. John's -29.5 L</t>
  </si>
  <si>
    <t>Texas Tech -25.5 L</t>
  </si>
  <si>
    <t>Texas Tech -24.5 L</t>
  </si>
  <si>
    <t>UL Lafayette -7.5 L</t>
  </si>
  <si>
    <t>Texas State</t>
  </si>
  <si>
    <t>Virginia ml L</t>
  </si>
  <si>
    <t>Virginia -2.5 L</t>
  </si>
  <si>
    <t>Virginia +0.5 L</t>
  </si>
  <si>
    <t>Abilene Christian +3.5 L</t>
  </si>
  <si>
    <t>BRti-dldp</t>
  </si>
  <si>
    <t>Utah Valley</t>
  </si>
  <si>
    <t>Arkansas +6.5 L</t>
  </si>
  <si>
    <t>Arkansas o177.5 L</t>
  </si>
  <si>
    <t>Austin Peay ml L</t>
  </si>
  <si>
    <t>Bellarmine</t>
  </si>
  <si>
    <t>Bellarmine -6.5 L</t>
  </si>
  <si>
    <t>Austin Peay</t>
  </si>
  <si>
    <t>Boise State -13.5 L</t>
  </si>
  <si>
    <t>Cal State Northridge o175.5 L</t>
  </si>
  <si>
    <t>California +2.5 L</t>
  </si>
  <si>
    <t>Pittsburgh</t>
  </si>
  <si>
    <t>Connecticut ml L</t>
  </si>
  <si>
    <t>Detroit Mercy o172.5 L</t>
  </si>
  <si>
    <t>Oakland</t>
  </si>
  <si>
    <t>Detroit Mercy u178.5 L</t>
  </si>
  <si>
    <t>East Tennessee State +4.5 L</t>
  </si>
  <si>
    <t>Mercer</t>
  </si>
  <si>
    <t>Florida State u153.5 L</t>
  </si>
  <si>
    <t>Florida International o158.5 L</t>
  </si>
  <si>
    <t>Louisiana Tech</t>
  </si>
  <si>
    <t>Furman ml L</t>
  </si>
  <si>
    <t>Western Carolina</t>
  </si>
  <si>
    <t>Furman o148.5 L</t>
  </si>
  <si>
    <t>Furman o147.5 L</t>
  </si>
  <si>
    <t>Howard o138.5 L</t>
  </si>
  <si>
    <t>Morgan State</t>
  </si>
  <si>
    <t>Idaho ml L</t>
  </si>
  <si>
    <t>Iowa u151.5 L</t>
  </si>
  <si>
    <t>IUPUI ml L</t>
  </si>
  <si>
    <t>IPFW</t>
  </si>
  <si>
    <t>IUPUI +3.5 L</t>
  </si>
  <si>
    <t>Lafayette -9.5 L</t>
  </si>
  <si>
    <t>Army</t>
  </si>
  <si>
    <t>Lamar +4.5 L</t>
  </si>
  <si>
    <t>Incarnate Word</t>
  </si>
  <si>
    <t>Le Moyne ml L</t>
  </si>
  <si>
    <t>New Haven</t>
  </si>
  <si>
    <t>Long Beach State ml L</t>
  </si>
  <si>
    <t>Louisville ml L</t>
  </si>
  <si>
    <t>Loyola Maryland u153.5 L</t>
  </si>
  <si>
    <t>Loyola Maryland u151.5 L</t>
  </si>
  <si>
    <t>Massachusetts o142.5 L</t>
  </si>
  <si>
    <t>Missouri -20.5 L</t>
  </si>
  <si>
    <t>Missouri u152.5 L</t>
  </si>
  <si>
    <t>NC State -7.5 L</t>
  </si>
  <si>
    <t>Nebraska u144.5 L</t>
  </si>
  <si>
    <t>Nebraska u143.5 L</t>
  </si>
  <si>
    <t>Nebraska u145.5 L</t>
  </si>
  <si>
    <t>Nebraska-Omaha u136.5 L</t>
  </si>
  <si>
    <t>St. Thomas</t>
  </si>
  <si>
    <t>New Mexico State -4.5 L</t>
  </si>
  <si>
    <t>Middle Tennessee State</t>
  </si>
  <si>
    <t>North Carolina A&amp;T +13.5 L</t>
  </si>
  <si>
    <t>William &amp; Mary</t>
  </si>
  <si>
    <t>North Carolina A&amp;T +3.5 L</t>
  </si>
  <si>
    <t>Northern Colorado ml L</t>
  </si>
  <si>
    <t>Idaho</t>
  </si>
  <si>
    <t>Ole Miss -2.5 L</t>
  </si>
  <si>
    <t>Pacific +8.5 L</t>
  </si>
  <si>
    <t>San Francisco</t>
  </si>
  <si>
    <t>Penn State +4.5 L</t>
  </si>
  <si>
    <t>Iowa</t>
  </si>
  <si>
    <t>Penn State +5.5 L</t>
  </si>
  <si>
    <t>Portland State +12.5 L</t>
  </si>
  <si>
    <t>Montana</t>
  </si>
  <si>
    <t>Providence +3.5 L</t>
  </si>
  <si>
    <t>Providence +2.5 L</t>
  </si>
  <si>
    <t>Queens o142.5 L</t>
  </si>
  <si>
    <t>Central Arkansas</t>
  </si>
  <si>
    <t>Samford -12.5 L</t>
  </si>
  <si>
    <t>UNC Greensboro</t>
  </si>
  <si>
    <t>San Diego State ml L</t>
  </si>
  <si>
    <t>New Mexico</t>
  </si>
  <si>
    <t>San Francisco u152.5 L</t>
  </si>
  <si>
    <t>Seton Hall u123.5 L</t>
  </si>
  <si>
    <t>St. John's -30.5 L</t>
  </si>
  <si>
    <t>Villanova</t>
  </si>
  <si>
    <t>Stetson -7.5 L</t>
  </si>
  <si>
    <t>Florida Gulf Coast</t>
  </si>
  <si>
    <t>Stetson -11.5 L</t>
  </si>
  <si>
    <t>Stony Brook o131.5 L</t>
  </si>
  <si>
    <t>Tarleton State o154.5 L</t>
  </si>
  <si>
    <t>California Baptist</t>
  </si>
  <si>
    <t>Tennessee State -22.5 L</t>
  </si>
  <si>
    <t>UT Martin</t>
  </si>
  <si>
    <t>Texas ml L</t>
  </si>
  <si>
    <t>Texas A&amp;M ml L</t>
  </si>
  <si>
    <t>Texas Tech -5.5 L</t>
  </si>
  <si>
    <t>Texas Tech u148.5 L</t>
  </si>
  <si>
    <t>Texas Tech u147.5 L</t>
  </si>
  <si>
    <t>Texas Tech u149.5 L</t>
  </si>
  <si>
    <t>Texas Tech u142.5 L</t>
  </si>
  <si>
    <t>Texas Tech u143.5 L</t>
  </si>
  <si>
    <t>The Citadel +6.5 L</t>
  </si>
  <si>
    <t>The Citadel -7.5 L</t>
  </si>
  <si>
    <t>Toledo u145.5 L</t>
  </si>
  <si>
    <t>Ohio</t>
  </si>
  <si>
    <t>Toronto Raptors -10.5 L</t>
  </si>
  <si>
    <t>Toronto Raptors u246.5 L</t>
  </si>
  <si>
    <t>Toronto Raptors u257.5 L</t>
  </si>
  <si>
    <t>UC Santa Barbara o127.5 L</t>
  </si>
  <si>
    <t>Cal Irvine</t>
  </si>
  <si>
    <t>UMBC -9.5 L</t>
  </si>
  <si>
    <t>UMass Lowell</t>
  </si>
  <si>
    <t>UMBC o151.5 L</t>
  </si>
  <si>
    <t>UNC Greensboro u166.5 L</t>
  </si>
  <si>
    <t>Samford</t>
  </si>
  <si>
    <t>USC Upstate -12.5 L</t>
  </si>
  <si>
    <t>Gardner Webb</t>
  </si>
  <si>
    <t>USC +5.5 L</t>
  </si>
  <si>
    <t>Nebraska</t>
  </si>
  <si>
    <t>Utah Tech ml L</t>
  </si>
  <si>
    <t>Southern Utah</t>
  </si>
  <si>
    <t>UTEP u170.5 L</t>
  </si>
  <si>
    <t>Western Kentucky</t>
  </si>
  <si>
    <t>Vanderbilt +3.5 L</t>
  </si>
  <si>
    <t>Virginia u132.5 L</t>
  </si>
  <si>
    <t>VMI u155.5 L</t>
  </si>
  <si>
    <t>Chattanooga</t>
  </si>
  <si>
    <t>Wake Forest +1.5 L</t>
  </si>
  <si>
    <t>Weber State -14.5 L</t>
  </si>
  <si>
    <t>Idaho State</t>
  </si>
  <si>
    <t>Western Carolina -5.5 L</t>
  </si>
  <si>
    <t>Furman</t>
  </si>
  <si>
    <t>Wofford ml L</t>
  </si>
  <si>
    <t>The Citadel</t>
  </si>
  <si>
    <t>Wright State +10.5 L</t>
  </si>
  <si>
    <t>Northern Kentucky</t>
  </si>
  <si>
    <t>Cal State Fullerton +4.5 L</t>
  </si>
  <si>
    <t>BRrb-nj</t>
  </si>
  <si>
    <t>Cal State Fullerton ml L</t>
  </si>
  <si>
    <t>Cal State Fullerton +6.5 L</t>
  </si>
  <si>
    <t>Cal State Bakersfield ml L</t>
  </si>
  <si>
    <t>Cal State Northridge o170.5 L</t>
  </si>
  <si>
    <t>Colgate -10.5 L</t>
  </si>
  <si>
    <t>Loyola Maryland</t>
  </si>
  <si>
    <t>Colgate -8.5 L</t>
  </si>
  <si>
    <t>Denver Nuggets ml L</t>
  </si>
  <si>
    <t>East Carolina +23.5 L</t>
  </si>
  <si>
    <t>Tulsa</t>
  </si>
  <si>
    <t>Evansville o141.5 L</t>
  </si>
  <si>
    <t>Northern Iowa</t>
  </si>
  <si>
    <t>Jacksonville State -9.5 L</t>
  </si>
  <si>
    <t>New Mexico State</t>
  </si>
  <si>
    <t>Loyola Marymount ml L</t>
  </si>
  <si>
    <t>Middle Tennessee State u137.5 L</t>
  </si>
  <si>
    <t>Missouri State +4.5 L</t>
  </si>
  <si>
    <t>Navy ml L</t>
  </si>
  <si>
    <t>Navy -6.5 L</t>
  </si>
  <si>
    <t>New Orleans Pelicans -9.5 L</t>
  </si>
  <si>
    <t>Pepperdine u157.5 L</t>
  </si>
  <si>
    <t>Portland</t>
  </si>
  <si>
    <t>South Florida o184.5 L</t>
  </si>
  <si>
    <t>South Florida o188.5 L</t>
  </si>
  <si>
    <t>Tulsa -22.5 L</t>
  </si>
  <si>
    <t>East Carolina</t>
  </si>
  <si>
    <t>UC San Diego ml L</t>
  </si>
  <si>
    <t>Cal State Fullerton</t>
  </si>
  <si>
    <t>UT Arlington o129.5 L</t>
  </si>
  <si>
    <t>Tarleton State</t>
  </si>
  <si>
    <t>Washington Wizards +13.5 L</t>
  </si>
  <si>
    <t>Arkansas ml L</t>
  </si>
  <si>
    <t>BRti-in</t>
  </si>
  <si>
    <t>Arkansas u162.5 L</t>
  </si>
  <si>
    <t>Arkansas o160.5 L</t>
  </si>
  <si>
    <t>Connecticut o134.5 L</t>
  </si>
  <si>
    <t>Davidson -11.5 L</t>
  </si>
  <si>
    <t>St. Bonaventure</t>
  </si>
  <si>
    <t>Georgia Tech +10.5 L</t>
  </si>
  <si>
    <t>Georgia Tech +7.5 L</t>
  </si>
  <si>
    <t>Georgia Tech ml L</t>
  </si>
  <si>
    <t>Georgia Tech +4.5 L</t>
  </si>
  <si>
    <t>Georgia Tech +3.5 L</t>
  </si>
  <si>
    <t>Georgia Tech +2.5 L</t>
  </si>
  <si>
    <t>Kansas State o153.5 L</t>
  </si>
  <si>
    <t>Louisiana Tech o132.5 L</t>
  </si>
  <si>
    <t>Delaware</t>
  </si>
  <si>
    <t>Missouri ml L</t>
  </si>
  <si>
    <t>Notre Dame o137.5 L</t>
  </si>
  <si>
    <t>Stony Brook ml L</t>
  </si>
  <si>
    <t>Campbell</t>
  </si>
  <si>
    <t>UNC Greensboro o154.5 L</t>
  </si>
  <si>
    <t>Villanova -12.5 L</t>
  </si>
  <si>
    <t>Charlotte Hornets u205.5 L</t>
  </si>
  <si>
    <t>BRrb-il</t>
  </si>
  <si>
    <t>Portland Trail Blazers</t>
  </si>
  <si>
    <t>Detroit Pistons u114.5 1h L</t>
  </si>
  <si>
    <t>Florida International ml L</t>
  </si>
  <si>
    <t>Missouri State</t>
  </si>
  <si>
    <t>Idaho -6.5 L</t>
  </si>
  <si>
    <t>Eastern Washington</t>
  </si>
  <si>
    <t>Idaho -8.5 L</t>
  </si>
  <si>
    <t>Idaho -7.5 L</t>
  </si>
  <si>
    <t>Idaho -10.5 L</t>
  </si>
  <si>
    <t>Idaho -11.5 L</t>
  </si>
  <si>
    <t>Idaho o144.5 L</t>
  </si>
  <si>
    <t>Idaho o149.5 L</t>
  </si>
  <si>
    <t>Idaho o146.5 L</t>
  </si>
  <si>
    <t>Kansas State u190.5 L</t>
  </si>
  <si>
    <t>Long Island ml L</t>
  </si>
  <si>
    <t>Mercyhurst</t>
  </si>
  <si>
    <t>Los Angeles Lakers -13.5 L</t>
  </si>
  <si>
    <t>Los Angeles Lakers -12.5 L</t>
  </si>
  <si>
    <t>Los Angeles Lakers -11.5 L</t>
  </si>
  <si>
    <t>Mercyhurst u152.5 L</t>
  </si>
  <si>
    <t>Long Island</t>
  </si>
  <si>
    <t>Milwaukee Bucks -4.5 L</t>
  </si>
  <si>
    <t>Milwaukee Bucks ml L</t>
  </si>
  <si>
    <t>Minnesota Timberwolves o216.5 L</t>
  </si>
  <si>
    <t>Monmouth u136.5 L</t>
  </si>
  <si>
    <t>Oklahoma State -9.5 L</t>
  </si>
  <si>
    <t>Oklahoma State o174.5 L</t>
  </si>
  <si>
    <t>Oregon +18.5 L</t>
  </si>
  <si>
    <t>Portland State ml L</t>
  </si>
  <si>
    <t>Portland Trail Blazers ml L</t>
  </si>
  <si>
    <t>San Antonio Spurs ml L</t>
  </si>
  <si>
    <t>Syracuse +13.5 L</t>
  </si>
  <si>
    <t>Texas A&amp;M Corpus Christi 1h ml L</t>
  </si>
  <si>
    <t>Stephen F. Austin</t>
  </si>
  <si>
    <t>Texas A&amp;M Corpus Christi ml L</t>
  </si>
  <si>
    <t>UT Rio Grande Valley ml L</t>
  </si>
  <si>
    <t>McNeese</t>
  </si>
  <si>
    <t>Vermont -10.5 L</t>
  </si>
  <si>
    <t>NJIT</t>
  </si>
  <si>
    <t>Virginia Tech ml L</t>
  </si>
  <si>
    <t>Wake Forest -6.5 L</t>
  </si>
  <si>
    <t>Virginia Tech</t>
  </si>
  <si>
    <t>Washington Wizards u248.5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</si>
</sst>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0"/>
    <numFmt numFmtId="166" formatCode="\$#,##0.00"/>
    <numFmt numFmtId="167" formatCode="\$#,##0.00;\$#,##0.00"/>
    <numFmt numFmtId="168" formatCode="m/d/yyyy\ h:mm:ss"/>
    <numFmt numFmtId="169" formatCode="\$#,##0.00;[Red]&quot;-$&quot;#,##0.00"/>
  </numFmts>
  <fonts count="1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800000"/>
      <name val="Arial"/>
      <family val="2"/>
    </font>
    <font>
      <b/>
      <sz val="10"/>
      <color rgb="FF3366FF"/>
      <name val="Arial"/>
      <family val="2"/>
    </font>
    <font>
      <sz val="10"/>
      <color rgb="FF3366FF"/>
      <name val="Arial"/>
      <family val="2"/>
    </font>
    <font>
      <b/>
      <sz val="11"/>
      <color rgb="FF7030A0"/>
      <name val="Arial"/>
      <family val="2"/>
    </font>
    <font>
      <b/>
      <sz val="10"/>
      <color rgb="FF008000"/>
      <name val="Arial"/>
      <family val="2"/>
    </font>
    <font>
      <b/>
      <sz val="10"/>
      <color rgb="FF339966"/>
      <name val="Arial"/>
      <family val="2"/>
    </font>
    <font>
      <b/>
      <sz val="10"/>
      <color rgb="FF00B050"/>
      <name val="Arial"/>
      <family val="2"/>
    </font>
    <font>
      <sz val="11"/>
      <color rgb="FF7030A0"/>
      <name val="Arial"/>
      <family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1"/>
      <name val="Arial"/>
      <family val="2"/>
    </font>
    <font>
      <sz val="11"/>
      <color rgb="FF3366FF"/>
      <name val="Arial"/>
      <family val="2"/>
    </font>
    <font>
      <b/>
      <sz val="11"/>
      <color rgb="FF3366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FFF2CC"/>
        <bgColor rgb="FFFDEADA"/>
      </patternFill>
    </fill>
    <fill>
      <patternFill patternType="solid">
        <fgColor rgb="FFFFFF00"/>
        <bgColor rgb="FFFFF2CC"/>
      </patternFill>
    </fill>
    <fill>
      <patternFill patternType="solid">
        <fgColor rgb="FFD0E0E3"/>
        <bgColor rgb="FFCFE2F3"/>
      </patternFill>
    </fill>
    <fill>
      <patternFill patternType="solid">
        <fgColor rgb="FFEFEFEF"/>
        <bgColor rgb="FFF3F3F3"/>
      </patternFill>
    </fill>
    <fill>
      <patternFill patternType="solid">
        <fgColor rgb="FFFCE5CD"/>
        <bgColor rgb="FFFDEADA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auto="1"/>
      </right>
      <top style="thin">
        <color rgb="FFD9D9D9"/>
      </top>
      <bottom/>
      <diagonal/>
    </border>
    <border>
      <left style="thin">
        <color auto="1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0" xfId="1" applyFont="1"/>
    <xf numFmtId="0" fontId="2" fillId="0" borderId="0" xfId="1" applyFont="1" applyAlignment="1">
      <alignment horizontal="center"/>
    </xf>
    <xf numFmtId="164" fontId="2" fillId="2" borderId="0" xfId="1" applyNumberFormat="1" applyFont="1" applyFill="1" applyAlignment="1">
      <alignment horizontal="center" wrapText="1"/>
    </xf>
    <xf numFmtId="0" fontId="3" fillId="2" borderId="0" xfId="1" applyFont="1" applyFill="1" applyAlignment="1">
      <alignment horizontal="center" wrapText="1"/>
    </xf>
    <xf numFmtId="0" fontId="4" fillId="0" borderId="0" xfId="1" applyFont="1" applyAlignment="1">
      <alignment horizontal="center"/>
    </xf>
    <xf numFmtId="10" fontId="5" fillId="2" borderId="0" xfId="1" applyNumberFormat="1" applyFont="1" applyFill="1" applyAlignment="1">
      <alignment horizontal="center"/>
    </xf>
    <xf numFmtId="10" fontId="1" fillId="2" borderId="0" xfId="1" applyNumberFormat="1" applyFill="1" applyAlignment="1">
      <alignment horizontal="center"/>
    </xf>
    <xf numFmtId="0" fontId="6" fillId="2" borderId="0" xfId="1" applyFont="1" applyFill="1" applyAlignment="1">
      <alignment horizontal="center"/>
    </xf>
    <xf numFmtId="165" fontId="6" fillId="2" borderId="0" xfId="1" applyNumberFormat="1" applyFont="1" applyFill="1" applyAlignment="1">
      <alignment horizontal="center"/>
    </xf>
    <xf numFmtId="166" fontId="5" fillId="2" borderId="0" xfId="1" applyNumberFormat="1" applyFont="1" applyFill="1" applyAlignment="1">
      <alignment horizontal="center"/>
    </xf>
    <xf numFmtId="166" fontId="7" fillId="2" borderId="0" xfId="1" applyNumberFormat="1" applyFont="1" applyFill="1" applyAlignment="1">
      <alignment horizontal="center" wrapText="1"/>
    </xf>
    <xf numFmtId="166" fontId="7" fillId="2" borderId="0" xfId="1" applyNumberFormat="1" applyFont="1" applyFill="1" applyAlignment="1">
      <alignment horizontal="center"/>
    </xf>
    <xf numFmtId="0" fontId="1" fillId="0" borderId="0" xfId="1" applyAlignment="1">
      <alignment horizontal="center"/>
    </xf>
    <xf numFmtId="0" fontId="6" fillId="0" borderId="0" xfId="1" applyFont="1" applyAlignment="1">
      <alignment horizontal="center"/>
    </xf>
    <xf numFmtId="10" fontId="5" fillId="0" borderId="0" xfId="1" applyNumberFormat="1" applyFont="1" applyAlignment="1">
      <alignment horizontal="center"/>
    </xf>
    <xf numFmtId="0" fontId="6" fillId="0" borderId="1" xfId="1" applyFont="1" applyBorder="1" applyAlignment="1">
      <alignment horizontal="center"/>
    </xf>
    <xf numFmtId="167" fontId="8" fillId="0" borderId="2" xfId="1" applyNumberFormat="1" applyFont="1" applyBorder="1" applyAlignment="1">
      <alignment horizontal="center"/>
    </xf>
    <xf numFmtId="167" fontId="5" fillId="0" borderId="0" xfId="1" applyNumberFormat="1" applyFont="1" applyAlignment="1">
      <alignment horizontal="center"/>
    </xf>
    <xf numFmtId="168" fontId="5" fillId="0" borderId="0" xfId="1" applyNumberFormat="1" applyFont="1" applyAlignment="1">
      <alignment horizontal="center"/>
    </xf>
    <xf numFmtId="167" fontId="9" fillId="0" borderId="0" xfId="1" applyNumberFormat="1" applyFont="1" applyAlignment="1">
      <alignment horizontal="center"/>
    </xf>
    <xf numFmtId="169" fontId="9" fillId="0" borderId="0" xfId="1" applyNumberFormat="1" applyFont="1" applyAlignment="1">
      <alignment horizontal="center"/>
    </xf>
    <xf numFmtId="167" fontId="8" fillId="0" borderId="0" xfId="1" applyNumberFormat="1" applyFont="1" applyAlignment="1">
      <alignment horizontal="center"/>
    </xf>
    <xf numFmtId="167" fontId="10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166" fontId="3" fillId="2" borderId="0" xfId="1" applyNumberFormat="1" applyFont="1" applyFill="1" applyAlignment="1">
      <alignment horizontal="center" wrapText="1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166" fontId="7" fillId="0" borderId="0" xfId="1" applyNumberFormat="1" applyFont="1" applyAlignment="1">
      <alignment horizontal="center" wrapText="1"/>
    </xf>
    <xf numFmtId="166" fontId="7" fillId="0" borderId="0" xfId="1" applyNumberFormat="1" applyFont="1" applyAlignment="1">
      <alignment horizontal="center"/>
    </xf>
    <xf numFmtId="0" fontId="2" fillId="3" borderId="0" xfId="1" applyFont="1" applyFill="1"/>
    <xf numFmtId="0" fontId="3" fillId="2" borderId="1" xfId="1" applyFont="1" applyFill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164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2" fillId="4" borderId="0" xfId="1" applyFont="1" applyFill="1"/>
    <xf numFmtId="10" fontId="5" fillId="2" borderId="4" xfId="1" applyNumberFormat="1" applyFont="1" applyFill="1" applyBorder="1" applyAlignment="1">
      <alignment horizontal="center"/>
    </xf>
    <xf numFmtId="10" fontId="1" fillId="2" borderId="4" xfId="1" applyNumberForma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166" fontId="5" fillId="2" borderId="4" xfId="1" applyNumberFormat="1" applyFont="1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6" fillId="0" borderId="4" xfId="1" applyFont="1" applyBorder="1" applyAlignment="1">
      <alignment horizontal="center"/>
    </xf>
    <xf numFmtId="10" fontId="5" fillId="0" borderId="4" xfId="1" applyNumberFormat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167" fontId="8" fillId="0" borderId="6" xfId="1" applyNumberFormat="1" applyFont="1" applyBorder="1" applyAlignment="1">
      <alignment horizontal="center"/>
    </xf>
    <xf numFmtId="167" fontId="5" fillId="0" borderId="4" xfId="1" applyNumberFormat="1" applyFont="1" applyBorder="1" applyAlignment="1">
      <alignment horizontal="center"/>
    </xf>
    <xf numFmtId="168" fontId="5" fillId="0" borderId="4" xfId="1" applyNumberFormat="1" applyFont="1" applyBorder="1" applyAlignment="1">
      <alignment horizontal="center"/>
    </xf>
    <xf numFmtId="167" fontId="9" fillId="0" borderId="4" xfId="1" applyNumberFormat="1" applyFont="1" applyBorder="1" applyAlignment="1">
      <alignment horizontal="center"/>
    </xf>
    <xf numFmtId="169" fontId="9" fillId="0" borderId="4" xfId="1" applyNumberFormat="1" applyFont="1" applyBorder="1" applyAlignment="1">
      <alignment horizontal="center"/>
    </xf>
    <xf numFmtId="10" fontId="5" fillId="2" borderId="7" xfId="1" applyNumberFormat="1" applyFont="1" applyFill="1" applyBorder="1" applyAlignment="1">
      <alignment horizontal="center"/>
    </xf>
    <xf numFmtId="10" fontId="1" fillId="2" borderId="7" xfId="1" applyNumberForma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166" fontId="5" fillId="2" borderId="7" xfId="1" applyNumberFormat="1" applyFont="1" applyFill="1" applyBorder="1" applyAlignment="1">
      <alignment horizontal="center"/>
    </xf>
    <xf numFmtId="0" fontId="1" fillId="0" borderId="7" xfId="1" applyBorder="1" applyAlignment="1">
      <alignment horizontal="center"/>
    </xf>
    <xf numFmtId="0" fontId="6" fillId="0" borderId="7" xfId="1" applyFont="1" applyBorder="1" applyAlignment="1">
      <alignment horizontal="center"/>
    </xf>
    <xf numFmtId="10" fontId="5" fillId="0" borderId="7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8" fillId="0" borderId="9" xfId="1" applyNumberFormat="1" applyFont="1" applyBorder="1" applyAlignment="1">
      <alignment horizontal="center"/>
    </xf>
    <xf numFmtId="167" fontId="5" fillId="0" borderId="7" xfId="1" applyNumberFormat="1" applyFont="1" applyBorder="1" applyAlignment="1">
      <alignment horizontal="center"/>
    </xf>
    <xf numFmtId="168" fontId="5" fillId="0" borderId="7" xfId="1" applyNumberFormat="1" applyFont="1" applyBorder="1" applyAlignment="1">
      <alignment horizontal="center"/>
    </xf>
    <xf numFmtId="167" fontId="9" fillId="0" borderId="7" xfId="1" applyNumberFormat="1" applyFont="1" applyBorder="1" applyAlignment="1">
      <alignment horizontal="center"/>
    </xf>
    <xf numFmtId="169" fontId="9" fillId="0" borderId="7" xfId="1" applyNumberFormat="1" applyFont="1" applyBorder="1" applyAlignment="1">
      <alignment horizontal="center"/>
    </xf>
    <xf numFmtId="167" fontId="8" fillId="0" borderId="7" xfId="1" applyNumberFormat="1" applyFont="1" applyBorder="1" applyAlignment="1">
      <alignment horizontal="center"/>
    </xf>
    <xf numFmtId="165" fontId="6" fillId="2" borderId="7" xfId="1" applyNumberFormat="1" applyFont="1" applyFill="1" applyBorder="1" applyAlignment="1">
      <alignment horizontal="center"/>
    </xf>
    <xf numFmtId="165" fontId="6" fillId="2" borderId="4" xfId="1" applyNumberFormat="1" applyFont="1" applyFill="1" applyBorder="1" applyAlignment="1">
      <alignment horizontal="center"/>
    </xf>
    <xf numFmtId="164" fontId="3" fillId="0" borderId="0" xfId="1" applyNumberFormat="1" applyFont="1" applyAlignment="1">
      <alignment horizontal="center" wrapText="1"/>
    </xf>
    <xf numFmtId="166" fontId="11" fillId="0" borderId="0" xfId="1" applyNumberFormat="1" applyFont="1" applyAlignment="1">
      <alignment horizontal="center" wrapText="1"/>
    </xf>
    <xf numFmtId="166" fontId="11" fillId="0" borderId="0" xfId="1" applyNumberFormat="1" applyFont="1"/>
    <xf numFmtId="0" fontId="3" fillId="0" borderId="1" xfId="1" applyFont="1" applyBorder="1" applyAlignment="1">
      <alignment horizontal="center" wrapText="1"/>
    </xf>
    <xf numFmtId="167" fontId="12" fillId="0" borderId="2" xfId="1" applyNumberFormat="1" applyFont="1" applyBorder="1" applyAlignment="1">
      <alignment horizontal="center"/>
    </xf>
    <xf numFmtId="167" fontId="13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wrapText="1"/>
    </xf>
    <xf numFmtId="166" fontId="3" fillId="0" borderId="0" xfId="1" applyNumberFormat="1" applyFont="1" applyAlignment="1">
      <alignment horizontal="center" wrapText="1"/>
    </xf>
    <xf numFmtId="166" fontId="3" fillId="0" borderId="0" xfId="1" applyNumberFormat="1" applyFont="1"/>
    <xf numFmtId="166" fontId="3" fillId="0" borderId="0" xfId="1" applyNumberFormat="1" applyFont="1" applyAlignment="1">
      <alignment wrapText="1"/>
    </xf>
    <xf numFmtId="166" fontId="2" fillId="0" borderId="0" xfId="1" applyNumberFormat="1" applyFont="1" applyAlignment="1">
      <alignment horizontal="center" wrapText="1"/>
    </xf>
    <xf numFmtId="166" fontId="2" fillId="0" borderId="0" xfId="1" applyNumberFormat="1" applyFont="1"/>
    <xf numFmtId="167" fontId="14" fillId="0" borderId="0" xfId="1" applyNumberFormat="1" applyFont="1" applyAlignment="1">
      <alignment horizontal="center"/>
    </xf>
    <xf numFmtId="0" fontId="2" fillId="5" borderId="0" xfId="1" applyFont="1" applyFill="1"/>
    <xf numFmtId="0" fontId="2" fillId="5" borderId="0" xfId="1" applyFont="1" applyFill="1" applyAlignment="1">
      <alignment horizontal="center"/>
    </xf>
    <xf numFmtId="164" fontId="2" fillId="5" borderId="0" xfId="1" applyNumberFormat="1" applyFont="1" applyFill="1" applyAlignment="1">
      <alignment horizontal="center" wrapText="1"/>
    </xf>
    <xf numFmtId="0" fontId="3" fillId="5" borderId="0" xfId="1" applyFont="1" applyFill="1" applyAlignment="1">
      <alignment horizontal="center" wrapText="1"/>
    </xf>
    <xf numFmtId="0" fontId="4" fillId="5" borderId="0" xfId="1" applyFont="1" applyFill="1" applyAlignment="1">
      <alignment horizontal="center"/>
    </xf>
    <xf numFmtId="166" fontId="7" fillId="5" borderId="0" xfId="1" applyNumberFormat="1" applyFont="1" applyFill="1" applyAlignment="1">
      <alignment horizontal="center" wrapText="1"/>
    </xf>
    <xf numFmtId="166" fontId="2" fillId="5" borderId="0" xfId="1" applyNumberFormat="1" applyFont="1" applyFill="1" applyAlignment="1">
      <alignment horizontal="center" wrapText="1"/>
    </xf>
    <xf numFmtId="166" fontId="2" fillId="5" borderId="0" xfId="1" applyNumberFormat="1" applyFont="1" applyFill="1"/>
    <xf numFmtId="166" fontId="3" fillId="5" borderId="0" xfId="1" applyNumberFormat="1" applyFont="1" applyFill="1" applyAlignment="1">
      <alignment wrapText="1"/>
    </xf>
    <xf numFmtId="0" fontId="3" fillId="5" borderId="1" xfId="1" applyFont="1" applyFill="1" applyBorder="1" applyAlignment="1">
      <alignment horizontal="center" wrapText="1"/>
    </xf>
    <xf numFmtId="167" fontId="13" fillId="5" borderId="0" xfId="1" applyNumberFormat="1" applyFont="1" applyFill="1" applyAlignment="1">
      <alignment horizontal="center"/>
    </xf>
    <xf numFmtId="167" fontId="3" fillId="5" borderId="0" xfId="1" applyNumberFormat="1" applyFont="1" applyFill="1" applyAlignment="1">
      <alignment wrapText="1"/>
    </xf>
    <xf numFmtId="0" fontId="2" fillId="0" borderId="0" xfId="1" applyFont="1" applyAlignment="1">
      <alignment wrapText="1"/>
    </xf>
    <xf numFmtId="0" fontId="3" fillId="0" borderId="10" xfId="1" applyFont="1" applyBorder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167" fontId="12" fillId="0" borderId="0" xfId="1" applyNumberFormat="1" applyFont="1" applyAlignment="1">
      <alignment horizontal="center"/>
    </xf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center" wrapText="1"/>
    </xf>
    <xf numFmtId="164" fontId="2" fillId="6" borderId="0" xfId="1" applyNumberFormat="1" applyFont="1" applyFill="1" applyAlignment="1">
      <alignment horizontal="center" wrapText="1"/>
    </xf>
    <xf numFmtId="0" fontId="4" fillId="2" borderId="3" xfId="1" applyFont="1" applyFill="1" applyBorder="1" applyAlignment="1">
      <alignment horizontal="center" wrapText="1"/>
    </xf>
    <xf numFmtId="166" fontId="3" fillId="2" borderId="0" xfId="1" applyNumberFormat="1" applyFont="1" applyFill="1" applyAlignment="1">
      <alignment wrapText="1"/>
    </xf>
    <xf numFmtId="0" fontId="1" fillId="2" borderId="0" xfId="1" applyFill="1" applyAlignment="1">
      <alignment horizontal="center"/>
    </xf>
    <xf numFmtId="167" fontId="8" fillId="2" borderId="0" xfId="1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8" fontId="5" fillId="2" borderId="0" xfId="1" applyNumberFormat="1" applyFont="1" applyFill="1" applyAlignment="1">
      <alignment horizontal="center"/>
    </xf>
    <xf numFmtId="167" fontId="9" fillId="2" borderId="0" xfId="1" applyNumberFormat="1" applyFont="1" applyFill="1" applyAlignment="1">
      <alignment horizontal="center"/>
    </xf>
    <xf numFmtId="169" fontId="9" fillId="2" borderId="0" xfId="1" applyNumberFormat="1" applyFont="1" applyFill="1" applyAlignment="1">
      <alignment horizontal="center"/>
    </xf>
    <xf numFmtId="10" fontId="1" fillId="0" borderId="0" xfId="1" applyNumberFormat="1" applyAlignment="1">
      <alignment horizontal="center"/>
    </xf>
    <xf numFmtId="165" fontId="6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10" fontId="6" fillId="2" borderId="0" xfId="1" applyNumberFormat="1" applyFont="1" applyFill="1" applyAlignment="1">
      <alignment horizontal="center"/>
    </xf>
    <xf numFmtId="0" fontId="4" fillId="2" borderId="0" xfId="1" applyFont="1" applyFill="1" applyAlignment="1">
      <alignment horizontal="center" wrapText="1"/>
    </xf>
    <xf numFmtId="165" fontId="15" fillId="2" borderId="0" xfId="1" applyNumberFormat="1" applyFont="1" applyFill="1" applyAlignment="1">
      <alignment horizontal="center"/>
    </xf>
    <xf numFmtId="10" fontId="2" fillId="2" borderId="0" xfId="1" applyNumberFormat="1" applyFont="1" applyFill="1" applyAlignment="1">
      <alignment horizontal="center"/>
    </xf>
    <xf numFmtId="0" fontId="15" fillId="2" borderId="0" xfId="1" applyFont="1" applyFill="1" applyAlignment="1">
      <alignment horizontal="center"/>
    </xf>
    <xf numFmtId="166" fontId="16" fillId="2" borderId="0" xfId="1" applyNumberFormat="1" applyFont="1" applyFill="1" applyAlignment="1">
      <alignment horizontal="center"/>
    </xf>
    <xf numFmtId="0" fontId="2" fillId="0" borderId="1" xfId="1" applyFont="1" applyBorder="1" applyAlignment="1">
      <alignment horizontal="center"/>
    </xf>
    <xf numFmtId="10" fontId="16" fillId="2" borderId="0" xfId="1" applyNumberFormat="1" applyFont="1" applyFill="1" applyAlignment="1">
      <alignment horizontal="center"/>
    </xf>
    <xf numFmtId="168" fontId="17" fillId="2" borderId="0" xfId="1" applyNumberFormat="1" applyFont="1" applyFill="1" applyAlignment="1">
      <alignment wrapText="1"/>
    </xf>
    <xf numFmtId="0" fontId="3" fillId="2" borderId="11" xfId="1" applyFont="1" applyFill="1" applyBorder="1" applyAlignment="1">
      <alignment horizontal="center" wrapText="1"/>
    </xf>
    <xf numFmtId="0" fontId="2" fillId="0" borderId="3" xfId="1" applyFont="1" applyBorder="1" applyAlignment="1">
      <alignment horizontal="center"/>
    </xf>
    <xf numFmtId="0" fontId="2" fillId="2" borderId="3" xfId="1" applyFont="1" applyFill="1" applyBorder="1" applyAlignment="1">
      <alignment horizontal="center" wrapText="1"/>
    </xf>
    <xf numFmtId="166" fontId="3" fillId="2" borderId="1" xfId="1" applyNumberFormat="1" applyFont="1" applyFill="1" applyBorder="1" applyAlignment="1">
      <alignment horizontal="center" wrapText="1"/>
    </xf>
    <xf numFmtId="0" fontId="17" fillId="2" borderId="1" xfId="1" applyFont="1" applyFill="1" applyBorder="1" applyAlignment="1">
      <alignment horizontal="center" wrapText="1"/>
    </xf>
    <xf numFmtId="0" fontId="2" fillId="0" borderId="0" xfId="1" applyFont="1" applyAlignment="1">
      <alignment horizontal="center" wrapText="1"/>
    </xf>
    <xf numFmtId="0" fontId="17" fillId="2" borderId="0" xfId="1" applyFont="1" applyFill="1" applyAlignment="1">
      <alignment horizontal="center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wrapText="1"/>
    </xf>
    <xf numFmtId="14" fontId="3" fillId="0" borderId="0" xfId="1" applyNumberFormat="1" applyFont="1" applyAlignment="1">
      <alignment horizontal="right" wrapText="1"/>
    </xf>
    <xf numFmtId="166" fontId="2" fillId="0" borderId="0" xfId="1" applyNumberFormat="1" applyFont="1" applyAlignment="1">
      <alignment wrapText="1"/>
    </xf>
    <xf numFmtId="166" fontId="11" fillId="2" borderId="0" xfId="1" applyNumberFormat="1" applyFont="1" applyFill="1" applyAlignment="1">
      <alignment horizontal="center" wrapText="1"/>
    </xf>
    <xf numFmtId="166" fontId="11" fillId="2" borderId="0" xfId="1" applyNumberFormat="1" applyFont="1" applyFill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7" borderId="0" xfId="1" applyFont="1" applyFill="1"/>
    <xf numFmtId="0" fontId="2" fillId="7" borderId="0" xfId="1" applyFont="1" applyFill="1" applyAlignment="1">
      <alignment horizontal="center"/>
    </xf>
    <xf numFmtId="164" fontId="2" fillId="7" borderId="0" xfId="1" applyNumberFormat="1" applyFont="1" applyFill="1" applyAlignment="1">
      <alignment horizontal="center" wrapText="1"/>
    </xf>
    <xf numFmtId="0" fontId="3" fillId="7" borderId="0" xfId="1" applyFont="1" applyFill="1" applyAlignment="1">
      <alignment horizontal="center" wrapText="1"/>
    </xf>
    <xf numFmtId="0" fontId="4" fillId="7" borderId="0" xfId="1" applyFont="1" applyFill="1" applyAlignment="1">
      <alignment horizontal="center"/>
    </xf>
    <xf numFmtId="166" fontId="7" fillId="7" borderId="0" xfId="1" applyNumberFormat="1" applyFont="1" applyFill="1" applyAlignment="1">
      <alignment horizontal="center" wrapText="1"/>
    </xf>
    <xf numFmtId="166" fontId="7" fillId="7" borderId="0" xfId="1" applyNumberFormat="1" applyFont="1" applyFill="1" applyAlignment="1">
      <alignment horizontal="center"/>
    </xf>
    <xf numFmtId="0" fontId="3" fillId="7" borderId="1" xfId="1" applyFont="1" applyFill="1" applyBorder="1" applyAlignment="1">
      <alignment horizontal="center" wrapText="1"/>
    </xf>
    <xf numFmtId="166" fontId="3" fillId="5" borderId="0" xfId="1" applyNumberFormat="1" applyFont="1" applyFill="1"/>
  </cellXfs>
  <cellStyles count="2">
    <cellStyle name="Normal" xfId="0" builtinId="0"/>
    <cellStyle name="Normal 2" xfId="1" xr:uid="{945BDCEE-558D-4ED8-9D94-55E1F34F41FA}"/>
  </cellStyles>
  <dxfs count="4">
    <dxf>
      <font>
        <color rgb="FFC53929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  <dxf>
      <font>
        <color rgb="FF008000"/>
      </font>
      <fill>
        <patternFill>
          <bgColor rgb="FFFFFFFF"/>
        </patternFill>
      </fill>
    </dxf>
    <dxf>
      <font>
        <color rgb="FFC53929"/>
      </font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D20F-ACFB-4D54-A2FC-BD9FB3528286}">
  <dimension ref="A1:BY1421"/>
  <sheetViews>
    <sheetView tabSelected="1" workbookViewId="0">
      <selection activeCell="H34" sqref="H34"/>
    </sheetView>
  </sheetViews>
  <sheetFormatPr defaultRowHeight="12.75" x14ac:dyDescent="0.2"/>
  <cols>
    <col min="1" max="1" width="15.5703125" style="1" bestFit="1" customWidth="1"/>
    <col min="2" max="2" width="16.140625" style="1" bestFit="1" customWidth="1"/>
    <col min="3" max="3" width="9.140625" style="1"/>
    <col min="4" max="4" width="8" style="1" bestFit="1" customWidth="1"/>
    <col min="5" max="5" width="40" style="1" bestFit="1" customWidth="1"/>
    <col min="6" max="6" width="8.7109375" style="1" bestFit="1" customWidth="1"/>
    <col min="7" max="7" width="13.7109375" style="1" customWidth="1"/>
    <col min="8" max="8" width="6.28515625" style="1" bestFit="1" customWidth="1"/>
    <col min="9" max="9" width="6.7109375" style="1" bestFit="1" customWidth="1"/>
    <col min="10" max="10" width="10.7109375" style="1" bestFit="1" customWidth="1"/>
    <col min="11" max="11" width="7.85546875" style="1" bestFit="1" customWidth="1"/>
    <col min="12" max="12" width="7.42578125" style="1" bestFit="1" customWidth="1"/>
    <col min="13" max="13" width="13.140625" style="1" bestFit="1" customWidth="1"/>
    <col min="14" max="14" width="7.28515625" style="1" bestFit="1" customWidth="1"/>
    <col min="15" max="15" width="10.85546875" style="1" bestFit="1" customWidth="1"/>
    <col min="16" max="16" width="11" style="1" bestFit="1" customWidth="1"/>
    <col min="17" max="17" width="12.140625" style="1" bestFit="1" customWidth="1"/>
    <col min="18" max="18" width="25.7109375" style="1" bestFit="1" customWidth="1"/>
    <col min="19" max="19" width="12.7109375" style="1" bestFit="1" customWidth="1"/>
    <col min="20" max="20" width="10.28515625" style="1" bestFit="1" customWidth="1"/>
    <col min="21" max="21" width="13.28515625" style="1" bestFit="1" customWidth="1"/>
    <col min="22" max="22" width="2.7109375" style="1" bestFit="1" customWidth="1"/>
    <col min="23" max="27" width="9.140625" style="1"/>
    <col min="28" max="28" width="9.28515625" style="1" bestFit="1" customWidth="1"/>
    <col min="29" max="29" width="8.85546875" style="1" bestFit="1" customWidth="1"/>
    <col min="30" max="30" width="16.7109375" style="1" bestFit="1" customWidth="1"/>
    <col min="31" max="33" width="10.85546875" style="1" bestFit="1" customWidth="1"/>
    <col min="34" max="34" width="3.7109375" style="1" bestFit="1" customWidth="1"/>
    <col min="35" max="35" width="19.140625" style="1" bestFit="1" customWidth="1"/>
    <col min="36" max="36" width="9.28515625" style="1" bestFit="1" customWidth="1"/>
    <col min="37" max="37" width="10.28515625" style="1" bestFit="1" customWidth="1"/>
    <col min="38" max="38" width="9.28515625" style="1" bestFit="1" customWidth="1"/>
    <col min="39" max="39" width="10.28515625" style="1" bestFit="1" customWidth="1"/>
    <col min="40" max="40" width="9.28515625" style="1" bestFit="1" customWidth="1"/>
    <col min="41" max="41" width="10.28515625" style="1" bestFit="1" customWidth="1"/>
    <col min="42" max="42" width="9.28515625" style="1" bestFit="1" customWidth="1"/>
    <col min="43" max="43" width="11.42578125" style="1" bestFit="1" customWidth="1"/>
    <col min="44" max="44" width="9.28515625" style="1" bestFit="1" customWidth="1"/>
    <col min="45" max="45" width="11.42578125" style="1" bestFit="1" customWidth="1"/>
    <col min="46" max="46" width="7.7109375" style="1" bestFit="1" customWidth="1"/>
    <col min="47" max="47" width="11.42578125" style="1" bestFit="1" customWidth="1"/>
    <col min="48" max="48" width="7.7109375" style="1" bestFit="1" customWidth="1"/>
    <col min="49" max="49" width="11.42578125" style="1" bestFit="1" customWidth="1"/>
    <col min="50" max="50" width="10.28515625" style="1" bestFit="1" customWidth="1"/>
    <col min="51" max="51" width="11.42578125" style="1" bestFit="1" customWidth="1"/>
    <col min="52" max="52" width="9.28515625" style="1" bestFit="1" customWidth="1"/>
    <col min="53" max="53" width="11.42578125" style="1" bestFit="1" customWidth="1"/>
    <col min="54" max="54" width="9.28515625" style="1" bestFit="1" customWidth="1"/>
    <col min="55" max="55" width="10.28515625" style="1" bestFit="1" customWidth="1"/>
    <col min="56" max="60" width="7.7109375" style="1" bestFit="1" customWidth="1"/>
    <col min="61" max="65" width="9.28515625" style="1" bestFit="1" customWidth="1"/>
    <col min="66" max="66" width="10.28515625" style="1" bestFit="1" customWidth="1"/>
    <col min="67" max="68" width="9.28515625" style="1" bestFit="1" customWidth="1"/>
    <col min="69" max="16384" width="9.140625" style="1"/>
  </cols>
  <sheetData>
    <row r="1" spans="1:77" x14ac:dyDescent="0.2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10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</row>
    <row r="2" spans="1:77" ht="15" customHeight="1" x14ac:dyDescent="0.25">
      <c r="A2" s="1">
        <v>1</v>
      </c>
      <c r="B2" s="1" t="str">
        <f t="shared" ref="B2:B65" si="0">LEFT(E2, FIND(" ", E2))</f>
        <v xml:space="preserve">Pistons </v>
      </c>
      <c r="C2" s="1">
        <f t="shared" ref="C2:C65" si="1">IF(Q2="total", 1, 0)</f>
        <v>0</v>
      </c>
      <c r="D2" s="2" t="str">
        <f t="shared" ref="D2:D65" si="2">YEAR(G2)&amp;"-"&amp;IF(MONTH(G2)&lt;10, "0", "")&amp;MONTH(G2)</f>
        <v>2024-10</v>
      </c>
      <c r="E2" s="3" t="s">
        <v>73</v>
      </c>
      <c r="F2" s="4" t="s">
        <v>74</v>
      </c>
      <c r="G2" s="5">
        <v>45591</v>
      </c>
      <c r="H2" s="6">
        <v>-1400</v>
      </c>
      <c r="I2" s="6">
        <v>630</v>
      </c>
      <c r="J2" s="7">
        <v>-500</v>
      </c>
      <c r="K2" s="8">
        <v>4.6416382252559792E-2</v>
      </c>
      <c r="L2" s="9">
        <v>3.868031854379983E-2</v>
      </c>
      <c r="M2" s="10">
        <v>-681.33333333333394</v>
      </c>
      <c r="N2" s="11">
        <v>1.2</v>
      </c>
      <c r="O2" s="12">
        <v>14640.053215472151</v>
      </c>
      <c r="P2" s="13" t="s">
        <v>75</v>
      </c>
      <c r="Q2" s="13" t="s">
        <v>76</v>
      </c>
      <c r="R2" s="14"/>
      <c r="S2" s="13"/>
      <c r="T2" s="13">
        <v>2000</v>
      </c>
      <c r="U2" s="13"/>
      <c r="V2" s="6" t="s">
        <v>77</v>
      </c>
      <c r="W2" s="15"/>
      <c r="X2" s="15"/>
      <c r="Y2" s="16"/>
      <c r="Z2" s="17"/>
      <c r="AA2" s="18"/>
      <c r="AB2" s="19">
        <v>400</v>
      </c>
      <c r="AC2" s="20">
        <v>92.832764505119584</v>
      </c>
      <c r="AD2" s="21">
        <v>45591</v>
      </c>
      <c r="AE2" s="22">
        <v>46669.754470769774</v>
      </c>
      <c r="AF2" s="23">
        <v>26562.811533333341</v>
      </c>
      <c r="AG2" s="24">
        <v>126162.81153333334</v>
      </c>
      <c r="AH2" s="15">
        <v>0.5</v>
      </c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</row>
    <row r="3" spans="1:77" ht="15" customHeight="1" x14ac:dyDescent="0.25">
      <c r="A3" s="1">
        <f>IF(AND(B3=B2, C3=C2, G3=G2), A2, A2+1)</f>
        <v>1</v>
      </c>
      <c r="B3" s="1" t="str">
        <f t="shared" si="0"/>
        <v xml:space="preserve">Pistons </v>
      </c>
      <c r="C3" s="1">
        <f t="shared" si="1"/>
        <v>0</v>
      </c>
      <c r="D3" s="2" t="str">
        <f t="shared" si="2"/>
        <v>2024-10</v>
      </c>
      <c r="E3" s="3" t="s">
        <v>78</v>
      </c>
      <c r="F3" s="4" t="s">
        <v>74</v>
      </c>
      <c r="G3" s="5">
        <v>45591</v>
      </c>
      <c r="H3" s="4">
        <v>-1450</v>
      </c>
      <c r="I3" s="4">
        <v>640</v>
      </c>
      <c r="J3" s="7">
        <v>-480</v>
      </c>
      <c r="K3" s="8">
        <v>5.581568946796954E-2</v>
      </c>
      <c r="L3" s="9">
        <v>4.6192294732112726E-2</v>
      </c>
      <c r="M3" s="10">
        <v>-692.25806451612937</v>
      </c>
      <c r="N3" s="11">
        <v>1.2083333333333333</v>
      </c>
      <c r="O3" s="12">
        <v>16954.057408170458</v>
      </c>
      <c r="P3" s="13" t="s">
        <v>75</v>
      </c>
      <c r="Q3" s="13" t="s">
        <v>76</v>
      </c>
      <c r="R3" s="14"/>
      <c r="S3" s="13"/>
      <c r="T3" s="13">
        <v>1933</v>
      </c>
      <c r="U3" s="13"/>
      <c r="V3" s="6" t="s">
        <v>77</v>
      </c>
      <c r="W3" s="15"/>
      <c r="X3" s="15"/>
      <c r="Y3" s="16"/>
      <c r="Z3" s="17"/>
      <c r="AA3" s="18"/>
      <c r="AB3" s="19">
        <v>402.71</v>
      </c>
      <c r="AC3" s="20">
        <v>107.89172774158511</v>
      </c>
      <c r="AD3" s="21">
        <v>45591</v>
      </c>
      <c r="AE3" s="22">
        <v>46777.646198511356</v>
      </c>
      <c r="AF3" s="23">
        <v>26965.52153333334</v>
      </c>
      <c r="AG3" s="24">
        <v>126562.81153333334</v>
      </c>
      <c r="AH3" s="15">
        <v>0.5</v>
      </c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</row>
    <row r="4" spans="1:77" ht="15" customHeight="1" x14ac:dyDescent="0.25">
      <c r="A4" s="1">
        <f t="shared" ref="A4:A67" si="3">IF(AND(B4=B3, C4=C3, G4=G3), A3, A3+1)</f>
        <v>1</v>
      </c>
      <c r="B4" s="1" t="str">
        <f t="shared" si="0"/>
        <v xml:space="preserve">Pistons </v>
      </c>
      <c r="C4" s="1">
        <f t="shared" si="1"/>
        <v>0</v>
      </c>
      <c r="D4" s="2" t="str">
        <f t="shared" si="2"/>
        <v>2024-10</v>
      </c>
      <c r="E4" s="3" t="s">
        <v>79</v>
      </c>
      <c r="F4" s="4" t="s">
        <v>74</v>
      </c>
      <c r="G4" s="5">
        <v>45591</v>
      </c>
      <c r="H4" s="4">
        <v>-750</v>
      </c>
      <c r="I4" s="4">
        <v>430</v>
      </c>
      <c r="J4" s="7">
        <v>-278</v>
      </c>
      <c r="K4" s="8">
        <v>0.12017743318298732</v>
      </c>
      <c r="L4" s="9">
        <v>8.8384461441456286E-2</v>
      </c>
      <c r="M4" s="10">
        <v>-467.64705882352956</v>
      </c>
      <c r="N4" s="11">
        <v>1.3597122302158273</v>
      </c>
      <c r="O4" s="12">
        <v>21209.162768055277</v>
      </c>
      <c r="P4" s="13" t="s">
        <v>75</v>
      </c>
      <c r="Q4" s="13" t="s">
        <v>76</v>
      </c>
      <c r="R4" s="14"/>
      <c r="S4" s="13"/>
      <c r="T4" s="13">
        <v>1068.25</v>
      </c>
      <c r="U4" s="13"/>
      <c r="V4" s="6" t="s">
        <v>77</v>
      </c>
      <c r="W4" s="15"/>
      <c r="X4" s="15"/>
      <c r="Y4" s="16"/>
      <c r="Z4" s="17"/>
      <c r="AA4" s="18"/>
      <c r="AB4" s="19">
        <v>384.26</v>
      </c>
      <c r="AC4" s="20">
        <v>128.37954299772619</v>
      </c>
      <c r="AD4" s="21">
        <v>45591</v>
      </c>
      <c r="AE4" s="22">
        <v>46906.025741509082</v>
      </c>
      <c r="AF4" s="23">
        <v>27349.781533333338</v>
      </c>
      <c r="AG4" s="24">
        <v>126965.52153333335</v>
      </c>
      <c r="AH4" s="15">
        <v>0.5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</row>
    <row r="5" spans="1:77" ht="15" customHeight="1" x14ac:dyDescent="0.25">
      <c r="A5" s="1">
        <f t="shared" si="3"/>
        <v>2</v>
      </c>
      <c r="B5" s="1" t="str">
        <f t="shared" si="0"/>
        <v xml:space="preserve">Clippers </v>
      </c>
      <c r="C5" s="1">
        <f t="shared" si="1"/>
        <v>0</v>
      </c>
      <c r="D5" s="2" t="str">
        <f t="shared" si="2"/>
        <v>2024-10</v>
      </c>
      <c r="E5" s="3" t="s">
        <v>80</v>
      </c>
      <c r="F5" s="4" t="s">
        <v>74</v>
      </c>
      <c r="G5" s="5">
        <v>45596</v>
      </c>
      <c r="H5" s="4">
        <v>-199</v>
      </c>
      <c r="I5" s="4">
        <v>169</v>
      </c>
      <c r="J5" s="7">
        <v>-165</v>
      </c>
      <c r="K5" s="8">
        <v>3.0480640325901573E-2</v>
      </c>
      <c r="L5" s="9">
        <v>1.8978511901033057E-2</v>
      </c>
      <c r="M5" s="10">
        <v>-179.03344481605345</v>
      </c>
      <c r="N5" s="11">
        <v>1.606060606060606</v>
      </c>
      <c r="O5" s="12">
        <v>3090.1687589377157</v>
      </c>
      <c r="P5" s="13" t="s">
        <v>75</v>
      </c>
      <c r="Q5" s="13" t="s">
        <v>81</v>
      </c>
      <c r="R5" s="14"/>
      <c r="S5" s="13"/>
      <c r="T5" s="13">
        <v>1337.95</v>
      </c>
      <c r="U5" s="13">
        <v>1337.95</v>
      </c>
      <c r="V5" s="26" t="s">
        <v>82</v>
      </c>
      <c r="W5" s="15"/>
      <c r="X5" s="15"/>
      <c r="Y5" s="16"/>
      <c r="Z5" s="17"/>
      <c r="AA5" s="18"/>
      <c r="AB5" s="19">
        <v>-1337.95</v>
      </c>
      <c r="AC5" s="20">
        <v>40.781572724040011</v>
      </c>
      <c r="AD5" s="21">
        <v>45596</v>
      </c>
      <c r="AE5" s="22">
        <v>53282.980491799834</v>
      </c>
      <c r="AF5" s="23">
        <v>21548.546533333345</v>
      </c>
      <c r="AG5" s="24">
        <v>122886.49653333338</v>
      </c>
      <c r="AH5" s="15">
        <v>0.5</v>
      </c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</row>
    <row r="6" spans="1:77" ht="15" customHeight="1" x14ac:dyDescent="0.25">
      <c r="A6" s="1">
        <f t="shared" si="3"/>
        <v>2</v>
      </c>
      <c r="B6" s="1" t="str">
        <f t="shared" si="0"/>
        <v xml:space="preserve">Clippers </v>
      </c>
      <c r="C6" s="1">
        <f t="shared" si="1"/>
        <v>0</v>
      </c>
      <c r="D6" s="2" t="str">
        <f t="shared" si="2"/>
        <v>2024-10</v>
      </c>
      <c r="E6" s="3" t="s">
        <v>80</v>
      </c>
      <c r="F6" s="4" t="s">
        <v>83</v>
      </c>
      <c r="G6" s="5">
        <v>45596</v>
      </c>
      <c r="H6" s="4">
        <v>-259</v>
      </c>
      <c r="I6" s="4">
        <v>198</v>
      </c>
      <c r="J6" s="7">
        <v>-200</v>
      </c>
      <c r="K6" s="8">
        <v>2.3796890751843935E-2</v>
      </c>
      <c r="L6" s="9">
        <v>1.5864593834562624E-2</v>
      </c>
      <c r="M6" s="10">
        <v>-214.99164345403906</v>
      </c>
      <c r="N6" s="11">
        <v>1.5</v>
      </c>
      <c r="O6" s="12">
        <v>2892.4774828991535</v>
      </c>
      <c r="P6" s="13" t="s">
        <v>75</v>
      </c>
      <c r="Q6" s="13" t="s">
        <v>81</v>
      </c>
      <c r="R6" s="14"/>
      <c r="S6" s="13"/>
      <c r="T6" s="13">
        <v>500</v>
      </c>
      <c r="U6" s="13">
        <v>500</v>
      </c>
      <c r="V6" s="26" t="s">
        <v>82</v>
      </c>
      <c r="W6" s="15"/>
      <c r="X6" s="15"/>
      <c r="Y6" s="16"/>
      <c r="Z6" s="17"/>
      <c r="AA6" s="18"/>
      <c r="AB6" s="19">
        <v>-500</v>
      </c>
      <c r="AC6" s="20">
        <v>11.898445375921968</v>
      </c>
      <c r="AD6" s="21">
        <v>45596</v>
      </c>
      <c r="AE6" s="22">
        <v>53294.878937175752</v>
      </c>
      <c r="AF6" s="23">
        <v>21048.546533333345</v>
      </c>
      <c r="AG6" s="24">
        <v>121548.54653333339</v>
      </c>
      <c r="AH6" s="15">
        <v>0.5</v>
      </c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</row>
    <row r="7" spans="1:77" ht="15" customHeight="1" x14ac:dyDescent="0.25">
      <c r="A7" s="1">
        <f t="shared" si="3"/>
        <v>3</v>
      </c>
      <c r="B7" s="1" t="str">
        <f t="shared" si="0"/>
        <v xml:space="preserve">Rockets </v>
      </c>
      <c r="C7" s="1">
        <f t="shared" si="1"/>
        <v>0</v>
      </c>
      <c r="D7" s="2" t="str">
        <f t="shared" si="2"/>
        <v>2024-10</v>
      </c>
      <c r="E7" s="3" t="s">
        <v>84</v>
      </c>
      <c r="F7" s="4" t="s">
        <v>74</v>
      </c>
      <c r="G7" s="5">
        <v>45596</v>
      </c>
      <c r="H7" s="4">
        <v>-119</v>
      </c>
      <c r="I7" s="4">
        <v>-106</v>
      </c>
      <c r="J7" s="7">
        <v>123</v>
      </c>
      <c r="K7" s="8">
        <v>0.14537001340931927</v>
      </c>
      <c r="L7" s="9">
        <v>6.518834682032254E-2</v>
      </c>
      <c r="M7" s="10">
        <v>-105.60006892392518</v>
      </c>
      <c r="N7" s="11">
        <v>2.23</v>
      </c>
      <c r="O7" s="12">
        <v>7204.489498504764</v>
      </c>
      <c r="P7" s="13" t="s">
        <v>75</v>
      </c>
      <c r="Q7" s="13" t="s">
        <v>76</v>
      </c>
      <c r="R7" s="14"/>
      <c r="S7" s="13"/>
      <c r="T7" s="13">
        <v>442.35500000000002</v>
      </c>
      <c r="U7" s="13">
        <v>442.35500000000002</v>
      </c>
      <c r="V7" s="6" t="s">
        <v>82</v>
      </c>
      <c r="W7" s="15"/>
      <c r="X7" s="15"/>
      <c r="Y7" s="16"/>
      <c r="Z7" s="17"/>
      <c r="AA7" s="18"/>
      <c r="AB7" s="19">
        <v>-442.35500000000002</v>
      </c>
      <c r="AC7" s="20">
        <v>64.305152281679426</v>
      </c>
      <c r="AD7" s="21">
        <v>45596</v>
      </c>
      <c r="AE7" s="22">
        <v>53099.115352024797</v>
      </c>
      <c r="AF7" s="23">
        <v>21474.426533333346</v>
      </c>
      <c r="AG7" s="24">
        <v>121916.78153333337</v>
      </c>
      <c r="AH7" s="15">
        <v>0.5</v>
      </c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</row>
    <row r="8" spans="1:77" ht="15" customHeight="1" x14ac:dyDescent="0.25">
      <c r="A8" s="1">
        <f t="shared" si="3"/>
        <v>3</v>
      </c>
      <c r="B8" s="1" t="str">
        <f t="shared" si="0"/>
        <v xml:space="preserve">Rockets </v>
      </c>
      <c r="C8" s="1">
        <f t="shared" si="1"/>
        <v>0</v>
      </c>
      <c r="D8" s="2" t="str">
        <f t="shared" si="2"/>
        <v>2024-10</v>
      </c>
      <c r="E8" s="3" t="s">
        <v>85</v>
      </c>
      <c r="F8" s="4" t="s">
        <v>74</v>
      </c>
      <c r="G8" s="5">
        <v>45596</v>
      </c>
      <c r="H8" s="4">
        <v>-119</v>
      </c>
      <c r="I8" s="4">
        <v>-104</v>
      </c>
      <c r="J8" s="7">
        <v>110</v>
      </c>
      <c r="K8" s="8">
        <v>8.347360367253262E-2</v>
      </c>
      <c r="L8" s="9">
        <v>3.9749335082158388E-2</v>
      </c>
      <c r="M8" s="10">
        <v>-106.58587987355111</v>
      </c>
      <c r="N8" s="11">
        <v>2.1</v>
      </c>
      <c r="O8" s="12">
        <v>4609.0491530871141</v>
      </c>
      <c r="P8" s="13" t="s">
        <v>75</v>
      </c>
      <c r="Q8" s="13" t="s">
        <v>76</v>
      </c>
      <c r="R8" s="14"/>
      <c r="S8" s="13"/>
      <c r="T8" s="13">
        <v>450</v>
      </c>
      <c r="U8" s="13">
        <v>450</v>
      </c>
      <c r="V8" s="27" t="s">
        <v>77</v>
      </c>
      <c r="W8" s="15"/>
      <c r="X8" s="15"/>
      <c r="Y8" s="16"/>
      <c r="Z8" s="17"/>
      <c r="AA8" s="18"/>
      <c r="AB8" s="19">
        <v>495</v>
      </c>
      <c r="AC8" s="20">
        <v>37.56312165263968</v>
      </c>
      <c r="AD8" s="21">
        <v>45596</v>
      </c>
      <c r="AE8" s="22">
        <v>53136.678473677435</v>
      </c>
      <c r="AF8" s="23">
        <v>21969.426533333346</v>
      </c>
      <c r="AG8" s="24">
        <v>121474.42653333338</v>
      </c>
      <c r="AH8" s="15">
        <v>0.5</v>
      </c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</row>
    <row r="9" spans="1:77" ht="15" customHeight="1" x14ac:dyDescent="0.25">
      <c r="A9" s="1">
        <f t="shared" si="3"/>
        <v>3</v>
      </c>
      <c r="B9" s="1" t="str">
        <f t="shared" si="0"/>
        <v xml:space="preserve">Rockets </v>
      </c>
      <c r="C9" s="1">
        <f t="shared" si="1"/>
        <v>0</v>
      </c>
      <c r="D9" s="2" t="str">
        <f t="shared" si="2"/>
        <v>2024-10</v>
      </c>
      <c r="E9" s="3" t="s">
        <v>86</v>
      </c>
      <c r="F9" s="4" t="s">
        <v>74</v>
      </c>
      <c r="G9" s="5">
        <v>45596</v>
      </c>
      <c r="H9" s="4">
        <v>-105</v>
      </c>
      <c r="I9" s="4">
        <v>-115</v>
      </c>
      <c r="J9" s="7">
        <v>118</v>
      </c>
      <c r="K9" s="8">
        <v>6.63813651137595E-2</v>
      </c>
      <c r="L9" s="9">
        <v>3.0450167483375923E-2</v>
      </c>
      <c r="M9" s="10">
        <v>104.4296788482835</v>
      </c>
      <c r="N9" s="11">
        <v>2.1799999999999997</v>
      </c>
      <c r="O9" s="12">
        <v>3430.719082807233</v>
      </c>
      <c r="P9" s="13" t="s">
        <v>75</v>
      </c>
      <c r="Q9" s="13" t="s">
        <v>76</v>
      </c>
      <c r="R9" s="14"/>
      <c r="S9" s="13"/>
      <c r="T9" s="13">
        <v>450</v>
      </c>
      <c r="U9" s="13">
        <v>450</v>
      </c>
      <c r="V9" s="26" t="s">
        <v>77</v>
      </c>
      <c r="W9" s="15"/>
      <c r="X9" s="15"/>
      <c r="Y9" s="16"/>
      <c r="Z9" s="17"/>
      <c r="AA9" s="18"/>
      <c r="AB9" s="19">
        <v>531</v>
      </c>
      <c r="AC9" s="20">
        <v>29.871614301191777</v>
      </c>
      <c r="AD9" s="21">
        <v>45596</v>
      </c>
      <c r="AE9" s="22">
        <v>53166.550087978627</v>
      </c>
      <c r="AF9" s="23">
        <v>22500.426533333346</v>
      </c>
      <c r="AG9" s="24">
        <v>121969.42653333338</v>
      </c>
      <c r="AH9" s="15">
        <v>0.5</v>
      </c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</row>
    <row r="10" spans="1:77" ht="15" customHeight="1" x14ac:dyDescent="0.25">
      <c r="A10" s="1">
        <f t="shared" si="3"/>
        <v>3</v>
      </c>
      <c r="B10" s="1" t="str">
        <f t="shared" si="0"/>
        <v xml:space="preserve">Rockets </v>
      </c>
      <c r="C10" s="1">
        <f t="shared" si="1"/>
        <v>0</v>
      </c>
      <c r="D10" s="2" t="str">
        <f t="shared" si="2"/>
        <v>2024-10</v>
      </c>
      <c r="E10" s="3" t="s">
        <v>87</v>
      </c>
      <c r="F10" s="4" t="s">
        <v>74</v>
      </c>
      <c r="G10" s="5">
        <v>45596</v>
      </c>
      <c r="H10" s="4">
        <v>108</v>
      </c>
      <c r="I10" s="4">
        <v>-133</v>
      </c>
      <c r="J10" s="7">
        <v>140</v>
      </c>
      <c r="K10" s="8">
        <v>9.7245114198257626E-2</v>
      </c>
      <c r="L10" s="9">
        <v>4.0518797582607347E-2</v>
      </c>
      <c r="M10" s="10">
        <v>118.72961373390557</v>
      </c>
      <c r="N10" s="11">
        <v>2.4</v>
      </c>
      <c r="O10" s="12">
        <v>4254.4885598461688</v>
      </c>
      <c r="P10" s="13" t="s">
        <v>75</v>
      </c>
      <c r="Q10" s="13" t="s">
        <v>76</v>
      </c>
      <c r="R10" s="14"/>
      <c r="S10" s="13"/>
      <c r="T10" s="13">
        <v>450</v>
      </c>
      <c r="U10" s="13">
        <v>450</v>
      </c>
      <c r="V10" s="27" t="s">
        <v>88</v>
      </c>
      <c r="W10" s="15"/>
      <c r="X10" s="15"/>
      <c r="Y10" s="16"/>
      <c r="Z10" s="17"/>
      <c r="AA10" s="18"/>
      <c r="AB10" s="19" t="s">
        <v>89</v>
      </c>
      <c r="AC10" s="20">
        <v>43.760301389215932</v>
      </c>
      <c r="AD10" s="21">
        <v>45596</v>
      </c>
      <c r="AE10" s="22">
        <v>53210.310389367842</v>
      </c>
      <c r="AF10" s="23">
        <v>22500.426533333346</v>
      </c>
      <c r="AG10" s="24">
        <v>122500.42653333338</v>
      </c>
      <c r="AH10" s="15">
        <v>0.5</v>
      </c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</row>
    <row r="11" spans="1:77" ht="15" customHeight="1" x14ac:dyDescent="0.25">
      <c r="A11" s="1">
        <f t="shared" si="3"/>
        <v>3</v>
      </c>
      <c r="B11" s="1" t="str">
        <f t="shared" si="0"/>
        <v xml:space="preserve">Rockets </v>
      </c>
      <c r="C11" s="1">
        <f t="shared" si="1"/>
        <v>0</v>
      </c>
      <c r="D11" s="2" t="str">
        <f t="shared" si="2"/>
        <v>2024-10</v>
      </c>
      <c r="E11" s="3" t="s">
        <v>90</v>
      </c>
      <c r="F11" s="4" t="s">
        <v>83</v>
      </c>
      <c r="G11" s="5">
        <v>45596</v>
      </c>
      <c r="H11" s="4">
        <v>-130</v>
      </c>
      <c r="I11" s="4">
        <v>105</v>
      </c>
      <c r="J11" s="7">
        <v>102</v>
      </c>
      <c r="K11" s="8">
        <v>8.4249748237663749E-2</v>
      </c>
      <c r="L11" s="9">
        <v>4.170779615725928E-2</v>
      </c>
      <c r="M11" s="10">
        <v>-115.86956521739133</v>
      </c>
      <c r="N11" s="11">
        <v>2.02</v>
      </c>
      <c r="O11" s="12">
        <v>5059.1323992351772</v>
      </c>
      <c r="P11" s="13" t="s">
        <v>75</v>
      </c>
      <c r="Q11" s="13" t="s">
        <v>76</v>
      </c>
      <c r="R11" s="14"/>
      <c r="S11" s="13"/>
      <c r="T11" s="13">
        <v>378.5</v>
      </c>
      <c r="U11" s="13">
        <v>378.5</v>
      </c>
      <c r="V11" s="26" t="s">
        <v>77</v>
      </c>
      <c r="W11" s="15"/>
      <c r="X11" s="15"/>
      <c r="Y11" s="16"/>
      <c r="Z11" s="17"/>
      <c r="AA11" s="18"/>
      <c r="AB11" s="19">
        <v>386.07</v>
      </c>
      <c r="AC11" s="20">
        <v>31.88852970795573</v>
      </c>
      <c r="AD11" s="21">
        <v>45596</v>
      </c>
      <c r="AE11" s="22">
        <v>53242.198919075796</v>
      </c>
      <c r="AF11" s="23">
        <v>22886.496533333346</v>
      </c>
      <c r="AG11" s="24">
        <v>122500.42653333338</v>
      </c>
      <c r="AH11" s="15">
        <v>0.5</v>
      </c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</row>
    <row r="12" spans="1:77" ht="15" customHeight="1" x14ac:dyDescent="0.25">
      <c r="A12" s="1">
        <f t="shared" si="3"/>
        <v>4</v>
      </c>
      <c r="B12" s="1" t="str">
        <f t="shared" si="0"/>
        <v xml:space="preserve">Zubac </v>
      </c>
      <c r="C12" s="1">
        <f t="shared" si="1"/>
        <v>1</v>
      </c>
      <c r="D12" s="2" t="str">
        <f t="shared" si="2"/>
        <v>2024-10</v>
      </c>
      <c r="E12" s="3" t="s">
        <v>91</v>
      </c>
      <c r="F12" s="4" t="s">
        <v>83</v>
      </c>
      <c r="G12" s="5">
        <v>45596</v>
      </c>
      <c r="H12" s="4">
        <v>-143</v>
      </c>
      <c r="I12" s="4">
        <v>250</v>
      </c>
      <c r="J12" s="7">
        <v>-143</v>
      </c>
      <c r="K12" s="8">
        <v>0.14391392064559502</v>
      </c>
      <c r="L12" s="9">
        <v>8.469008498897157E-2</v>
      </c>
      <c r="M12" s="10">
        <v>-205.96707818930042</v>
      </c>
      <c r="N12" s="11">
        <v>1.6993006993006992</v>
      </c>
      <c r="O12" s="12">
        <v>13024.272582357315</v>
      </c>
      <c r="P12" s="13" t="s">
        <v>75</v>
      </c>
      <c r="Q12" s="13" t="s">
        <v>92</v>
      </c>
      <c r="R12" s="14"/>
      <c r="S12" s="13"/>
      <c r="T12" s="13">
        <v>71.5</v>
      </c>
      <c r="U12" s="13">
        <v>71.5</v>
      </c>
      <c r="V12" s="6" t="s">
        <v>77</v>
      </c>
      <c r="W12" s="15"/>
      <c r="X12" s="15"/>
      <c r="Y12" s="16"/>
      <c r="Z12" s="17"/>
      <c r="AA12" s="18"/>
      <c r="AB12" s="19">
        <v>50</v>
      </c>
      <c r="AC12" s="20">
        <v>10.289845326160044</v>
      </c>
      <c r="AD12" s="21">
        <v>45596</v>
      </c>
      <c r="AE12" s="22">
        <v>52025.85160158472</v>
      </c>
      <c r="AF12" s="23">
        <v>26624.036533333347</v>
      </c>
      <c r="AG12" s="24">
        <v>126574.03653333338</v>
      </c>
      <c r="AH12" s="15">
        <v>0.5</v>
      </c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</row>
    <row r="13" spans="1:77" ht="15" customHeight="1" x14ac:dyDescent="0.25">
      <c r="A13" s="1">
        <f t="shared" si="3"/>
        <v>5</v>
      </c>
      <c r="B13" s="1" t="str">
        <f t="shared" si="0"/>
        <v xml:space="preserve">Celtics </v>
      </c>
      <c r="C13" s="1">
        <f t="shared" si="1"/>
        <v>1</v>
      </c>
      <c r="D13" s="2" t="str">
        <f t="shared" si="2"/>
        <v>2024-11</v>
      </c>
      <c r="E13" s="28" t="s">
        <v>93</v>
      </c>
      <c r="F13" s="29" t="s">
        <v>74</v>
      </c>
      <c r="G13" s="5">
        <v>45597</v>
      </c>
      <c r="H13" s="6">
        <v>117</v>
      </c>
      <c r="I13" s="6">
        <v>-133</v>
      </c>
      <c r="J13" s="30">
        <v>135</v>
      </c>
      <c r="K13" s="8">
        <v>4.9730641667145775E-2</v>
      </c>
      <c r="L13" s="9">
        <v>2.116197517750884E-2</v>
      </c>
      <c r="M13" s="10">
        <v>123.86695278969958</v>
      </c>
      <c r="N13" s="11">
        <v>2.35</v>
      </c>
      <c r="O13" s="12">
        <v>2048.0842116855138</v>
      </c>
      <c r="P13" s="13" t="s">
        <v>75</v>
      </c>
      <c r="Q13" s="13" t="s">
        <v>92</v>
      </c>
      <c r="R13" s="14"/>
      <c r="S13" s="13"/>
      <c r="T13" s="13">
        <v>483.77499999999998</v>
      </c>
      <c r="U13" s="13">
        <v>483.77499999999998</v>
      </c>
      <c r="V13" s="6" t="s">
        <v>77</v>
      </c>
      <c r="W13" s="15"/>
      <c r="X13" s="15"/>
      <c r="Y13" s="16"/>
      <c r="Z13" s="17"/>
      <c r="AA13" s="18"/>
      <c r="AB13" s="19">
        <v>653.1</v>
      </c>
      <c r="AC13" s="20">
        <v>24.058441172523445</v>
      </c>
      <c r="AD13" s="21">
        <v>45597</v>
      </c>
      <c r="AE13" s="22">
        <v>54263.032212907652</v>
      </c>
      <c r="AF13" s="23">
        <v>11848.676533333346</v>
      </c>
      <c r="AG13" s="24">
        <v>111195.57653333341</v>
      </c>
      <c r="AH13" s="15">
        <v>0.5</v>
      </c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</row>
    <row r="14" spans="1:77" ht="15" customHeight="1" x14ac:dyDescent="0.25">
      <c r="A14" s="1">
        <f t="shared" si="3"/>
        <v>5</v>
      </c>
      <c r="B14" s="1" t="str">
        <f t="shared" si="0"/>
        <v xml:space="preserve">Celtics </v>
      </c>
      <c r="C14" s="1">
        <f t="shared" si="1"/>
        <v>1</v>
      </c>
      <c r="D14" s="2" t="str">
        <f t="shared" si="2"/>
        <v>2024-11</v>
      </c>
      <c r="E14" s="28" t="s">
        <v>93</v>
      </c>
      <c r="F14" s="29" t="s">
        <v>83</v>
      </c>
      <c r="G14" s="5">
        <v>45597</v>
      </c>
      <c r="H14" s="6">
        <v>117</v>
      </c>
      <c r="I14" s="6">
        <v>-133</v>
      </c>
      <c r="J14" s="30">
        <v>135</v>
      </c>
      <c r="K14" s="8">
        <v>4.9730641667145775E-2</v>
      </c>
      <c r="L14" s="9">
        <v>2.116197517750884E-2</v>
      </c>
      <c r="M14" s="10">
        <v>123.86695278969958</v>
      </c>
      <c r="N14" s="11">
        <v>2.35</v>
      </c>
      <c r="O14" s="12">
        <v>2060.1135013421112</v>
      </c>
      <c r="P14" s="13" t="s">
        <v>75</v>
      </c>
      <c r="Q14" s="13" t="s">
        <v>92</v>
      </c>
      <c r="R14" s="14"/>
      <c r="S14" s="13"/>
      <c r="T14" s="13">
        <v>483.77499999999998</v>
      </c>
      <c r="U14" s="13">
        <v>483.77499999999998</v>
      </c>
      <c r="V14" s="6" t="s">
        <v>77</v>
      </c>
      <c r="W14" s="15"/>
      <c r="X14" s="15"/>
      <c r="Y14" s="16"/>
      <c r="Z14" s="17"/>
      <c r="AA14" s="18"/>
      <c r="AB14" s="19">
        <v>653.1</v>
      </c>
      <c r="AC14" s="20">
        <v>24.058441172523445</v>
      </c>
      <c r="AD14" s="21">
        <v>45597</v>
      </c>
      <c r="AE14" s="22">
        <v>54287.090654080173</v>
      </c>
      <c r="AF14" s="23">
        <v>12501.776533333346</v>
      </c>
      <c r="AG14" s="24">
        <v>111848.67653333342</v>
      </c>
      <c r="AH14" s="15">
        <v>0.5</v>
      </c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</row>
    <row r="15" spans="1:77" ht="15" customHeight="1" x14ac:dyDescent="0.25">
      <c r="A15" s="1">
        <f t="shared" si="3"/>
        <v>6</v>
      </c>
      <c r="B15" s="1" t="str">
        <f t="shared" si="0"/>
        <v xml:space="preserve">Hornets </v>
      </c>
      <c r="C15" s="1">
        <f t="shared" si="1"/>
        <v>1</v>
      </c>
      <c r="D15" s="2" t="str">
        <f t="shared" si="2"/>
        <v>2024-11</v>
      </c>
      <c r="E15" s="28" t="s">
        <v>94</v>
      </c>
      <c r="F15" s="29" t="s">
        <v>74</v>
      </c>
      <c r="G15" s="5">
        <v>45597</v>
      </c>
      <c r="H15" s="6">
        <v>-107</v>
      </c>
      <c r="I15" s="6">
        <v>-107</v>
      </c>
      <c r="J15" s="30">
        <v>112</v>
      </c>
      <c r="K15" s="8">
        <v>6.0000000000000109E-2</v>
      </c>
      <c r="L15" s="9">
        <v>2.8301886792452879E-2</v>
      </c>
      <c r="M15" s="10">
        <v>100</v>
      </c>
      <c r="N15" s="11">
        <v>2.12</v>
      </c>
      <c r="O15" s="12">
        <v>3014.1797285714356</v>
      </c>
      <c r="P15" s="13" t="s">
        <v>75</v>
      </c>
      <c r="Q15" s="13" t="s">
        <v>92</v>
      </c>
      <c r="R15" s="14"/>
      <c r="S15" s="13"/>
      <c r="T15" s="13">
        <v>291.56</v>
      </c>
      <c r="U15" s="13">
        <v>291.56</v>
      </c>
      <c r="V15" s="6" t="s">
        <v>82</v>
      </c>
      <c r="W15" s="15"/>
      <c r="X15" s="15"/>
      <c r="Y15" s="16"/>
      <c r="Z15" s="17"/>
      <c r="AA15" s="18"/>
      <c r="AB15" s="19">
        <v>-291.56</v>
      </c>
      <c r="AC15" s="20">
        <v>17.493600000000033</v>
      </c>
      <c r="AD15" s="21">
        <v>45597</v>
      </c>
      <c r="AE15" s="22">
        <v>54179.216917073158</v>
      </c>
      <c r="AF15" s="23">
        <v>12237.816533333345</v>
      </c>
      <c r="AG15" s="24">
        <v>112529.3765333334</v>
      </c>
      <c r="AH15" s="15">
        <v>0.5</v>
      </c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</row>
    <row r="16" spans="1:77" ht="15" customHeight="1" x14ac:dyDescent="0.25">
      <c r="A16" s="1">
        <f t="shared" si="3"/>
        <v>6</v>
      </c>
      <c r="B16" s="1" t="str">
        <f t="shared" si="0"/>
        <v xml:space="preserve">Hornets </v>
      </c>
      <c r="C16" s="1">
        <f t="shared" si="1"/>
        <v>1</v>
      </c>
      <c r="D16" s="2" t="str">
        <f t="shared" si="2"/>
        <v>2024-11</v>
      </c>
      <c r="E16" s="28" t="s">
        <v>94</v>
      </c>
      <c r="F16" s="29" t="s">
        <v>83</v>
      </c>
      <c r="G16" s="5">
        <v>45597</v>
      </c>
      <c r="H16" s="6">
        <v>-107</v>
      </c>
      <c r="I16" s="6">
        <v>-107</v>
      </c>
      <c r="J16" s="30">
        <v>112</v>
      </c>
      <c r="K16" s="8">
        <v>6.0000000000000109E-2</v>
      </c>
      <c r="L16" s="9">
        <v>2.8301886792452879E-2</v>
      </c>
      <c r="M16" s="10">
        <v>100</v>
      </c>
      <c r="N16" s="11">
        <v>2.12</v>
      </c>
      <c r="O16" s="12">
        <v>3006.3700857142931</v>
      </c>
      <c r="P16" s="13" t="s">
        <v>75</v>
      </c>
      <c r="Q16" s="13" t="s">
        <v>92</v>
      </c>
      <c r="R16" s="14"/>
      <c r="S16" s="13"/>
      <c r="T16" s="13">
        <v>291.56</v>
      </c>
      <c r="U16" s="13">
        <v>291.56</v>
      </c>
      <c r="V16" s="6" t="s">
        <v>82</v>
      </c>
      <c r="W16" s="15"/>
      <c r="X16" s="15"/>
      <c r="Y16" s="16"/>
      <c r="Z16" s="17"/>
      <c r="AA16" s="18"/>
      <c r="AB16" s="19">
        <v>-291.56</v>
      </c>
      <c r="AC16" s="20">
        <v>17.493600000000033</v>
      </c>
      <c r="AD16" s="21">
        <v>45597</v>
      </c>
      <c r="AE16" s="22">
        <v>54196.710517073159</v>
      </c>
      <c r="AF16" s="23">
        <v>11946.256533333346</v>
      </c>
      <c r="AG16" s="24">
        <v>112237.8165333334</v>
      </c>
      <c r="AH16" s="15">
        <v>0.5</v>
      </c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</row>
    <row r="17" spans="1:68" ht="15" customHeight="1" x14ac:dyDescent="0.25">
      <c r="A17" s="1">
        <f t="shared" si="3"/>
        <v>7</v>
      </c>
      <c r="B17" s="1" t="str">
        <f t="shared" si="0"/>
        <v xml:space="preserve">Lakers </v>
      </c>
      <c r="C17" s="1">
        <f t="shared" si="1"/>
        <v>1</v>
      </c>
      <c r="D17" s="2" t="str">
        <f t="shared" si="2"/>
        <v>2024-11</v>
      </c>
      <c r="E17" s="28" t="s">
        <v>95</v>
      </c>
      <c r="F17" s="29" t="s">
        <v>74</v>
      </c>
      <c r="G17" s="5">
        <v>45597</v>
      </c>
      <c r="H17" s="6">
        <v>-128</v>
      </c>
      <c r="I17" s="6">
        <v>108</v>
      </c>
      <c r="J17" s="30">
        <v>-112</v>
      </c>
      <c r="K17" s="8">
        <v>1.9654996993941524E-2</v>
      </c>
      <c r="L17" s="9">
        <v>1.0383771996799296E-2</v>
      </c>
      <c r="M17" s="10">
        <v>-116.77192982456137</v>
      </c>
      <c r="N17" s="11">
        <v>1.8928571428571428</v>
      </c>
      <c r="O17" s="12">
        <v>1292.5460641415712</v>
      </c>
      <c r="P17" s="13" t="s">
        <v>75</v>
      </c>
      <c r="Q17" s="13" t="s">
        <v>92</v>
      </c>
      <c r="R17" s="14"/>
      <c r="S17" s="13"/>
      <c r="T17" s="13">
        <v>907.08</v>
      </c>
      <c r="U17" s="13">
        <v>907.08</v>
      </c>
      <c r="V17" s="6" t="s">
        <v>82</v>
      </c>
      <c r="W17" s="15"/>
      <c r="X17" s="15"/>
      <c r="Y17" s="16"/>
      <c r="Z17" s="17"/>
      <c r="AA17" s="18"/>
      <c r="AB17" s="19">
        <v>-907.08</v>
      </c>
      <c r="AC17" s="20">
        <v>17.828654673264477</v>
      </c>
      <c r="AD17" s="21">
        <v>45597</v>
      </c>
      <c r="AE17" s="22">
        <v>53978.98956789048</v>
      </c>
      <c r="AF17" s="23">
        <v>16524.531533333346</v>
      </c>
      <c r="AG17" s="24">
        <v>117431.6115333334</v>
      </c>
      <c r="AH17" s="15">
        <v>0.5</v>
      </c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</row>
    <row r="18" spans="1:68" ht="15" customHeight="1" x14ac:dyDescent="0.25">
      <c r="A18" s="1">
        <f t="shared" si="3"/>
        <v>7</v>
      </c>
      <c r="B18" s="1" t="str">
        <f t="shared" si="0"/>
        <v xml:space="preserve">Lakers </v>
      </c>
      <c r="C18" s="1">
        <f t="shared" si="1"/>
        <v>1</v>
      </c>
      <c r="D18" s="2" t="str">
        <f t="shared" si="2"/>
        <v>2024-11</v>
      </c>
      <c r="E18" s="28" t="s">
        <v>96</v>
      </c>
      <c r="F18" s="29" t="s">
        <v>74</v>
      </c>
      <c r="G18" s="5">
        <v>45597</v>
      </c>
      <c r="H18" s="6">
        <v>-141</v>
      </c>
      <c r="I18" s="6">
        <v>120</v>
      </c>
      <c r="J18" s="30">
        <v>-122</v>
      </c>
      <c r="K18" s="8">
        <v>2.4060767565252491E-2</v>
      </c>
      <c r="L18" s="9">
        <v>1.3222583977300917E-2</v>
      </c>
      <c r="M18" s="10">
        <v>-128.71369294605805</v>
      </c>
      <c r="N18" s="11">
        <v>1.819672131147541</v>
      </c>
      <c r="O18" s="12">
        <v>1710.2384980128163</v>
      </c>
      <c r="P18" s="13" t="s">
        <v>75</v>
      </c>
      <c r="Q18" s="13" t="s">
        <v>92</v>
      </c>
      <c r="R18" s="14"/>
      <c r="S18" s="13"/>
      <c r="T18" s="13">
        <v>995.57500000000005</v>
      </c>
      <c r="U18" s="13">
        <v>995.57500000000005</v>
      </c>
      <c r="V18" s="6" t="s">
        <v>82</v>
      </c>
      <c r="W18" s="15"/>
      <c r="X18" s="15"/>
      <c r="Y18" s="16"/>
      <c r="Z18" s="17"/>
      <c r="AA18" s="18"/>
      <c r="AB18" s="19">
        <v>-995.57500000000005</v>
      </c>
      <c r="AC18" s="20">
        <v>23.95429866877625</v>
      </c>
      <c r="AD18" s="21">
        <v>45597</v>
      </c>
      <c r="AE18" s="22">
        <v>54002.943866559253</v>
      </c>
      <c r="AF18" s="23">
        <v>15528.956533333345</v>
      </c>
      <c r="AG18" s="24">
        <v>116524.5315333334</v>
      </c>
      <c r="AH18" s="15">
        <v>0.5</v>
      </c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</row>
    <row r="19" spans="1:68" ht="15" customHeight="1" x14ac:dyDescent="0.25">
      <c r="A19" s="1">
        <f t="shared" si="3"/>
        <v>7</v>
      </c>
      <c r="B19" s="1" t="str">
        <f t="shared" si="0"/>
        <v xml:space="preserve">Lakers </v>
      </c>
      <c r="C19" s="1">
        <f t="shared" si="1"/>
        <v>1</v>
      </c>
      <c r="D19" s="2" t="str">
        <f t="shared" si="2"/>
        <v>2024-11</v>
      </c>
      <c r="E19" s="28" t="s">
        <v>95</v>
      </c>
      <c r="F19" s="29" t="s">
        <v>97</v>
      </c>
      <c r="G19" s="5">
        <v>45597</v>
      </c>
      <c r="H19" s="6">
        <v>-128</v>
      </c>
      <c r="I19" s="6">
        <v>108</v>
      </c>
      <c r="J19" s="30">
        <v>100</v>
      </c>
      <c r="K19" s="8">
        <v>7.737131757850424E-2</v>
      </c>
      <c r="L19" s="9">
        <v>3.868565878925212E-2</v>
      </c>
      <c r="M19" s="10">
        <v>-116.77192982456137</v>
      </c>
      <c r="N19" s="11">
        <v>2</v>
      </c>
      <c r="O19" s="12">
        <v>4469.3137927268754</v>
      </c>
      <c r="P19" s="13" t="s">
        <v>75</v>
      </c>
      <c r="Q19" s="13" t="s">
        <v>92</v>
      </c>
      <c r="R19" s="14"/>
      <c r="S19" s="13"/>
      <c r="T19" s="13">
        <v>1000</v>
      </c>
      <c r="U19" s="13">
        <v>1000</v>
      </c>
      <c r="V19" s="6" t="s">
        <v>82</v>
      </c>
      <c r="W19" s="15"/>
      <c r="X19" s="15"/>
      <c r="Y19" s="16"/>
      <c r="Z19" s="17"/>
      <c r="AA19" s="18"/>
      <c r="AB19" s="19">
        <v>-1000</v>
      </c>
      <c r="AC19" s="20">
        <v>77.371317578504232</v>
      </c>
      <c r="AD19" s="21">
        <v>45597</v>
      </c>
      <c r="AE19" s="22">
        <v>54080.315184137755</v>
      </c>
      <c r="AF19" s="23">
        <v>14528.956533333345</v>
      </c>
      <c r="AG19" s="24">
        <v>115528.9565333334</v>
      </c>
      <c r="AH19" s="15">
        <v>0.5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</row>
    <row r="20" spans="1:68" ht="15" customHeight="1" x14ac:dyDescent="0.25">
      <c r="A20" s="1">
        <f t="shared" si="3"/>
        <v>7</v>
      </c>
      <c r="B20" s="1" t="str">
        <f t="shared" si="0"/>
        <v xml:space="preserve">Lakers </v>
      </c>
      <c r="C20" s="1">
        <f t="shared" si="1"/>
        <v>1</v>
      </c>
      <c r="D20" s="2" t="str">
        <f t="shared" si="2"/>
        <v>2024-11</v>
      </c>
      <c r="E20" s="28" t="s">
        <v>95</v>
      </c>
      <c r="F20" s="29" t="s">
        <v>97</v>
      </c>
      <c r="G20" s="5">
        <v>45597</v>
      </c>
      <c r="H20" s="6">
        <v>-128</v>
      </c>
      <c r="I20" s="6">
        <v>108</v>
      </c>
      <c r="J20" s="30">
        <v>100</v>
      </c>
      <c r="K20" s="8">
        <v>7.737131757850424E-2</v>
      </c>
      <c r="L20" s="9">
        <v>3.868565878925212E-2</v>
      </c>
      <c r="M20" s="10">
        <v>-116.77192982456137</v>
      </c>
      <c r="N20" s="11">
        <v>2</v>
      </c>
      <c r="O20" s="12">
        <v>4430.6281339376237</v>
      </c>
      <c r="P20" s="13" t="s">
        <v>75</v>
      </c>
      <c r="Q20" s="13" t="s">
        <v>92</v>
      </c>
      <c r="R20" s="14"/>
      <c r="S20" s="13"/>
      <c r="T20" s="13">
        <v>624.58000000000004</v>
      </c>
      <c r="U20" s="13">
        <v>624.58000000000004</v>
      </c>
      <c r="V20" s="31" t="s">
        <v>82</v>
      </c>
      <c r="W20" s="15"/>
      <c r="X20" s="15"/>
      <c r="Y20" s="16"/>
      <c r="Z20" s="17"/>
      <c r="AA20" s="18"/>
      <c r="AB20" s="19">
        <v>-624.58000000000004</v>
      </c>
      <c r="AC20" s="20">
        <v>48.324577533182179</v>
      </c>
      <c r="AD20" s="21">
        <v>45597</v>
      </c>
      <c r="AE20" s="22">
        <v>54128.639761670936</v>
      </c>
      <c r="AF20" s="23">
        <v>13904.376533333345</v>
      </c>
      <c r="AG20" s="24">
        <v>114528.9565333334</v>
      </c>
      <c r="AH20" s="15">
        <v>0.5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</row>
    <row r="21" spans="1:68" ht="15" customHeight="1" x14ac:dyDescent="0.25">
      <c r="A21" s="1">
        <f t="shared" si="3"/>
        <v>7</v>
      </c>
      <c r="B21" s="1" t="str">
        <f t="shared" si="0"/>
        <v xml:space="preserve">Lakers </v>
      </c>
      <c r="C21" s="1">
        <f t="shared" si="1"/>
        <v>1</v>
      </c>
      <c r="D21" s="2" t="str">
        <f t="shared" si="2"/>
        <v>2024-11</v>
      </c>
      <c r="E21" s="28" t="s">
        <v>96</v>
      </c>
      <c r="F21" s="29" t="s">
        <v>97</v>
      </c>
      <c r="G21" s="5">
        <v>45597</v>
      </c>
      <c r="H21" s="6">
        <v>-141</v>
      </c>
      <c r="I21" s="6">
        <v>120</v>
      </c>
      <c r="J21" s="30">
        <v>-122</v>
      </c>
      <c r="K21" s="8">
        <v>2.4060767565252491E-2</v>
      </c>
      <c r="L21" s="9">
        <v>1.3222583977300917E-2</v>
      </c>
      <c r="M21" s="10">
        <v>-128.71369294605805</v>
      </c>
      <c r="N21" s="11">
        <v>1.819672131147541</v>
      </c>
      <c r="O21" s="12">
        <v>1671.7823043444566</v>
      </c>
      <c r="P21" s="13" t="s">
        <v>75</v>
      </c>
      <c r="Q21" s="13" t="s">
        <v>92</v>
      </c>
      <c r="R21" s="14"/>
      <c r="S21" s="13"/>
      <c r="T21" s="13">
        <v>1375</v>
      </c>
      <c r="U21" s="13">
        <v>1375</v>
      </c>
      <c r="V21" s="31" t="s">
        <v>82</v>
      </c>
      <c r="W21" s="15"/>
      <c r="X21" s="15"/>
      <c r="Y21" s="16"/>
      <c r="Z21" s="17"/>
      <c r="AA21" s="18"/>
      <c r="AB21" s="19">
        <v>-1375</v>
      </c>
      <c r="AC21" s="20">
        <v>33.083555402222174</v>
      </c>
      <c r="AD21" s="21">
        <v>45597</v>
      </c>
      <c r="AE21" s="22">
        <v>54161.723317073156</v>
      </c>
      <c r="AF21" s="23">
        <v>12529.376533333345</v>
      </c>
      <c r="AG21" s="24">
        <v>113904.3765333334</v>
      </c>
      <c r="AH21" s="15">
        <v>0.5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</row>
    <row r="22" spans="1:68" ht="15" customHeight="1" x14ac:dyDescent="0.25">
      <c r="A22" s="1">
        <f t="shared" si="3"/>
        <v>8</v>
      </c>
      <c r="B22" s="1" t="str">
        <f t="shared" si="0"/>
        <v xml:space="preserve">Pacers </v>
      </c>
      <c r="C22" s="1">
        <f t="shared" si="1"/>
        <v>1</v>
      </c>
      <c r="D22" s="2" t="str">
        <f t="shared" si="2"/>
        <v>2024-11</v>
      </c>
      <c r="E22" s="28" t="s">
        <v>98</v>
      </c>
      <c r="F22" s="29" t="s">
        <v>74</v>
      </c>
      <c r="G22" s="5">
        <v>45597</v>
      </c>
      <c r="H22" s="6">
        <v>-106</v>
      </c>
      <c r="I22" s="6">
        <v>-108</v>
      </c>
      <c r="J22" s="30">
        <v>114</v>
      </c>
      <c r="K22" s="8">
        <v>6.5168864005779231E-2</v>
      </c>
      <c r="L22" s="9">
        <v>3.0452740189616467E-2</v>
      </c>
      <c r="M22" s="10">
        <v>100.90711175616835</v>
      </c>
      <c r="N22" s="11">
        <v>2.1399999999999997</v>
      </c>
      <c r="O22" s="12">
        <v>3364.7157970374728</v>
      </c>
      <c r="P22" s="13" t="s">
        <v>75</v>
      </c>
      <c r="Q22" s="13" t="s">
        <v>92</v>
      </c>
      <c r="R22" s="14"/>
      <c r="S22" s="13"/>
      <c r="T22" s="13">
        <v>286.44499999999999</v>
      </c>
      <c r="U22" s="13">
        <v>286.44499999999999</v>
      </c>
      <c r="V22" s="31" t="s">
        <v>82</v>
      </c>
      <c r="W22" s="15"/>
      <c r="X22" s="15"/>
      <c r="Y22" s="16"/>
      <c r="Z22" s="17"/>
      <c r="AA22" s="18"/>
      <c r="AB22" s="19">
        <v>-286.44499999999999</v>
      </c>
      <c r="AC22" s="20">
        <v>18.667295250135432</v>
      </c>
      <c r="AD22" s="21">
        <v>45597</v>
      </c>
      <c r="AE22" s="22">
        <v>53961.160913217216</v>
      </c>
      <c r="AF22" s="23">
        <v>17431.611533333347</v>
      </c>
      <c r="AG22" s="24">
        <v>117718.05653333341</v>
      </c>
      <c r="AH22" s="15">
        <v>0.5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</row>
    <row r="23" spans="1:68" ht="15" customHeight="1" x14ac:dyDescent="0.25">
      <c r="A23" s="1">
        <f t="shared" si="3"/>
        <v>8</v>
      </c>
      <c r="B23" s="1" t="str">
        <f t="shared" si="0"/>
        <v xml:space="preserve">Pacers </v>
      </c>
      <c r="C23" s="1">
        <f t="shared" si="1"/>
        <v>1</v>
      </c>
      <c r="D23" s="2" t="str">
        <f t="shared" si="2"/>
        <v>2024-11</v>
      </c>
      <c r="E23" s="28" t="s">
        <v>99</v>
      </c>
      <c r="F23" s="29" t="s">
        <v>74</v>
      </c>
      <c r="G23" s="5">
        <v>45597</v>
      </c>
      <c r="H23" s="6">
        <v>-141</v>
      </c>
      <c r="I23" s="6">
        <v>122</v>
      </c>
      <c r="J23" s="30">
        <v>-115</v>
      </c>
      <c r="K23" s="8">
        <v>5.6299960918064294E-2</v>
      </c>
      <c r="L23" s="9">
        <v>3.0113932584080905E-2</v>
      </c>
      <c r="M23" s="10">
        <v>-129.88381742738588</v>
      </c>
      <c r="N23" s="11">
        <v>1.8695652173913042</v>
      </c>
      <c r="O23" s="12">
        <v>3623.9776739564059</v>
      </c>
      <c r="P23" s="13" t="s">
        <v>75</v>
      </c>
      <c r="Q23" s="13" t="s">
        <v>92</v>
      </c>
      <c r="R23" s="14"/>
      <c r="S23" s="13"/>
      <c r="T23" s="13">
        <v>375.34</v>
      </c>
      <c r="U23" s="13">
        <v>375.34</v>
      </c>
      <c r="V23" s="31" t="s">
        <v>82</v>
      </c>
      <c r="W23" s="15"/>
      <c r="X23" s="15"/>
      <c r="Y23" s="16"/>
      <c r="Z23" s="17"/>
      <c r="AA23" s="18"/>
      <c r="AB23" s="19">
        <v>-375.34</v>
      </c>
      <c r="AC23" s="20">
        <v>21.131627330986252</v>
      </c>
      <c r="AD23" s="21">
        <v>45597</v>
      </c>
      <c r="AE23" s="22">
        <v>54217.842144404145</v>
      </c>
      <c r="AF23" s="23">
        <v>11570.916533333346</v>
      </c>
      <c r="AG23" s="24">
        <v>111946.25653333341</v>
      </c>
      <c r="AH23" s="15">
        <v>0.5</v>
      </c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</row>
    <row r="24" spans="1:68" ht="15" customHeight="1" x14ac:dyDescent="0.25">
      <c r="A24" s="1">
        <f t="shared" si="3"/>
        <v>8</v>
      </c>
      <c r="B24" s="1" t="str">
        <f t="shared" si="0"/>
        <v xml:space="preserve">Pacers </v>
      </c>
      <c r="C24" s="1">
        <f t="shared" si="1"/>
        <v>1</v>
      </c>
      <c r="D24" s="2" t="str">
        <f t="shared" si="2"/>
        <v>2024-11</v>
      </c>
      <c r="E24" s="28" t="s">
        <v>99</v>
      </c>
      <c r="F24" s="29" t="s">
        <v>83</v>
      </c>
      <c r="G24" s="5">
        <v>45597</v>
      </c>
      <c r="H24" s="6">
        <v>-141</v>
      </c>
      <c r="I24" s="6">
        <v>122</v>
      </c>
      <c r="J24" s="30">
        <v>-115</v>
      </c>
      <c r="K24" s="8">
        <v>5.6299960918064294E-2</v>
      </c>
      <c r="L24" s="9">
        <v>3.0113932584080905E-2</v>
      </c>
      <c r="M24" s="10">
        <v>-129.88381742738588</v>
      </c>
      <c r="N24" s="11">
        <v>1.8695652173913042</v>
      </c>
      <c r="O24" s="12">
        <v>3611.8269882410891</v>
      </c>
      <c r="P24" s="13" t="s">
        <v>75</v>
      </c>
      <c r="Q24" s="32" t="s">
        <v>92</v>
      </c>
      <c r="R24" s="33"/>
      <c r="S24" s="32"/>
      <c r="T24" s="32">
        <v>375.34</v>
      </c>
      <c r="U24" s="32">
        <v>375.34</v>
      </c>
      <c r="V24" s="31" t="s">
        <v>82</v>
      </c>
      <c r="W24" s="15"/>
      <c r="X24" s="15"/>
      <c r="Y24" s="16"/>
      <c r="Z24" s="17"/>
      <c r="AA24" s="18"/>
      <c r="AB24" s="19">
        <v>-375.34</v>
      </c>
      <c r="AC24" s="20">
        <v>21.131627330986252</v>
      </c>
      <c r="AD24" s="21">
        <v>45597</v>
      </c>
      <c r="AE24" s="22">
        <v>54238.973771735131</v>
      </c>
      <c r="AF24" s="23">
        <v>11195.576533333346</v>
      </c>
      <c r="AG24" s="24">
        <v>111570.91653333341</v>
      </c>
      <c r="AH24" s="15">
        <v>0.5</v>
      </c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</row>
    <row r="25" spans="1:68" ht="15" customHeight="1" x14ac:dyDescent="0.25">
      <c r="A25" s="1">
        <f t="shared" si="3"/>
        <v>9</v>
      </c>
      <c r="B25" s="1" t="str">
        <f t="shared" si="0"/>
        <v xml:space="preserve">Pelicans </v>
      </c>
      <c r="C25" s="1">
        <f t="shared" si="1"/>
        <v>0</v>
      </c>
      <c r="D25" s="2" t="str">
        <f t="shared" si="2"/>
        <v>2024-11</v>
      </c>
      <c r="E25" s="28" t="s">
        <v>100</v>
      </c>
      <c r="F25" s="29" t="s">
        <v>74</v>
      </c>
      <c r="G25" s="5">
        <v>45597</v>
      </c>
      <c r="H25" s="6">
        <v>161</v>
      </c>
      <c r="I25" s="6">
        <v>-179</v>
      </c>
      <c r="J25" s="30">
        <v>156</v>
      </c>
      <c r="K25" s="8">
        <v>-4.2817512965866625E-2</v>
      </c>
      <c r="L25" s="9">
        <v>-1.6725591002291651E-2</v>
      </c>
      <c r="M25" s="10">
        <v>167.45161290322582</v>
      </c>
      <c r="N25" s="11">
        <v>2.56</v>
      </c>
      <c r="O25" s="12">
        <v>-1653.5838267759209</v>
      </c>
      <c r="P25" s="13" t="s">
        <v>75</v>
      </c>
      <c r="Q25" s="13" t="s">
        <v>81</v>
      </c>
      <c r="R25" s="14"/>
      <c r="S25" s="13"/>
      <c r="T25" s="13">
        <v>877.82</v>
      </c>
      <c r="U25" s="13">
        <v>877.82</v>
      </c>
      <c r="V25" s="31" t="s">
        <v>77</v>
      </c>
      <c r="W25" s="15"/>
      <c r="X25" s="15"/>
      <c r="Y25" s="16"/>
      <c r="Z25" s="17"/>
      <c r="AA25" s="18"/>
      <c r="AB25" s="19">
        <v>1369.4</v>
      </c>
      <c r="AC25" s="20">
        <v>-37.586069231697046</v>
      </c>
      <c r="AD25" s="21">
        <v>45597</v>
      </c>
      <c r="AE25" s="22">
        <v>53766.160977386047</v>
      </c>
      <c r="AF25" s="23">
        <v>21861.721533333348</v>
      </c>
      <c r="AG25" s="24">
        <v>120492.32153333341</v>
      </c>
      <c r="AH25" s="15">
        <v>0.5</v>
      </c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</row>
    <row r="26" spans="1:68" ht="15" customHeight="1" x14ac:dyDescent="0.25">
      <c r="A26" s="1">
        <f t="shared" si="3"/>
        <v>10</v>
      </c>
      <c r="B26" s="1" t="str">
        <f t="shared" si="0"/>
        <v xml:space="preserve">Pelicans </v>
      </c>
      <c r="C26" s="1">
        <f t="shared" si="1"/>
        <v>1</v>
      </c>
      <c r="D26" s="2" t="str">
        <f t="shared" si="2"/>
        <v>2024-11</v>
      </c>
      <c r="E26" s="28" t="s">
        <v>101</v>
      </c>
      <c r="F26" s="29" t="s">
        <v>74</v>
      </c>
      <c r="G26" s="5">
        <v>45597</v>
      </c>
      <c r="H26" s="6">
        <v>-128</v>
      </c>
      <c r="I26" s="6">
        <v>103</v>
      </c>
      <c r="J26" s="30">
        <v>-106</v>
      </c>
      <c r="K26" s="8">
        <v>3.5118226204694548E-2</v>
      </c>
      <c r="L26" s="9">
        <v>1.807054358105642E-2</v>
      </c>
      <c r="M26" s="10">
        <v>-113.9649122807018</v>
      </c>
      <c r="N26" s="11">
        <v>1.9433962264150944</v>
      </c>
      <c r="O26" s="12">
        <v>2268.1707763255822</v>
      </c>
      <c r="P26" s="13" t="s">
        <v>75</v>
      </c>
      <c r="Q26" s="13" t="s">
        <v>92</v>
      </c>
      <c r="R26" s="14"/>
      <c r="S26" s="13"/>
      <c r="T26" s="13">
        <v>343.73500000000001</v>
      </c>
      <c r="U26" s="13">
        <v>343.73500000000001</v>
      </c>
      <c r="V26" s="31" t="s">
        <v>82</v>
      </c>
      <c r="W26" s="15"/>
      <c r="X26" s="15"/>
      <c r="Y26" s="16"/>
      <c r="Z26" s="17"/>
      <c r="AA26" s="18"/>
      <c r="AB26" s="19">
        <v>-343.73500000000001</v>
      </c>
      <c r="AC26" s="20">
        <v>12.07136348447068</v>
      </c>
      <c r="AD26" s="21">
        <v>45597</v>
      </c>
      <c r="AE26" s="22">
        <v>53778.23234087052</v>
      </c>
      <c r="AF26" s="23">
        <v>21517.986533333347</v>
      </c>
      <c r="AG26" s="24">
        <v>121861.7215333334</v>
      </c>
      <c r="AH26" s="15">
        <v>0.5</v>
      </c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</row>
    <row r="27" spans="1:68" ht="15" customHeight="1" x14ac:dyDescent="0.25">
      <c r="A27" s="1">
        <f t="shared" si="3"/>
        <v>10</v>
      </c>
      <c r="B27" s="1" t="str">
        <f t="shared" si="0"/>
        <v xml:space="preserve">Pelicans </v>
      </c>
      <c r="C27" s="1">
        <f t="shared" si="1"/>
        <v>1</v>
      </c>
      <c r="D27" s="2" t="str">
        <f t="shared" si="2"/>
        <v>2024-11</v>
      </c>
      <c r="E27" s="28" t="s">
        <v>102</v>
      </c>
      <c r="F27" s="29" t="s">
        <v>74</v>
      </c>
      <c r="G27" s="5">
        <v>45597</v>
      </c>
      <c r="H27" s="6">
        <v>-120</v>
      </c>
      <c r="I27" s="6">
        <v>104</v>
      </c>
      <c r="J27" s="30">
        <v>108</v>
      </c>
      <c r="K27" s="8">
        <v>9.5490533562822777E-2</v>
      </c>
      <c r="L27" s="9">
        <v>4.5908910366741718E-2</v>
      </c>
      <c r="M27" s="10">
        <v>-111.27272727272727</v>
      </c>
      <c r="N27" s="11">
        <v>2.08</v>
      </c>
      <c r="O27" s="12">
        <v>5372.1376720129247</v>
      </c>
      <c r="P27" s="13" t="s">
        <v>75</v>
      </c>
      <c r="Q27" s="13" t="s">
        <v>92</v>
      </c>
      <c r="R27" s="14"/>
      <c r="S27" s="13"/>
      <c r="T27" s="13">
        <v>302.36</v>
      </c>
      <c r="U27" s="13">
        <v>302.36</v>
      </c>
      <c r="V27" s="31" t="s">
        <v>82</v>
      </c>
      <c r="W27" s="15"/>
      <c r="X27" s="15"/>
      <c r="Y27" s="16"/>
      <c r="Z27" s="17"/>
      <c r="AA27" s="18"/>
      <c r="AB27" s="19">
        <v>-302.36</v>
      </c>
      <c r="AC27" s="20">
        <v>28.872517728055097</v>
      </c>
      <c r="AD27" s="21">
        <v>45597</v>
      </c>
      <c r="AE27" s="22">
        <v>53807.104858598577</v>
      </c>
      <c r="AF27" s="23">
        <v>21215.626533333347</v>
      </c>
      <c r="AG27" s="24">
        <v>121517.9865333334</v>
      </c>
      <c r="AH27" s="15">
        <v>0.5</v>
      </c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</row>
    <row r="28" spans="1:68" ht="15" customHeight="1" x14ac:dyDescent="0.25">
      <c r="A28" s="1">
        <f t="shared" si="3"/>
        <v>10</v>
      </c>
      <c r="B28" s="1" t="str">
        <f t="shared" si="0"/>
        <v xml:space="preserve">Pelicans </v>
      </c>
      <c r="C28" s="1">
        <f t="shared" si="1"/>
        <v>1</v>
      </c>
      <c r="D28" s="2" t="str">
        <f t="shared" si="2"/>
        <v>2024-11</v>
      </c>
      <c r="E28" s="28" t="s">
        <v>103</v>
      </c>
      <c r="F28" s="29" t="s">
        <v>74</v>
      </c>
      <c r="G28" s="5">
        <v>45597</v>
      </c>
      <c r="H28" s="6">
        <v>-141</v>
      </c>
      <c r="I28" s="6">
        <v>113</v>
      </c>
      <c r="J28" s="30">
        <v>-122</v>
      </c>
      <c r="K28" s="8">
        <v>9.5544882927994235E-3</v>
      </c>
      <c r="L28" s="9">
        <v>5.2506647374843674E-3</v>
      </c>
      <c r="M28" s="10">
        <v>-124.61825726141083</v>
      </c>
      <c r="N28" s="11">
        <v>1.819672131147541</v>
      </c>
      <c r="O28" s="12">
        <v>706.47350361641952</v>
      </c>
      <c r="P28" s="13" t="s">
        <v>75</v>
      </c>
      <c r="Q28" s="13" t="s">
        <v>92</v>
      </c>
      <c r="R28" s="14"/>
      <c r="S28" s="13"/>
      <c r="T28" s="13">
        <v>398.23</v>
      </c>
      <c r="U28" s="13">
        <v>398.23</v>
      </c>
      <c r="V28" s="31" t="s">
        <v>82</v>
      </c>
      <c r="W28" s="15"/>
      <c r="X28" s="15"/>
      <c r="Y28" s="16"/>
      <c r="Z28" s="17"/>
      <c r="AA28" s="18"/>
      <c r="AB28" s="19">
        <v>-398.23</v>
      </c>
      <c r="AC28" s="20">
        <v>3.8048838728415144</v>
      </c>
      <c r="AD28" s="21">
        <v>45597</v>
      </c>
      <c r="AE28" s="22">
        <v>53810.90974247142</v>
      </c>
      <c r="AF28" s="23">
        <v>20817.396533333347</v>
      </c>
      <c r="AG28" s="24">
        <v>121215.6265333334</v>
      </c>
      <c r="AH28" s="15">
        <v>0.5</v>
      </c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</row>
    <row r="29" spans="1:68" ht="15" customHeight="1" x14ac:dyDescent="0.25">
      <c r="A29" s="1">
        <f t="shared" si="3"/>
        <v>10</v>
      </c>
      <c r="B29" s="1" t="str">
        <f t="shared" si="0"/>
        <v xml:space="preserve">Pelicans </v>
      </c>
      <c r="C29" s="1">
        <f t="shared" si="1"/>
        <v>1</v>
      </c>
      <c r="D29" s="2" t="str">
        <f t="shared" si="2"/>
        <v>2024-11</v>
      </c>
      <c r="E29" s="28" t="s">
        <v>101</v>
      </c>
      <c r="F29" s="29" t="s">
        <v>97</v>
      </c>
      <c r="G29" s="5">
        <v>45597</v>
      </c>
      <c r="H29" s="6">
        <v>-128</v>
      </c>
      <c r="I29" s="6">
        <v>103</v>
      </c>
      <c r="J29" s="30">
        <v>-106</v>
      </c>
      <c r="K29" s="8">
        <v>3.5118226204694548E-2</v>
      </c>
      <c r="L29" s="9">
        <v>1.807054358105642E-2</v>
      </c>
      <c r="M29" s="10">
        <v>-113.9649122807018</v>
      </c>
      <c r="N29" s="11">
        <v>1.9433962264150944</v>
      </c>
      <c r="O29" s="12">
        <v>2248.7331102875369</v>
      </c>
      <c r="P29" s="13" t="s">
        <v>75</v>
      </c>
      <c r="Q29" s="13" t="s">
        <v>92</v>
      </c>
      <c r="R29" s="14"/>
      <c r="S29" s="13"/>
      <c r="T29" s="13">
        <v>684.03499999999997</v>
      </c>
      <c r="U29" s="13">
        <v>684.03499999999997</v>
      </c>
      <c r="V29" s="31" t="s">
        <v>82</v>
      </c>
      <c r="W29" s="15"/>
      <c r="X29" s="15"/>
      <c r="Y29" s="16"/>
      <c r="Z29" s="17"/>
      <c r="AA29" s="18"/>
      <c r="AB29" s="19">
        <v>-684.03499999999997</v>
      </c>
      <c r="AC29" s="20">
        <v>24.022095861928236</v>
      </c>
      <c r="AD29" s="21">
        <v>45597</v>
      </c>
      <c r="AE29" s="22">
        <v>53834.931838333345</v>
      </c>
      <c r="AF29" s="23">
        <v>20133.361533333347</v>
      </c>
      <c r="AG29" s="24">
        <v>120817.39653333341</v>
      </c>
      <c r="AH29" s="15">
        <v>0.5</v>
      </c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</row>
    <row r="30" spans="1:68" ht="15" customHeight="1" x14ac:dyDescent="0.25">
      <c r="A30" s="1">
        <f t="shared" si="3"/>
        <v>10</v>
      </c>
      <c r="B30" s="1" t="str">
        <f t="shared" si="0"/>
        <v xml:space="preserve">Pelicans </v>
      </c>
      <c r="C30" s="1">
        <f t="shared" si="1"/>
        <v>1</v>
      </c>
      <c r="D30" s="2" t="str">
        <f t="shared" si="2"/>
        <v>2024-11</v>
      </c>
      <c r="E30" s="28" t="s">
        <v>102</v>
      </c>
      <c r="F30" s="29" t="s">
        <v>97</v>
      </c>
      <c r="G30" s="5">
        <v>45597</v>
      </c>
      <c r="H30" s="6">
        <v>-120</v>
      </c>
      <c r="I30" s="6">
        <v>104</v>
      </c>
      <c r="J30" s="30">
        <v>108</v>
      </c>
      <c r="K30" s="8">
        <v>9.5490533562822777E-2</v>
      </c>
      <c r="L30" s="9">
        <v>4.5908910366741718E-2</v>
      </c>
      <c r="M30" s="10">
        <v>-111.27272727272727</v>
      </c>
      <c r="N30" s="11">
        <v>2.08</v>
      </c>
      <c r="O30" s="12">
        <v>5310.9253664414327</v>
      </c>
      <c r="P30" s="13" t="s">
        <v>75</v>
      </c>
      <c r="Q30" s="13" t="s">
        <v>92</v>
      </c>
      <c r="R30" s="14"/>
      <c r="S30" s="13"/>
      <c r="T30" s="13">
        <v>578.5</v>
      </c>
      <c r="U30" s="13">
        <v>578.5</v>
      </c>
      <c r="V30" s="31" t="s">
        <v>82</v>
      </c>
      <c r="W30" s="15"/>
      <c r="X30" s="15"/>
      <c r="Y30" s="16"/>
      <c r="Z30" s="17"/>
      <c r="AA30" s="18"/>
      <c r="AB30" s="19">
        <v>-578.5</v>
      </c>
      <c r="AC30" s="20">
        <v>55.24127366609298</v>
      </c>
      <c r="AD30" s="21">
        <v>45597</v>
      </c>
      <c r="AE30" s="22">
        <v>53890.173111999437</v>
      </c>
      <c r="AF30" s="23">
        <v>19554.861533333347</v>
      </c>
      <c r="AG30" s="24">
        <v>120133.3615333334</v>
      </c>
      <c r="AH30" s="15">
        <v>0.5</v>
      </c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</row>
    <row r="31" spans="1:68" ht="15" customHeight="1" x14ac:dyDescent="0.25">
      <c r="A31" s="1">
        <f t="shared" si="3"/>
        <v>10</v>
      </c>
      <c r="B31" s="1" t="str">
        <f t="shared" si="0"/>
        <v xml:space="preserve">Pelicans </v>
      </c>
      <c r="C31" s="1">
        <f t="shared" si="1"/>
        <v>1</v>
      </c>
      <c r="D31" s="2" t="str">
        <f t="shared" si="2"/>
        <v>2024-11</v>
      </c>
      <c r="E31" s="28" t="s">
        <v>103</v>
      </c>
      <c r="F31" s="29" t="s">
        <v>97</v>
      </c>
      <c r="G31" s="5">
        <v>45597</v>
      </c>
      <c r="H31" s="6">
        <v>-141</v>
      </c>
      <c r="I31" s="6">
        <v>113</v>
      </c>
      <c r="J31" s="30">
        <v>-122</v>
      </c>
      <c r="K31" s="8">
        <v>9.5544882927994235E-3</v>
      </c>
      <c r="L31" s="9">
        <v>5.2506647374843674E-3</v>
      </c>
      <c r="M31" s="10">
        <v>-124.61825726141083</v>
      </c>
      <c r="N31" s="11">
        <v>1.819672131147541</v>
      </c>
      <c r="O31" s="12">
        <v>696.79417016916898</v>
      </c>
      <c r="P31" s="13" t="s">
        <v>75</v>
      </c>
      <c r="Q31" s="13" t="s">
        <v>92</v>
      </c>
      <c r="R31" s="14"/>
      <c r="S31" s="13"/>
      <c r="T31" s="13">
        <v>792.48</v>
      </c>
      <c r="U31" s="13">
        <v>792.48</v>
      </c>
      <c r="V31" s="31" t="s">
        <v>82</v>
      </c>
      <c r="W31" s="15"/>
      <c r="X31" s="15"/>
      <c r="Y31" s="16"/>
      <c r="Z31" s="17"/>
      <c r="AA31" s="18"/>
      <c r="AB31" s="19">
        <v>-792.48</v>
      </c>
      <c r="AC31" s="20">
        <v>7.5717408822776875</v>
      </c>
      <c r="AD31" s="21">
        <v>45597</v>
      </c>
      <c r="AE31" s="22">
        <v>53897.744852881711</v>
      </c>
      <c r="AF31" s="23">
        <v>18762.381533333348</v>
      </c>
      <c r="AG31" s="24">
        <v>119554.8615333334</v>
      </c>
      <c r="AH31" s="15">
        <v>0.5</v>
      </c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</row>
    <row r="32" spans="1:68" ht="15" customHeight="1" x14ac:dyDescent="0.25">
      <c r="A32" s="1">
        <f t="shared" si="3"/>
        <v>10</v>
      </c>
      <c r="B32" s="1" t="str">
        <f t="shared" si="0"/>
        <v xml:space="preserve">Pelicans </v>
      </c>
      <c r="C32" s="1">
        <f t="shared" si="1"/>
        <v>1</v>
      </c>
      <c r="D32" s="2" t="str">
        <f t="shared" si="2"/>
        <v>2024-11</v>
      </c>
      <c r="E32" s="28" t="s">
        <v>101</v>
      </c>
      <c r="F32" s="29" t="s">
        <v>83</v>
      </c>
      <c r="G32" s="5">
        <v>45597</v>
      </c>
      <c r="H32" s="6">
        <v>-128</v>
      </c>
      <c r="I32" s="6">
        <v>103</v>
      </c>
      <c r="J32" s="30">
        <v>-106</v>
      </c>
      <c r="K32" s="8">
        <v>3.5118226204694548E-2</v>
      </c>
      <c r="L32" s="9">
        <v>1.807054358105642E-2</v>
      </c>
      <c r="M32" s="10">
        <v>-113.9649122807018</v>
      </c>
      <c r="N32" s="11">
        <v>1.9433962264150944</v>
      </c>
      <c r="O32" s="12">
        <v>2210.4838150267956</v>
      </c>
      <c r="P32" s="13" t="s">
        <v>75</v>
      </c>
      <c r="Q32" s="13" t="s">
        <v>92</v>
      </c>
      <c r="R32" s="14"/>
      <c r="S32" s="13"/>
      <c r="T32" s="13">
        <v>343.73500000000001</v>
      </c>
      <c r="U32" s="13">
        <v>343.73500000000001</v>
      </c>
      <c r="V32" s="31" t="s">
        <v>82</v>
      </c>
      <c r="W32" s="15"/>
      <c r="X32" s="15"/>
      <c r="Y32" s="16"/>
      <c r="Z32" s="17"/>
      <c r="AA32" s="18"/>
      <c r="AB32" s="19">
        <v>-343.73500000000001</v>
      </c>
      <c r="AC32" s="20">
        <v>12.07136348447068</v>
      </c>
      <c r="AD32" s="21">
        <v>45597</v>
      </c>
      <c r="AE32" s="22">
        <v>53909.816216366184</v>
      </c>
      <c r="AF32" s="23">
        <v>18418.646533333347</v>
      </c>
      <c r="AG32" s="24">
        <v>118762.38153333341</v>
      </c>
      <c r="AH32" s="15">
        <v>0.5</v>
      </c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</row>
    <row r="33" spans="1:68" ht="15" customHeight="1" x14ac:dyDescent="0.25">
      <c r="A33" s="1">
        <f t="shared" si="3"/>
        <v>10</v>
      </c>
      <c r="B33" s="1" t="str">
        <f t="shared" si="0"/>
        <v xml:space="preserve">Pelicans </v>
      </c>
      <c r="C33" s="1">
        <f t="shared" si="1"/>
        <v>1</v>
      </c>
      <c r="D33" s="2" t="str">
        <f t="shared" si="2"/>
        <v>2024-11</v>
      </c>
      <c r="E33" s="28" t="s">
        <v>102</v>
      </c>
      <c r="F33" s="29" t="s">
        <v>83</v>
      </c>
      <c r="G33" s="5">
        <v>45597</v>
      </c>
      <c r="H33" s="6">
        <v>-120</v>
      </c>
      <c r="I33" s="6">
        <v>104</v>
      </c>
      <c r="J33" s="30">
        <v>108</v>
      </c>
      <c r="K33" s="8">
        <v>9.5490533562822777E-2</v>
      </c>
      <c r="L33" s="9">
        <v>4.5908910366741718E-2</v>
      </c>
      <c r="M33" s="10">
        <v>-111.27272727272727</v>
      </c>
      <c r="N33" s="11">
        <v>2.08</v>
      </c>
      <c r="O33" s="12">
        <v>5235.1202505811661</v>
      </c>
      <c r="P33" s="13" t="s">
        <v>75</v>
      </c>
      <c r="Q33" s="13" t="s">
        <v>92</v>
      </c>
      <c r="R33" s="14"/>
      <c r="S33" s="13"/>
      <c r="T33" s="13">
        <v>302.36</v>
      </c>
      <c r="U33" s="13">
        <v>302.36</v>
      </c>
      <c r="V33" s="31" t="s">
        <v>82</v>
      </c>
      <c r="W33" s="15"/>
      <c r="X33" s="15"/>
      <c r="Y33" s="16"/>
      <c r="Z33" s="17"/>
      <c r="AA33" s="18"/>
      <c r="AB33" s="19">
        <v>-302.36</v>
      </c>
      <c r="AC33" s="20">
        <v>28.872517728055097</v>
      </c>
      <c r="AD33" s="21">
        <v>45597</v>
      </c>
      <c r="AE33" s="22">
        <v>53938.688734094241</v>
      </c>
      <c r="AF33" s="23">
        <v>18116.286533333347</v>
      </c>
      <c r="AG33" s="24">
        <v>118418.64653333341</v>
      </c>
      <c r="AH33" s="15">
        <v>0.5</v>
      </c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</row>
    <row r="34" spans="1:68" ht="15" customHeight="1" x14ac:dyDescent="0.25">
      <c r="A34" s="1">
        <f t="shared" si="3"/>
        <v>10</v>
      </c>
      <c r="B34" s="1" t="str">
        <f t="shared" si="0"/>
        <v xml:space="preserve">Pelicans </v>
      </c>
      <c r="C34" s="1">
        <f t="shared" si="1"/>
        <v>1</v>
      </c>
      <c r="D34" s="2" t="str">
        <f t="shared" si="2"/>
        <v>2024-11</v>
      </c>
      <c r="E34" s="28" t="s">
        <v>103</v>
      </c>
      <c r="F34" s="29" t="s">
        <v>83</v>
      </c>
      <c r="G34" s="5">
        <v>45597</v>
      </c>
      <c r="H34" s="6">
        <v>-141</v>
      </c>
      <c r="I34" s="6">
        <v>113</v>
      </c>
      <c r="J34" s="30">
        <v>-122</v>
      </c>
      <c r="K34" s="8">
        <v>9.5544882927994235E-3</v>
      </c>
      <c r="L34" s="9">
        <v>5.2506647374843674E-3</v>
      </c>
      <c r="M34" s="10">
        <v>-124.61825726141083</v>
      </c>
      <c r="N34" s="11">
        <v>1.819672131147541</v>
      </c>
      <c r="O34" s="12">
        <v>688.40981289172248</v>
      </c>
      <c r="P34" s="13" t="s">
        <v>75</v>
      </c>
      <c r="Q34" s="13" t="s">
        <v>92</v>
      </c>
      <c r="R34" s="14"/>
      <c r="S34" s="13"/>
      <c r="T34" s="13">
        <v>398.23</v>
      </c>
      <c r="U34" s="13">
        <v>398.23</v>
      </c>
      <c r="V34" s="31" t="s">
        <v>82</v>
      </c>
      <c r="W34" s="15"/>
      <c r="X34" s="15"/>
      <c r="Y34" s="16"/>
      <c r="Z34" s="17"/>
      <c r="AA34" s="18"/>
      <c r="AB34" s="19">
        <v>-398.23</v>
      </c>
      <c r="AC34" s="20">
        <v>3.8048838728415144</v>
      </c>
      <c r="AD34" s="21">
        <v>45597</v>
      </c>
      <c r="AE34" s="22">
        <v>53942.493617967084</v>
      </c>
      <c r="AF34" s="23">
        <v>17718.056533333347</v>
      </c>
      <c r="AG34" s="24">
        <v>118116.2865333334</v>
      </c>
      <c r="AH34" s="15">
        <v>0.5</v>
      </c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</row>
    <row r="35" spans="1:68" ht="15" customHeight="1" x14ac:dyDescent="0.25">
      <c r="A35" s="1">
        <f t="shared" si="3"/>
        <v>11</v>
      </c>
      <c r="B35" s="1" t="str">
        <f t="shared" si="0"/>
        <v xml:space="preserve">Pistons </v>
      </c>
      <c r="C35" s="1">
        <f t="shared" si="1"/>
        <v>0</v>
      </c>
      <c r="D35" s="2" t="str">
        <f t="shared" si="2"/>
        <v>2024-11</v>
      </c>
      <c r="E35" s="3" t="s">
        <v>104</v>
      </c>
      <c r="F35" s="4" t="s">
        <v>74</v>
      </c>
      <c r="G35" s="5">
        <v>45597</v>
      </c>
      <c r="H35" s="4">
        <v>154</v>
      </c>
      <c r="I35" s="4">
        <v>-175</v>
      </c>
      <c r="J35" s="7">
        <v>185</v>
      </c>
      <c r="K35" s="8">
        <v>8.92981236970119E-2</v>
      </c>
      <c r="L35" s="9">
        <v>3.1332674981407682E-2</v>
      </c>
      <c r="M35" s="10">
        <v>161.63636363636365</v>
      </c>
      <c r="N35" s="11">
        <v>2.85</v>
      </c>
      <c r="O35" s="12">
        <v>2915.1372850953844</v>
      </c>
      <c r="P35" s="13" t="s">
        <v>75</v>
      </c>
      <c r="Q35" s="13" t="s">
        <v>81</v>
      </c>
      <c r="R35" s="14"/>
      <c r="S35" s="13"/>
      <c r="T35" s="13">
        <v>294.18</v>
      </c>
      <c r="U35" s="13">
        <v>294.18</v>
      </c>
      <c r="V35" s="31" t="s">
        <v>82</v>
      </c>
      <c r="W35" s="15"/>
      <c r="X35" s="15"/>
      <c r="Y35" s="16"/>
      <c r="Z35" s="17"/>
      <c r="AA35" s="18"/>
      <c r="AB35" s="19">
        <v>-294.18</v>
      </c>
      <c r="AC35" s="20">
        <v>26.269722029186962</v>
      </c>
      <c r="AD35" s="21">
        <v>45597</v>
      </c>
      <c r="AE35" s="22">
        <v>53803.747046617747</v>
      </c>
      <c r="AF35" s="23">
        <v>20492.321533333346</v>
      </c>
      <c r="AG35" s="24">
        <v>120786.5015333334</v>
      </c>
      <c r="AH35" s="15">
        <v>0.5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</row>
    <row r="36" spans="1:68" ht="15" customHeight="1" x14ac:dyDescent="0.25">
      <c r="A36" s="1">
        <f t="shared" si="3"/>
        <v>12</v>
      </c>
      <c r="B36" s="1" t="str">
        <f t="shared" si="0"/>
        <v xml:space="preserve">Raptors </v>
      </c>
      <c r="C36" s="1">
        <f t="shared" si="1"/>
        <v>0</v>
      </c>
      <c r="D36" s="2" t="str">
        <f t="shared" si="2"/>
        <v>2024-11</v>
      </c>
      <c r="E36" s="34" t="s">
        <v>105</v>
      </c>
      <c r="F36" s="4" t="s">
        <v>74</v>
      </c>
      <c r="G36" s="5">
        <v>45597</v>
      </c>
      <c r="H36" s="4">
        <v>229</v>
      </c>
      <c r="I36" s="4">
        <v>-270</v>
      </c>
      <c r="J36" s="7">
        <v>265</v>
      </c>
      <c r="K36" s="8">
        <v>7.3273464197726804E-2</v>
      </c>
      <c r="L36" s="9">
        <v>2.0074921698007342E-2</v>
      </c>
      <c r="M36" s="10">
        <v>240.08108108108115</v>
      </c>
      <c r="N36" s="11">
        <v>3.65</v>
      </c>
      <c r="O36" s="12">
        <v>1672.734704411507</v>
      </c>
      <c r="P36" s="13" t="s">
        <v>75</v>
      </c>
      <c r="Q36" s="13" t="s">
        <v>81</v>
      </c>
      <c r="R36" s="14"/>
      <c r="S36" s="13"/>
      <c r="T36" s="13">
        <v>205.375</v>
      </c>
      <c r="U36" s="13">
        <v>205.375</v>
      </c>
      <c r="V36" s="31" t="s">
        <v>82</v>
      </c>
      <c r="W36" s="15"/>
      <c r="X36" s="15"/>
      <c r="Y36" s="16"/>
      <c r="Z36" s="17"/>
      <c r="AA36" s="18"/>
      <c r="AB36" s="19">
        <v>-205.375</v>
      </c>
      <c r="AC36" s="20">
        <v>15.048537709608143</v>
      </c>
      <c r="AD36" s="21">
        <v>45597</v>
      </c>
      <c r="AE36" s="22">
        <v>53778.770766667141</v>
      </c>
      <c r="AF36" s="23">
        <v>20786.501533333347</v>
      </c>
      <c r="AG36" s="24">
        <v>120991.8765333334</v>
      </c>
      <c r="AH36" s="15">
        <v>0.5</v>
      </c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</row>
    <row r="37" spans="1:68" ht="15" customHeight="1" x14ac:dyDescent="0.25">
      <c r="A37" s="1">
        <f t="shared" si="3"/>
        <v>13</v>
      </c>
      <c r="B37" s="1" t="str">
        <f t="shared" si="0"/>
        <v xml:space="preserve">Trail </v>
      </c>
      <c r="C37" s="1">
        <f t="shared" si="1"/>
        <v>0</v>
      </c>
      <c r="D37" s="2" t="str">
        <f t="shared" si="2"/>
        <v>2024-11</v>
      </c>
      <c r="E37" s="3" t="s">
        <v>106</v>
      </c>
      <c r="F37" s="4" t="s">
        <v>74</v>
      </c>
      <c r="G37" s="5">
        <v>45597</v>
      </c>
      <c r="H37" s="4">
        <v>254</v>
      </c>
      <c r="I37" s="4">
        <v>-303</v>
      </c>
      <c r="J37" s="7">
        <v>340</v>
      </c>
      <c r="K37" s="8">
        <v>0.20166438513980584</v>
      </c>
      <c r="L37" s="9">
        <v>4.5832814804501326E-2</v>
      </c>
      <c r="M37" s="10">
        <v>266.15880893300243</v>
      </c>
      <c r="N37" s="11">
        <v>4.4000000000000004</v>
      </c>
      <c r="O37" s="12">
        <v>3588.1988805891147</v>
      </c>
      <c r="P37" s="13" t="s">
        <v>75</v>
      </c>
      <c r="Q37" s="13" t="s">
        <v>81</v>
      </c>
      <c r="R37" s="14"/>
      <c r="S37" s="13"/>
      <c r="T37" s="13">
        <v>160.07</v>
      </c>
      <c r="U37" s="13">
        <v>160.07</v>
      </c>
      <c r="V37" s="31" t="s">
        <v>88</v>
      </c>
      <c r="W37" s="15"/>
      <c r="X37" s="15"/>
      <c r="Y37" s="16"/>
      <c r="Z37" s="17"/>
      <c r="AA37" s="18"/>
      <c r="AB37" s="19" t="s">
        <v>89</v>
      </c>
      <c r="AC37" s="20">
        <v>32.280418129328716</v>
      </c>
      <c r="AD37" s="21">
        <v>45597</v>
      </c>
      <c r="AE37" s="22">
        <v>53729.439283483771</v>
      </c>
      <c r="AF37" s="23">
        <v>20991.876533333347</v>
      </c>
      <c r="AG37" s="24">
        <v>120991.8765333334</v>
      </c>
      <c r="AH37" s="15">
        <v>0.5</v>
      </c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</row>
    <row r="38" spans="1:68" ht="15" customHeight="1" x14ac:dyDescent="0.25">
      <c r="A38" s="1">
        <f t="shared" si="3"/>
        <v>13</v>
      </c>
      <c r="B38" s="1" t="str">
        <f t="shared" si="0"/>
        <v xml:space="preserve">Trail </v>
      </c>
      <c r="C38" s="1">
        <f t="shared" si="1"/>
        <v>0</v>
      </c>
      <c r="D38" s="2" t="str">
        <f t="shared" si="2"/>
        <v>2024-11</v>
      </c>
      <c r="E38" s="34" t="s">
        <v>106</v>
      </c>
      <c r="F38" s="4" t="s">
        <v>97</v>
      </c>
      <c r="G38" s="5">
        <v>45597</v>
      </c>
      <c r="H38" s="4">
        <v>254</v>
      </c>
      <c r="I38" s="4">
        <v>-303</v>
      </c>
      <c r="J38" s="7">
        <v>340</v>
      </c>
      <c r="K38" s="8">
        <v>0.20166438513980584</v>
      </c>
      <c r="L38" s="9">
        <v>4.5832814804501326E-2</v>
      </c>
      <c r="M38" s="10">
        <v>266.15880893300243</v>
      </c>
      <c r="N38" s="11">
        <v>4.4000000000000004</v>
      </c>
      <c r="O38" s="12">
        <v>3588.1988805891147</v>
      </c>
      <c r="P38" s="13" t="s">
        <v>75</v>
      </c>
      <c r="Q38" s="13" t="s">
        <v>81</v>
      </c>
      <c r="R38" s="14"/>
      <c r="S38" s="13"/>
      <c r="T38" s="13">
        <v>170</v>
      </c>
      <c r="U38" s="13">
        <v>170</v>
      </c>
      <c r="V38" s="35" t="s">
        <v>88</v>
      </c>
      <c r="W38" s="15"/>
      <c r="X38" s="15"/>
      <c r="Y38" s="16"/>
      <c r="Z38" s="17"/>
      <c r="AA38" s="18"/>
      <c r="AB38" s="19" t="s">
        <v>89</v>
      </c>
      <c r="AC38" s="20">
        <v>34.282945473766993</v>
      </c>
      <c r="AD38" s="21">
        <v>45597</v>
      </c>
      <c r="AE38" s="22">
        <v>53763.722228957537</v>
      </c>
      <c r="AF38" s="23">
        <v>20991.876533333347</v>
      </c>
      <c r="AG38" s="24">
        <v>120991.8765333334</v>
      </c>
      <c r="AH38" s="15">
        <v>0.5</v>
      </c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</row>
    <row r="39" spans="1:68" ht="15" customHeight="1" x14ac:dyDescent="0.25">
      <c r="A39" s="1">
        <f t="shared" si="3"/>
        <v>13</v>
      </c>
      <c r="B39" s="1" t="str">
        <f t="shared" si="0"/>
        <v xml:space="preserve">Trail </v>
      </c>
      <c r="C39" s="1">
        <f t="shared" si="1"/>
        <v>0</v>
      </c>
      <c r="D39" s="2" t="str">
        <f t="shared" si="2"/>
        <v>2024-11</v>
      </c>
      <c r="E39" s="34" t="s">
        <v>106</v>
      </c>
      <c r="F39" s="4" t="s">
        <v>97</v>
      </c>
      <c r="G39" s="5">
        <v>45597</v>
      </c>
      <c r="H39" s="4">
        <v>254</v>
      </c>
      <c r="I39" s="4">
        <v>-303</v>
      </c>
      <c r="J39" s="36">
        <v>265</v>
      </c>
      <c r="K39" s="8">
        <v>-3.1647714181155862E-3</v>
      </c>
      <c r="L39" s="9">
        <v>-8.6706066249742086E-4</v>
      </c>
      <c r="M39" s="10">
        <v>266.15880893300243</v>
      </c>
      <c r="N39" s="11">
        <v>3.65</v>
      </c>
      <c r="O39" s="12">
        <v>-72.124842971107171</v>
      </c>
      <c r="P39" s="13" t="s">
        <v>75</v>
      </c>
      <c r="Q39" s="13" t="s">
        <v>81</v>
      </c>
      <c r="R39" s="14"/>
      <c r="S39" s="13"/>
      <c r="T39" s="13">
        <v>408.7</v>
      </c>
      <c r="U39" s="13">
        <v>408.7</v>
      </c>
      <c r="V39" s="37" t="s">
        <v>88</v>
      </c>
      <c r="W39" s="15"/>
      <c r="X39" s="15"/>
      <c r="Y39" s="16"/>
      <c r="Z39" s="17"/>
      <c r="AA39" s="18"/>
      <c r="AB39" s="19" t="s">
        <v>89</v>
      </c>
      <c r="AC39" s="20">
        <v>-1.2934420785838401</v>
      </c>
      <c r="AD39" s="21">
        <v>45597</v>
      </c>
      <c r="AE39" s="22">
        <v>53777.477324588559</v>
      </c>
      <c r="AF39" s="23">
        <v>20786.501533333347</v>
      </c>
      <c r="AG39" s="24">
        <v>120786.5015333334</v>
      </c>
      <c r="AH39" s="15">
        <v>0.5</v>
      </c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</row>
    <row r="40" spans="1:68" ht="15" customHeight="1" x14ac:dyDescent="0.25">
      <c r="A40" s="1">
        <f t="shared" si="3"/>
        <v>14</v>
      </c>
      <c r="B40" s="1" t="str">
        <f t="shared" si="0"/>
        <v xml:space="preserve">Aldama </v>
      </c>
      <c r="C40" s="1">
        <f t="shared" si="1"/>
        <v>1</v>
      </c>
      <c r="D40" s="2" t="str">
        <f t="shared" si="2"/>
        <v>2024-11</v>
      </c>
      <c r="E40" s="28" t="s">
        <v>107</v>
      </c>
      <c r="F40" s="29" t="s">
        <v>83</v>
      </c>
      <c r="G40" s="5">
        <v>45598</v>
      </c>
      <c r="H40" s="6">
        <v>-118</v>
      </c>
      <c r="I40" s="6">
        <v>-111</v>
      </c>
      <c r="J40" s="38">
        <v>123</v>
      </c>
      <c r="K40" s="8">
        <v>0.13089742545217503</v>
      </c>
      <c r="L40" s="9">
        <v>5.8698397063755625E-2</v>
      </c>
      <c r="M40" s="10">
        <v>-102.89280105793863</v>
      </c>
      <c r="N40" s="11">
        <v>2.23</v>
      </c>
      <c r="O40" s="12">
        <v>5641.3957735411286</v>
      </c>
      <c r="P40" s="13" t="s">
        <v>75</v>
      </c>
      <c r="Q40" s="13" t="s">
        <v>92</v>
      </c>
      <c r="R40" s="14"/>
      <c r="S40" s="13"/>
      <c r="T40" s="13">
        <v>44.244999999999997</v>
      </c>
      <c r="U40" s="13">
        <v>44.244999999999997</v>
      </c>
      <c r="V40" s="31" t="s">
        <v>82</v>
      </c>
      <c r="W40" s="15"/>
      <c r="X40" s="15"/>
      <c r="Y40" s="16"/>
      <c r="Z40" s="17"/>
      <c r="AA40" s="18"/>
      <c r="AB40" s="19">
        <v>-44.244999999999997</v>
      </c>
      <c r="AC40" s="20">
        <v>5.791556589131484</v>
      </c>
      <c r="AD40" s="21">
        <v>45598</v>
      </c>
      <c r="AE40" s="22">
        <v>56012.190437199577</v>
      </c>
      <c r="AF40" s="23">
        <v>5976.4315333333443</v>
      </c>
      <c r="AG40" s="24">
        <v>106020.67653333345</v>
      </c>
      <c r="AH40" s="15">
        <v>0.5</v>
      </c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</row>
    <row r="41" spans="1:68" ht="15" customHeight="1" x14ac:dyDescent="0.25">
      <c r="A41" s="1">
        <f t="shared" si="3"/>
        <v>14</v>
      </c>
      <c r="B41" s="1" t="str">
        <f t="shared" si="0"/>
        <v xml:space="preserve">Aldama </v>
      </c>
      <c r="C41" s="1">
        <f t="shared" si="1"/>
        <v>1</v>
      </c>
      <c r="D41" s="2" t="str">
        <f t="shared" si="2"/>
        <v>2024-11</v>
      </c>
      <c r="E41" s="28" t="s">
        <v>107</v>
      </c>
      <c r="F41" s="29" t="s">
        <v>74</v>
      </c>
      <c r="G41" s="5">
        <v>45598</v>
      </c>
      <c r="H41" s="6">
        <v>-118</v>
      </c>
      <c r="I41" s="6">
        <v>-111</v>
      </c>
      <c r="J41" s="38">
        <v>123</v>
      </c>
      <c r="K41" s="8">
        <v>0.13089742545217503</v>
      </c>
      <c r="L41" s="9">
        <v>5.8698397063755625E-2</v>
      </c>
      <c r="M41" s="10">
        <v>-102.89280105793863</v>
      </c>
      <c r="N41" s="11">
        <v>2.23</v>
      </c>
      <c r="O41" s="12">
        <v>5639.0414822447347</v>
      </c>
      <c r="P41" s="13" t="s">
        <v>75</v>
      </c>
      <c r="Q41" s="13" t="s">
        <v>92</v>
      </c>
      <c r="R41" s="14"/>
      <c r="S41" s="13"/>
      <c r="T41" s="13">
        <v>44.244999999999997</v>
      </c>
      <c r="U41" s="13">
        <v>44.244999999999997</v>
      </c>
      <c r="V41" s="31" t="s">
        <v>82</v>
      </c>
      <c r="W41" s="15"/>
      <c r="X41" s="15"/>
      <c r="Y41" s="16"/>
      <c r="Z41" s="17"/>
      <c r="AA41" s="18"/>
      <c r="AB41" s="19">
        <v>-44.244999999999997</v>
      </c>
      <c r="AC41" s="20">
        <v>5.791556589131484</v>
      </c>
      <c r="AD41" s="21">
        <v>45598</v>
      </c>
      <c r="AE41" s="22">
        <v>56017.981993788708</v>
      </c>
      <c r="AF41" s="23">
        <v>5932.1865333333444</v>
      </c>
      <c r="AG41" s="24">
        <v>105976.43153333345</v>
      </c>
      <c r="AH41" s="15">
        <v>0.5</v>
      </c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</row>
    <row r="42" spans="1:68" ht="15" customHeight="1" x14ac:dyDescent="0.25">
      <c r="A42" s="1">
        <f t="shared" si="3"/>
        <v>15</v>
      </c>
      <c r="B42" s="1" t="str">
        <f t="shared" si="0"/>
        <v xml:space="preserve">Blazers </v>
      </c>
      <c r="C42" s="1">
        <f t="shared" si="1"/>
        <v>0</v>
      </c>
      <c r="D42" s="2" t="str">
        <f t="shared" si="2"/>
        <v>2024-11</v>
      </c>
      <c r="E42" s="28" t="s">
        <v>108</v>
      </c>
      <c r="F42" s="29" t="s">
        <v>74</v>
      </c>
      <c r="G42" s="5">
        <v>45598</v>
      </c>
      <c r="H42" s="6">
        <v>-142</v>
      </c>
      <c r="I42" s="6">
        <v>141</v>
      </c>
      <c r="J42" s="38">
        <v>-117</v>
      </c>
      <c r="K42" s="8">
        <v>8.6432724822372714E-2</v>
      </c>
      <c r="L42" s="9">
        <v>4.6601976056302341E-2</v>
      </c>
      <c r="M42" s="10">
        <v>-141.41322314049592</v>
      </c>
      <c r="N42" s="11">
        <v>1.8547008547008548</v>
      </c>
      <c r="O42" s="12">
        <v>5229.3387775062047</v>
      </c>
      <c r="P42" s="13" t="s">
        <v>75</v>
      </c>
      <c r="Q42" s="13" t="s">
        <v>76</v>
      </c>
      <c r="R42" s="14"/>
      <c r="S42" s="13"/>
      <c r="T42" s="13">
        <v>949.27</v>
      </c>
      <c r="U42" s="13">
        <v>949.27</v>
      </c>
      <c r="V42" s="31" t="s">
        <v>77</v>
      </c>
      <c r="W42" s="15"/>
      <c r="X42" s="15"/>
      <c r="Y42" s="16"/>
      <c r="Z42" s="17"/>
      <c r="AA42" s="18"/>
      <c r="AB42" s="19">
        <v>811.34</v>
      </c>
      <c r="AC42" s="20">
        <v>82.047992692133747</v>
      </c>
      <c r="AD42" s="21">
        <v>45598</v>
      </c>
      <c r="AE42" s="22">
        <v>58288.175500238853</v>
      </c>
      <c r="AF42" s="23">
        <v>4233.2865333333448</v>
      </c>
      <c r="AG42" s="24">
        <v>103421.94653333344</v>
      </c>
      <c r="AH42" s="15">
        <v>0.5</v>
      </c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</row>
    <row r="43" spans="1:68" ht="15" customHeight="1" x14ac:dyDescent="0.25">
      <c r="A43" s="1">
        <f t="shared" si="3"/>
        <v>15</v>
      </c>
      <c r="B43" s="1" t="str">
        <f t="shared" si="0"/>
        <v xml:space="preserve">Blazers </v>
      </c>
      <c r="C43" s="1">
        <f t="shared" si="1"/>
        <v>0</v>
      </c>
      <c r="D43" s="2" t="str">
        <f t="shared" si="2"/>
        <v>2024-11</v>
      </c>
      <c r="E43" s="28" t="s">
        <v>108</v>
      </c>
      <c r="F43" s="29" t="s">
        <v>83</v>
      </c>
      <c r="G43" s="5">
        <v>45598</v>
      </c>
      <c r="H43" s="6">
        <v>-142</v>
      </c>
      <c r="I43" s="6">
        <v>141</v>
      </c>
      <c r="J43" s="38">
        <v>-125</v>
      </c>
      <c r="K43" s="8">
        <v>5.4390469343740477E-2</v>
      </c>
      <c r="L43" s="9">
        <v>3.0216927413189154E-2</v>
      </c>
      <c r="M43" s="10">
        <v>-141.41322314049592</v>
      </c>
      <c r="N43" s="11">
        <v>1.8</v>
      </c>
      <c r="O43" s="12">
        <v>3543.3108598678682</v>
      </c>
      <c r="P43" s="13" t="s">
        <v>75</v>
      </c>
      <c r="Q43" s="13" t="s">
        <v>76</v>
      </c>
      <c r="R43" s="14"/>
      <c r="S43" s="13"/>
      <c r="T43" s="13">
        <v>702</v>
      </c>
      <c r="U43" s="13">
        <v>702</v>
      </c>
      <c r="V43" s="31" t="s">
        <v>77</v>
      </c>
      <c r="W43" s="15"/>
      <c r="X43" s="15"/>
      <c r="Y43" s="16"/>
      <c r="Z43" s="17"/>
      <c r="AA43" s="18"/>
      <c r="AB43" s="19">
        <v>561.6</v>
      </c>
      <c r="AC43" s="20">
        <v>38.182109479305815</v>
      </c>
      <c r="AD43" s="21">
        <v>45598</v>
      </c>
      <c r="AE43" s="22">
        <v>58326.357609718158</v>
      </c>
      <c r="AF43" s="23">
        <v>4794.8865333333451</v>
      </c>
      <c r="AG43" s="24">
        <v>104233.28653333343</v>
      </c>
      <c r="AH43" s="15">
        <v>0.5</v>
      </c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ht="15" customHeight="1" x14ac:dyDescent="0.25">
      <c r="A44" s="1">
        <f t="shared" si="3"/>
        <v>15</v>
      </c>
      <c r="B44" s="1" t="str">
        <f t="shared" si="0"/>
        <v xml:space="preserve">Blazers </v>
      </c>
      <c r="C44" s="1">
        <f t="shared" si="1"/>
        <v>0</v>
      </c>
      <c r="D44" s="2" t="str">
        <f t="shared" si="2"/>
        <v>2024-11</v>
      </c>
      <c r="E44" s="3" t="s">
        <v>109</v>
      </c>
      <c r="F44" s="4" t="s">
        <v>74</v>
      </c>
      <c r="G44" s="39">
        <v>45598</v>
      </c>
      <c r="H44" s="40">
        <v>-132</v>
      </c>
      <c r="I44" s="40">
        <v>112</v>
      </c>
      <c r="J44" s="36">
        <v>-112</v>
      </c>
      <c r="K44" s="8">
        <v>3.4888134684946247E-2</v>
      </c>
      <c r="L44" s="9">
        <v>1.8431467380726319E-2</v>
      </c>
      <c r="M44" s="10">
        <v>-120.62068965517243</v>
      </c>
      <c r="N44" s="11">
        <v>1.8928571428571428</v>
      </c>
      <c r="O44" s="12">
        <v>2063.3607481504696</v>
      </c>
      <c r="P44" s="32" t="s">
        <v>75</v>
      </c>
      <c r="Q44" s="32" t="s">
        <v>76</v>
      </c>
      <c r="R44" s="33"/>
      <c r="S44" s="32"/>
      <c r="T44" s="32">
        <v>907.08</v>
      </c>
      <c r="U44" s="32">
        <v>907.08</v>
      </c>
      <c r="V44" s="31" t="s">
        <v>77</v>
      </c>
      <c r="W44" s="15"/>
      <c r="X44" s="15"/>
      <c r="Y44" s="16"/>
      <c r="Z44" s="17"/>
      <c r="AA44" s="18"/>
      <c r="AB44" s="19">
        <v>809.89</v>
      </c>
      <c r="AC44" s="20">
        <v>31.646329210021044</v>
      </c>
      <c r="AD44" s="21">
        <v>45598</v>
      </c>
      <c r="AE44" s="22">
        <v>58451.986033542264</v>
      </c>
      <c r="AF44" s="23">
        <v>6420.9465333333455</v>
      </c>
      <c r="AG44" s="24">
        <v>105611.05653333344</v>
      </c>
      <c r="AH44" s="15">
        <v>0.5</v>
      </c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</row>
    <row r="45" spans="1:68" ht="15" customHeight="1" x14ac:dyDescent="0.25">
      <c r="A45" s="1">
        <f t="shared" si="3"/>
        <v>16</v>
      </c>
      <c r="B45" s="1" t="str">
        <f t="shared" si="0"/>
        <v xml:space="preserve">Blazers </v>
      </c>
      <c r="C45" s="1">
        <f t="shared" si="1"/>
        <v>1</v>
      </c>
      <c r="D45" s="2" t="str">
        <f t="shared" si="2"/>
        <v>2024-11</v>
      </c>
      <c r="E45" s="28" t="s">
        <v>110</v>
      </c>
      <c r="F45" s="29" t="s">
        <v>74</v>
      </c>
      <c r="G45" s="5">
        <v>45598</v>
      </c>
      <c r="H45" s="6">
        <v>-141</v>
      </c>
      <c r="I45" s="6">
        <v>110</v>
      </c>
      <c r="J45" s="38">
        <v>120</v>
      </c>
      <c r="K45" s="8">
        <v>0.21284676968907096</v>
      </c>
      <c r="L45" s="9">
        <v>9.6748531676850436E-2</v>
      </c>
      <c r="M45" s="10">
        <v>-122.86307053941908</v>
      </c>
      <c r="N45" s="11">
        <v>2.2000000000000002</v>
      </c>
      <c r="O45" s="12">
        <v>9293.8554493969768</v>
      </c>
      <c r="P45" s="32" t="s">
        <v>75</v>
      </c>
      <c r="Q45" s="32" t="s">
        <v>92</v>
      </c>
      <c r="R45" s="33"/>
      <c r="S45" s="32"/>
      <c r="T45" s="32">
        <v>340.15499999999997</v>
      </c>
      <c r="U45" s="32">
        <v>340.15499999999997</v>
      </c>
      <c r="V45" s="31" t="s">
        <v>77</v>
      </c>
      <c r="W45" s="15"/>
      <c r="X45" s="15"/>
      <c r="Y45" s="16"/>
      <c r="Z45" s="17"/>
      <c r="AA45" s="18"/>
      <c r="AB45" s="19">
        <v>408.19</v>
      </c>
      <c r="AC45" s="20">
        <v>72.40089294358593</v>
      </c>
      <c r="AD45" s="21">
        <v>45598</v>
      </c>
      <c r="AE45" s="22">
        <v>58398.758502661745</v>
      </c>
      <c r="AF45" s="23">
        <v>5203.0765333333447</v>
      </c>
      <c r="AG45" s="24">
        <v>104794.88653333344</v>
      </c>
      <c r="AH45" s="15">
        <v>0.5</v>
      </c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</row>
    <row r="46" spans="1:68" ht="15" customHeight="1" x14ac:dyDescent="0.25">
      <c r="A46" s="1">
        <f t="shared" si="3"/>
        <v>16</v>
      </c>
      <c r="B46" s="1" t="str">
        <f t="shared" si="0"/>
        <v xml:space="preserve">Blazers </v>
      </c>
      <c r="C46" s="1">
        <f t="shared" si="1"/>
        <v>1</v>
      </c>
      <c r="D46" s="2" t="str">
        <f t="shared" si="2"/>
        <v>2024-11</v>
      </c>
      <c r="E46" s="28" t="s">
        <v>111</v>
      </c>
      <c r="F46" s="29" t="s">
        <v>74</v>
      </c>
      <c r="G46" s="5">
        <v>45598</v>
      </c>
      <c r="H46" s="6">
        <v>-146</v>
      </c>
      <c r="I46" s="6">
        <v>114</v>
      </c>
      <c r="J46" s="38">
        <v>-115</v>
      </c>
      <c r="K46" s="8">
        <v>4.5997701672048912E-2</v>
      </c>
      <c r="L46" s="9">
        <v>2.4603421824584304E-2</v>
      </c>
      <c r="M46" s="10">
        <v>-127.00813008130078</v>
      </c>
      <c r="N46" s="11">
        <v>1.8695652173913042</v>
      </c>
      <c r="O46" s="12">
        <v>2782.482344383151</v>
      </c>
      <c r="P46" s="13" t="s">
        <v>75</v>
      </c>
      <c r="Q46" s="32" t="s">
        <v>92</v>
      </c>
      <c r="R46" s="33"/>
      <c r="S46" s="32"/>
      <c r="T46" s="32">
        <v>469.18</v>
      </c>
      <c r="U46" s="32">
        <v>469.18</v>
      </c>
      <c r="V46" s="31" t="s">
        <v>77</v>
      </c>
      <c r="W46" s="15"/>
      <c r="X46" s="15"/>
      <c r="Y46" s="16"/>
      <c r="Z46" s="17"/>
      <c r="AA46" s="18"/>
      <c r="AB46" s="19">
        <v>407.98</v>
      </c>
      <c r="AC46" s="20">
        <v>21.581201670491907</v>
      </c>
      <c r="AD46" s="21">
        <v>45598</v>
      </c>
      <c r="AE46" s="22">
        <v>58420.33970433224</v>
      </c>
      <c r="AF46" s="23">
        <v>5611.0565333333452</v>
      </c>
      <c r="AG46" s="24">
        <v>105203.07653333344</v>
      </c>
      <c r="AH46" s="15">
        <v>0.5</v>
      </c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</row>
    <row r="47" spans="1:68" ht="15" customHeight="1" x14ac:dyDescent="0.25">
      <c r="A47" s="1">
        <f t="shared" si="3"/>
        <v>16</v>
      </c>
      <c r="B47" s="1" t="str">
        <f t="shared" si="0"/>
        <v xml:space="preserve">Blazers </v>
      </c>
      <c r="C47" s="1">
        <f t="shared" si="1"/>
        <v>1</v>
      </c>
      <c r="D47" s="2" t="str">
        <f t="shared" si="2"/>
        <v>2024-11</v>
      </c>
      <c r="E47" s="28" t="s">
        <v>112</v>
      </c>
      <c r="F47" s="29" t="s">
        <v>74</v>
      </c>
      <c r="G47" s="5">
        <v>45598</v>
      </c>
      <c r="H47" s="6">
        <v>-138</v>
      </c>
      <c r="I47" s="6">
        <v>115</v>
      </c>
      <c r="J47" s="38">
        <v>-114</v>
      </c>
      <c r="K47" s="8">
        <v>4.1636726939848323E-2</v>
      </c>
      <c r="L47" s="9">
        <v>2.2180312481975273E-2</v>
      </c>
      <c r="M47" s="10">
        <v>-124.66386554621849</v>
      </c>
      <c r="N47" s="11">
        <v>1.8771929824561404</v>
      </c>
      <c r="O47" s="12">
        <v>2525.6813381485031</v>
      </c>
      <c r="P47" s="32" t="s">
        <v>75</v>
      </c>
      <c r="Q47" s="13" t="s">
        <v>92</v>
      </c>
      <c r="R47" s="14"/>
      <c r="S47" s="13"/>
      <c r="T47" s="13">
        <v>463.84500000000003</v>
      </c>
      <c r="U47" s="13">
        <v>463.84500000000003</v>
      </c>
      <c r="V47" s="31" t="s">
        <v>82</v>
      </c>
      <c r="W47" s="15"/>
      <c r="X47" s="15"/>
      <c r="Y47" s="16"/>
      <c r="Z47" s="17"/>
      <c r="AA47" s="18"/>
      <c r="AB47" s="19">
        <v>-463.84500000000003</v>
      </c>
      <c r="AC47" s="20">
        <v>19.312987607413948</v>
      </c>
      <c r="AD47" s="21">
        <v>45598</v>
      </c>
      <c r="AE47" s="22">
        <v>58471.29902114968</v>
      </c>
      <c r="AF47" s="23">
        <v>5957.1015333333453</v>
      </c>
      <c r="AG47" s="24">
        <v>106420.94653333344</v>
      </c>
      <c r="AH47" s="15">
        <v>0.5</v>
      </c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</row>
    <row r="48" spans="1:68" ht="15" customHeight="1" x14ac:dyDescent="0.25">
      <c r="A48" s="1">
        <f t="shared" si="3"/>
        <v>17</v>
      </c>
      <c r="B48" s="1" t="str">
        <f t="shared" si="0"/>
        <v xml:space="preserve">D </v>
      </c>
      <c r="C48" s="1">
        <f t="shared" si="1"/>
        <v>1</v>
      </c>
      <c r="D48" s="2" t="str">
        <f t="shared" si="2"/>
        <v>2024-11</v>
      </c>
      <c r="E48" s="28" t="s">
        <v>113</v>
      </c>
      <c r="F48" s="29" t="s">
        <v>83</v>
      </c>
      <c r="G48" s="5">
        <v>45598</v>
      </c>
      <c r="H48" s="6">
        <v>110</v>
      </c>
      <c r="I48" s="6">
        <v>-140</v>
      </c>
      <c r="J48" s="30">
        <v>150</v>
      </c>
      <c r="K48" s="8">
        <v>0.12359550561797772</v>
      </c>
      <c r="L48" s="9">
        <v>4.9438202247191088E-2</v>
      </c>
      <c r="M48" s="10">
        <v>122.49999999999999</v>
      </c>
      <c r="N48" s="11">
        <v>2.5</v>
      </c>
      <c r="O48" s="12">
        <v>4370.5686774032574</v>
      </c>
      <c r="P48" s="13" t="s">
        <v>75</v>
      </c>
      <c r="Q48" s="13" t="s">
        <v>92</v>
      </c>
      <c r="R48" s="14"/>
      <c r="S48" s="13"/>
      <c r="T48" s="13">
        <v>36.28</v>
      </c>
      <c r="U48" s="13">
        <v>36.28</v>
      </c>
      <c r="V48" s="31" t="s">
        <v>82</v>
      </c>
      <c r="W48" s="15"/>
      <c r="X48" s="15"/>
      <c r="Y48" s="16"/>
      <c r="Z48" s="17"/>
      <c r="AA48" s="18"/>
      <c r="AB48" s="19">
        <v>-36.28</v>
      </c>
      <c r="AC48" s="20">
        <v>4.4840449438202317</v>
      </c>
      <c r="AD48" s="21">
        <v>45598</v>
      </c>
      <c r="AE48" s="22">
        <v>55852.031107379909</v>
      </c>
      <c r="AF48" s="23">
        <v>6049.3415333333442</v>
      </c>
      <c r="AG48" s="24">
        <v>106085.62153333344</v>
      </c>
      <c r="AH48" s="15">
        <v>0.5</v>
      </c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</row>
    <row r="49" spans="1:68" ht="15" customHeight="1" x14ac:dyDescent="0.25">
      <c r="A49" s="1">
        <f t="shared" si="3"/>
        <v>18</v>
      </c>
      <c r="B49" s="1" t="str">
        <f t="shared" si="0"/>
        <v xml:space="preserve">Jazz </v>
      </c>
      <c r="C49" s="1">
        <f t="shared" si="1"/>
        <v>0</v>
      </c>
      <c r="D49" s="2" t="str">
        <f t="shared" si="2"/>
        <v>2024-11</v>
      </c>
      <c r="E49" s="28" t="s">
        <v>114</v>
      </c>
      <c r="F49" s="29" t="s">
        <v>83</v>
      </c>
      <c r="G49" s="5">
        <v>45598</v>
      </c>
      <c r="H49" s="6">
        <v>246</v>
      </c>
      <c r="I49" s="6">
        <v>-289</v>
      </c>
      <c r="J49" s="30">
        <v>310</v>
      </c>
      <c r="K49" s="8">
        <v>0.14828574308465423</v>
      </c>
      <c r="L49" s="9">
        <v>3.6167254410891275E-2</v>
      </c>
      <c r="M49" s="10">
        <v>257.0539845758355</v>
      </c>
      <c r="N49" s="11">
        <v>4.0999999999999996</v>
      </c>
      <c r="O49" s="12">
        <v>2486.2701391227233</v>
      </c>
      <c r="P49" s="13" t="s">
        <v>75</v>
      </c>
      <c r="Q49" s="13" t="s">
        <v>81</v>
      </c>
      <c r="R49" s="14"/>
      <c r="S49" s="13"/>
      <c r="T49" s="13">
        <v>175.56</v>
      </c>
      <c r="U49" s="13">
        <v>175.56</v>
      </c>
      <c r="V49" s="31" t="s">
        <v>82</v>
      </c>
      <c r="W49" s="15"/>
      <c r="X49" s="15"/>
      <c r="Y49" s="16"/>
      <c r="Z49" s="17"/>
      <c r="AA49" s="18"/>
      <c r="AB49" s="19">
        <v>-175.56</v>
      </c>
      <c r="AC49" s="20">
        <v>26.033045055941898</v>
      </c>
      <c r="AD49" s="21">
        <v>45598</v>
      </c>
      <c r="AE49" s="22">
        <v>57506.215711643708</v>
      </c>
      <c r="AF49" s="23">
        <v>3778.296533333345</v>
      </c>
      <c r="AG49" s="24">
        <v>103953.85653333343</v>
      </c>
      <c r="AH49" s="15">
        <v>0.5</v>
      </c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</row>
    <row r="50" spans="1:68" ht="15" customHeight="1" x14ac:dyDescent="0.25">
      <c r="A50" s="1">
        <f t="shared" si="3"/>
        <v>18</v>
      </c>
      <c r="B50" s="1" t="str">
        <f t="shared" si="0"/>
        <v xml:space="preserve">Jazz </v>
      </c>
      <c r="C50" s="1">
        <f t="shared" si="1"/>
        <v>0</v>
      </c>
      <c r="D50" s="2" t="str">
        <f t="shared" si="2"/>
        <v>2024-11</v>
      </c>
      <c r="E50" s="28" t="s">
        <v>114</v>
      </c>
      <c r="F50" s="29" t="s">
        <v>97</v>
      </c>
      <c r="G50" s="5">
        <v>45598</v>
      </c>
      <c r="H50" s="6">
        <v>246</v>
      </c>
      <c r="I50" s="6">
        <v>-289</v>
      </c>
      <c r="J50" s="30">
        <v>310</v>
      </c>
      <c r="K50" s="8">
        <v>0.14828574308465423</v>
      </c>
      <c r="L50" s="9">
        <v>3.6167254410891275E-2</v>
      </c>
      <c r="M50" s="10">
        <v>257.0539845758355</v>
      </c>
      <c r="N50" s="11">
        <v>4.0999999999999996</v>
      </c>
      <c r="O50" s="12">
        <v>2482.0712608878944</v>
      </c>
      <c r="P50" s="13" t="s">
        <v>75</v>
      </c>
      <c r="Q50" s="13" t="s">
        <v>81</v>
      </c>
      <c r="R50" s="14"/>
      <c r="S50" s="13"/>
      <c r="T50" s="13">
        <v>122.89</v>
      </c>
      <c r="U50" s="13">
        <v>122.89</v>
      </c>
      <c r="V50" s="31" t="s">
        <v>82</v>
      </c>
      <c r="W50" s="15"/>
      <c r="X50" s="15"/>
      <c r="Y50" s="16"/>
      <c r="Z50" s="17"/>
      <c r="AA50" s="18"/>
      <c r="AB50" s="19">
        <v>-122.89</v>
      </c>
      <c r="AC50" s="20">
        <v>18.222834967673158</v>
      </c>
      <c r="AD50" s="21">
        <v>45598</v>
      </c>
      <c r="AE50" s="22">
        <v>57524.438546611382</v>
      </c>
      <c r="AF50" s="23">
        <v>3655.4065333333451</v>
      </c>
      <c r="AG50" s="24">
        <v>103778.29653333343</v>
      </c>
      <c r="AH50" s="15">
        <v>0.5</v>
      </c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</row>
    <row r="51" spans="1:68" ht="15" customHeight="1" x14ac:dyDescent="0.25">
      <c r="A51" s="1">
        <f t="shared" si="3"/>
        <v>18</v>
      </c>
      <c r="B51" s="1" t="str">
        <f t="shared" si="0"/>
        <v xml:space="preserve">Jazz </v>
      </c>
      <c r="C51" s="1">
        <f t="shared" si="1"/>
        <v>0</v>
      </c>
      <c r="D51" s="2" t="str">
        <f t="shared" si="2"/>
        <v>2024-11</v>
      </c>
      <c r="E51" s="28" t="s">
        <v>114</v>
      </c>
      <c r="F51" s="29" t="s">
        <v>74</v>
      </c>
      <c r="G51" s="5">
        <v>45598</v>
      </c>
      <c r="H51" s="6">
        <v>246</v>
      </c>
      <c r="I51" s="6">
        <v>-289</v>
      </c>
      <c r="J51" s="30">
        <v>310</v>
      </c>
      <c r="K51" s="8">
        <v>0.14828574308465423</v>
      </c>
      <c r="L51" s="9">
        <v>3.6167254410891275E-2</v>
      </c>
      <c r="M51" s="10">
        <v>257.0539845758355</v>
      </c>
      <c r="N51" s="11">
        <v>4.0999999999999996</v>
      </c>
      <c r="O51" s="12">
        <v>2479.1320939576244</v>
      </c>
      <c r="P51" s="13" t="s">
        <v>75</v>
      </c>
      <c r="Q51" s="13" t="s">
        <v>81</v>
      </c>
      <c r="R51" s="14"/>
      <c r="S51" s="13"/>
      <c r="T51" s="13">
        <v>175.56</v>
      </c>
      <c r="U51" s="13">
        <v>175.56</v>
      </c>
      <c r="V51" s="31" t="s">
        <v>82</v>
      </c>
      <c r="W51" s="15"/>
      <c r="X51" s="15"/>
      <c r="Y51" s="16"/>
      <c r="Z51" s="17"/>
      <c r="AA51" s="18"/>
      <c r="AB51" s="19">
        <v>-175.56</v>
      </c>
      <c r="AC51" s="20">
        <v>26.033045055941898</v>
      </c>
      <c r="AD51" s="21">
        <v>45598</v>
      </c>
      <c r="AE51" s="22">
        <v>57550.471591667323</v>
      </c>
      <c r="AF51" s="23">
        <v>3479.8465333333452</v>
      </c>
      <c r="AG51" s="24">
        <v>103655.40653333343</v>
      </c>
      <c r="AH51" s="15">
        <v>0.5</v>
      </c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</row>
    <row r="52" spans="1:68" ht="15" customHeight="1" x14ac:dyDescent="0.25">
      <c r="A52" s="1">
        <f t="shared" si="3"/>
        <v>19</v>
      </c>
      <c r="B52" s="1" t="str">
        <f t="shared" si="0"/>
        <v xml:space="preserve">Jazz </v>
      </c>
      <c r="C52" s="1">
        <f t="shared" si="1"/>
        <v>1</v>
      </c>
      <c r="D52" s="2" t="str">
        <f t="shared" si="2"/>
        <v>2024-11</v>
      </c>
      <c r="E52" s="28" t="s">
        <v>115</v>
      </c>
      <c r="F52" s="29" t="s">
        <v>83</v>
      </c>
      <c r="G52" s="5">
        <v>45598</v>
      </c>
      <c r="H52" s="6">
        <v>-110</v>
      </c>
      <c r="I52" s="6">
        <v>-100</v>
      </c>
      <c r="J52" s="30">
        <v>110</v>
      </c>
      <c r="K52" s="8">
        <v>7.4418604651162887E-2</v>
      </c>
      <c r="L52" s="9">
        <v>3.5437430786268043E-2</v>
      </c>
      <c r="M52" s="10">
        <v>-104.76190476190477</v>
      </c>
      <c r="N52" s="11">
        <v>2.1</v>
      </c>
      <c r="O52" s="12">
        <v>3526.4512992248137</v>
      </c>
      <c r="P52" s="13" t="s">
        <v>75</v>
      </c>
      <c r="Q52" s="13" t="s">
        <v>92</v>
      </c>
      <c r="R52" s="14"/>
      <c r="S52" s="13"/>
      <c r="T52" s="13">
        <v>296.86</v>
      </c>
      <c r="U52" s="13">
        <v>296.86</v>
      </c>
      <c r="V52" s="31" t="s">
        <v>82</v>
      </c>
      <c r="W52" s="15"/>
      <c r="X52" s="15"/>
      <c r="Y52" s="16"/>
      <c r="Z52" s="17"/>
      <c r="AA52" s="18"/>
      <c r="AB52" s="19">
        <v>-296.86</v>
      </c>
      <c r="AC52" s="20">
        <v>22.091906976744216</v>
      </c>
      <c r="AD52" s="21">
        <v>45598</v>
      </c>
      <c r="AE52" s="22">
        <v>57480.182666587767</v>
      </c>
      <c r="AF52" s="23">
        <v>3953.8565333333449</v>
      </c>
      <c r="AG52" s="24">
        <v>104250.71653333343</v>
      </c>
      <c r="AH52" s="15">
        <v>0.5</v>
      </c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</row>
    <row r="53" spans="1:68" ht="15" customHeight="1" x14ac:dyDescent="0.25">
      <c r="A53" s="1">
        <f t="shared" si="3"/>
        <v>20</v>
      </c>
      <c r="B53" s="1" t="str">
        <f t="shared" si="0"/>
        <v xml:space="preserve">K </v>
      </c>
      <c r="C53" s="1">
        <f t="shared" si="1"/>
        <v>1</v>
      </c>
      <c r="D53" s="2" t="str">
        <f t="shared" si="2"/>
        <v>2024-11</v>
      </c>
      <c r="E53" s="28" t="s">
        <v>116</v>
      </c>
      <c r="F53" s="29" t="s">
        <v>83</v>
      </c>
      <c r="G53" s="5">
        <v>45598</v>
      </c>
      <c r="H53" s="6">
        <v>-140</v>
      </c>
      <c r="I53" s="6">
        <v>110</v>
      </c>
      <c r="J53" s="30">
        <v>-105</v>
      </c>
      <c r="K53" s="8">
        <v>7.4906367041198504E-2</v>
      </c>
      <c r="L53" s="9">
        <v>3.8366675801589478E-2</v>
      </c>
      <c r="M53" s="10">
        <v>-122.50000000000001</v>
      </c>
      <c r="N53" s="11">
        <v>1.9523809523809523</v>
      </c>
      <c r="O53" s="12">
        <v>4191.6456782771575</v>
      </c>
      <c r="P53" s="13" t="s">
        <v>75</v>
      </c>
      <c r="Q53" s="13" t="s">
        <v>92</v>
      </c>
      <c r="R53" s="14"/>
      <c r="S53" s="13"/>
      <c r="T53" s="13">
        <v>113.38500000000001</v>
      </c>
      <c r="U53" s="13">
        <v>113.38500000000001</v>
      </c>
      <c r="V53" s="31" t="s">
        <v>77</v>
      </c>
      <c r="W53" s="15"/>
      <c r="X53" s="15"/>
      <c r="Y53" s="16"/>
      <c r="Z53" s="17"/>
      <c r="AA53" s="18"/>
      <c r="AB53" s="19">
        <v>107.99</v>
      </c>
      <c r="AC53" s="20">
        <v>8.4932584269662925</v>
      </c>
      <c r="AD53" s="21">
        <v>45598</v>
      </c>
      <c r="AE53" s="22">
        <v>55784.893350501123</v>
      </c>
      <c r="AF53" s="23">
        <v>6695.5515333333442</v>
      </c>
      <c r="AG53" s="24">
        <v>106587.56153333343</v>
      </c>
      <c r="AH53" s="15">
        <v>0.5</v>
      </c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</row>
    <row r="54" spans="1:68" ht="15" customHeight="1" x14ac:dyDescent="0.25">
      <c r="A54" s="1">
        <f t="shared" si="3"/>
        <v>21</v>
      </c>
      <c r="B54" s="1" t="str">
        <f t="shared" si="0"/>
        <v xml:space="preserve">T </v>
      </c>
      <c r="C54" s="1">
        <f t="shared" si="1"/>
        <v>1</v>
      </c>
      <c r="D54" s="2" t="str">
        <f t="shared" si="2"/>
        <v>2024-11</v>
      </c>
      <c r="E54" s="41" t="s">
        <v>117</v>
      </c>
      <c r="F54" s="29" t="s">
        <v>83</v>
      </c>
      <c r="G54" s="5">
        <v>45598</v>
      </c>
      <c r="H54" s="6">
        <v>-125</v>
      </c>
      <c r="I54" s="6">
        <v>-105</v>
      </c>
      <c r="J54" s="30">
        <v>110</v>
      </c>
      <c r="K54" s="8">
        <v>9.2639593908629636E-2</v>
      </c>
      <c r="L54" s="9">
        <v>4.4114092337442679E-2</v>
      </c>
      <c r="M54" s="10">
        <v>-108.4656084656085</v>
      </c>
      <c r="N54" s="11">
        <v>2.1</v>
      </c>
      <c r="O54" s="12">
        <v>4465.6217881479915</v>
      </c>
      <c r="P54" s="13" t="s">
        <v>75</v>
      </c>
      <c r="Q54" s="13" t="s">
        <v>92</v>
      </c>
      <c r="R54" s="14"/>
      <c r="S54" s="13"/>
      <c r="T54" s="13">
        <v>98.95</v>
      </c>
      <c r="U54" s="13">
        <v>98.95</v>
      </c>
      <c r="V54" s="31" t="s">
        <v>77</v>
      </c>
      <c r="W54" s="15"/>
      <c r="X54" s="15"/>
      <c r="Y54" s="16"/>
      <c r="Z54" s="17"/>
      <c r="AA54" s="18"/>
      <c r="AB54" s="19">
        <v>108.85</v>
      </c>
      <c r="AC54" s="20">
        <v>9.1666878172589019</v>
      </c>
      <c r="AD54" s="21">
        <v>45598</v>
      </c>
      <c r="AE54" s="22">
        <v>55861.197795197171</v>
      </c>
      <c r="AF54" s="23">
        <v>6158.1915333333445</v>
      </c>
      <c r="AG54" s="24">
        <v>106049.34153333344</v>
      </c>
      <c r="AH54" s="15">
        <v>0.5</v>
      </c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</row>
    <row r="55" spans="1:68" ht="15" customHeight="1" x14ac:dyDescent="0.25">
      <c r="A55" s="1">
        <f t="shared" si="3"/>
        <v>21</v>
      </c>
      <c r="B55" s="1" t="str">
        <f t="shared" si="0"/>
        <v xml:space="preserve">T </v>
      </c>
      <c r="C55" s="1">
        <f t="shared" si="1"/>
        <v>1</v>
      </c>
      <c r="D55" s="2" t="str">
        <f t="shared" si="2"/>
        <v>2024-11</v>
      </c>
      <c r="E55" s="41" t="s">
        <v>117</v>
      </c>
      <c r="F55" s="29" t="s">
        <v>74</v>
      </c>
      <c r="G55" s="5">
        <v>45598</v>
      </c>
      <c r="H55" s="6">
        <v>-125</v>
      </c>
      <c r="I55" s="6">
        <v>-105</v>
      </c>
      <c r="J55" s="30">
        <v>110</v>
      </c>
      <c r="K55" s="8">
        <v>9.2639593908629636E-2</v>
      </c>
      <c r="L55" s="9">
        <v>4.4114092337442679E-2</v>
      </c>
      <c r="M55" s="10">
        <v>-108.4656084656085</v>
      </c>
      <c r="N55" s="11">
        <v>2.1</v>
      </c>
      <c r="O55" s="12">
        <v>4470.2053426011526</v>
      </c>
      <c r="P55" s="13" t="s">
        <v>75</v>
      </c>
      <c r="Q55" s="13" t="s">
        <v>92</v>
      </c>
      <c r="R55" s="14"/>
      <c r="S55" s="13"/>
      <c r="T55" s="13">
        <v>98.95</v>
      </c>
      <c r="U55" s="13">
        <v>98.95</v>
      </c>
      <c r="V55" s="31" t="s">
        <v>77</v>
      </c>
      <c r="W55" s="15"/>
      <c r="X55" s="15"/>
      <c r="Y55" s="16"/>
      <c r="Z55" s="17"/>
      <c r="AA55" s="18"/>
      <c r="AB55" s="19">
        <v>108.85</v>
      </c>
      <c r="AC55" s="20">
        <v>9.1666878172589019</v>
      </c>
      <c r="AD55" s="21">
        <v>45598</v>
      </c>
      <c r="AE55" s="22">
        <v>55870.364483014433</v>
      </c>
      <c r="AF55" s="23">
        <v>6267.0415333333449</v>
      </c>
      <c r="AG55" s="24">
        <v>106158.19153333345</v>
      </c>
      <c r="AH55" s="15">
        <v>0.5</v>
      </c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</row>
    <row r="56" spans="1:68" ht="15" customHeight="1" x14ac:dyDescent="0.25">
      <c r="A56" s="1">
        <f t="shared" si="3"/>
        <v>21</v>
      </c>
      <c r="B56" s="1" t="str">
        <f t="shared" si="0"/>
        <v xml:space="preserve">T </v>
      </c>
      <c r="C56" s="1">
        <f t="shared" si="1"/>
        <v>1</v>
      </c>
      <c r="D56" s="2" t="str">
        <f t="shared" si="2"/>
        <v>2024-11</v>
      </c>
      <c r="E56" s="28" t="s">
        <v>117</v>
      </c>
      <c r="F56" s="29" t="s">
        <v>97</v>
      </c>
      <c r="G56" s="5">
        <v>45598</v>
      </c>
      <c r="H56" s="6">
        <v>-125</v>
      </c>
      <c r="I56" s="6">
        <v>-105</v>
      </c>
      <c r="J56" s="30">
        <v>110</v>
      </c>
      <c r="K56" s="8">
        <v>9.2639593908629636E-2</v>
      </c>
      <c r="L56" s="9">
        <v>4.4114092337442679E-2</v>
      </c>
      <c r="M56" s="10">
        <v>-108.4656084656085</v>
      </c>
      <c r="N56" s="11">
        <v>2.1</v>
      </c>
      <c r="O56" s="12">
        <v>4474.7888970543136</v>
      </c>
      <c r="P56" s="13" t="s">
        <v>75</v>
      </c>
      <c r="Q56" s="13" t="s">
        <v>92</v>
      </c>
      <c r="R56" s="14"/>
      <c r="S56" s="13"/>
      <c r="T56" s="13">
        <v>196.91499999999999</v>
      </c>
      <c r="U56" s="13">
        <v>196.91499999999999</v>
      </c>
      <c r="V56" s="31" t="s">
        <v>77</v>
      </c>
      <c r="W56" s="15"/>
      <c r="X56" s="15"/>
      <c r="Y56" s="16"/>
      <c r="Z56" s="17"/>
      <c r="AA56" s="18"/>
      <c r="AB56" s="19">
        <v>216.61</v>
      </c>
      <c r="AC56" s="20">
        <v>18.242125634517805</v>
      </c>
      <c r="AD56" s="21">
        <v>45598</v>
      </c>
      <c r="AE56" s="22">
        <v>55888.606608648952</v>
      </c>
      <c r="AF56" s="23">
        <v>6483.6515333333446</v>
      </c>
      <c r="AG56" s="24">
        <v>106267.04153333345</v>
      </c>
      <c r="AH56" s="15">
        <v>0.5</v>
      </c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</row>
    <row r="57" spans="1:68" ht="15" customHeight="1" x14ac:dyDescent="0.25">
      <c r="A57" s="1">
        <f t="shared" si="3"/>
        <v>22</v>
      </c>
      <c r="B57" s="1" t="str">
        <f t="shared" si="0"/>
        <v xml:space="preserve">Wade </v>
      </c>
      <c r="C57" s="1">
        <f t="shared" si="1"/>
        <v>1</v>
      </c>
      <c r="D57" s="2" t="str">
        <f t="shared" si="2"/>
        <v>2024-11</v>
      </c>
      <c r="E57" s="28" t="s">
        <v>118</v>
      </c>
      <c r="F57" s="29" t="s">
        <v>83</v>
      </c>
      <c r="G57" s="5">
        <v>45598</v>
      </c>
      <c r="H57" s="6">
        <v>110</v>
      </c>
      <c r="I57" s="6">
        <v>-140</v>
      </c>
      <c r="J57" s="30">
        <v>148</v>
      </c>
      <c r="K57" s="8">
        <v>0.11460674157303387</v>
      </c>
      <c r="L57" s="9">
        <v>4.6212395795578176E-2</v>
      </c>
      <c r="M57" s="10">
        <v>122.49999999999999</v>
      </c>
      <c r="N57" s="11">
        <v>2.48</v>
      </c>
      <c r="O57" s="12">
        <v>4101.5347048284339</v>
      </c>
      <c r="P57" s="13" t="s">
        <v>75</v>
      </c>
      <c r="Q57" s="13" t="s">
        <v>92</v>
      </c>
      <c r="R57" s="14"/>
      <c r="S57" s="13"/>
      <c r="T57" s="13">
        <v>36.770000000000003</v>
      </c>
      <c r="U57" s="13">
        <v>36.770000000000003</v>
      </c>
      <c r="V57" s="31" t="s">
        <v>82</v>
      </c>
      <c r="W57" s="15"/>
      <c r="X57" s="15"/>
      <c r="Y57" s="16"/>
      <c r="Z57" s="17"/>
      <c r="AA57" s="18"/>
      <c r="AB57" s="19">
        <v>-36.770000000000003</v>
      </c>
      <c r="AC57" s="20">
        <v>4.2140898876404558</v>
      </c>
      <c r="AD57" s="21">
        <v>45598</v>
      </c>
      <c r="AE57" s="22">
        <v>56022.196083676346</v>
      </c>
      <c r="AF57" s="23">
        <v>5895.416533333344</v>
      </c>
      <c r="AG57" s="24">
        <v>105932.18653333346</v>
      </c>
      <c r="AH57" s="15">
        <v>0.5</v>
      </c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</row>
    <row r="58" spans="1:68" ht="15" customHeight="1" x14ac:dyDescent="0.25">
      <c r="A58" s="1">
        <f t="shared" si="3"/>
        <v>22</v>
      </c>
      <c r="B58" s="1" t="str">
        <f t="shared" si="0"/>
        <v xml:space="preserve">Wade </v>
      </c>
      <c r="C58" s="1">
        <f t="shared" si="1"/>
        <v>1</v>
      </c>
      <c r="D58" s="2" t="str">
        <f t="shared" si="2"/>
        <v>2024-11</v>
      </c>
      <c r="E58" s="28" t="s">
        <v>118</v>
      </c>
      <c r="F58" s="29" t="s">
        <v>97</v>
      </c>
      <c r="G58" s="5">
        <v>45598</v>
      </c>
      <c r="H58" s="6">
        <v>110</v>
      </c>
      <c r="I58" s="6">
        <v>-140</v>
      </c>
      <c r="J58" s="30">
        <v>148</v>
      </c>
      <c r="K58" s="8">
        <v>0.11460674157303387</v>
      </c>
      <c r="L58" s="9">
        <v>4.6212395795578176E-2</v>
      </c>
      <c r="M58" s="10">
        <v>122.49999999999999</v>
      </c>
      <c r="N58" s="11">
        <v>2.48</v>
      </c>
      <c r="O58" s="12">
        <v>4100.111025812339</v>
      </c>
      <c r="P58" s="13" t="s">
        <v>75</v>
      </c>
      <c r="Q58" s="13" t="s">
        <v>92</v>
      </c>
      <c r="R58" s="14"/>
      <c r="S58" s="13"/>
      <c r="T58" s="13">
        <v>25.74</v>
      </c>
      <c r="U58" s="13">
        <v>25.74</v>
      </c>
      <c r="V58" s="31" t="s">
        <v>82</v>
      </c>
      <c r="W58" s="15"/>
      <c r="X58" s="15"/>
      <c r="Y58" s="16"/>
      <c r="Z58" s="17"/>
      <c r="AA58" s="18"/>
      <c r="AB58" s="19">
        <v>-25.74</v>
      </c>
      <c r="AC58" s="20">
        <v>2.9499775280898914</v>
      </c>
      <c r="AD58" s="21">
        <v>45598</v>
      </c>
      <c r="AE58" s="22">
        <v>56025.146061204439</v>
      </c>
      <c r="AF58" s="23">
        <v>5869.6765333333442</v>
      </c>
      <c r="AG58" s="24">
        <v>105895.41653333345</v>
      </c>
      <c r="AH58" s="15">
        <v>0.5</v>
      </c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</row>
    <row r="59" spans="1:68" ht="15" customHeight="1" x14ac:dyDescent="0.25">
      <c r="A59" s="1">
        <f t="shared" si="3"/>
        <v>22</v>
      </c>
      <c r="B59" s="1" t="str">
        <f t="shared" si="0"/>
        <v xml:space="preserve">Wade </v>
      </c>
      <c r="C59" s="1">
        <f t="shared" si="1"/>
        <v>1</v>
      </c>
      <c r="D59" s="2" t="str">
        <f t="shared" si="2"/>
        <v>2024-11</v>
      </c>
      <c r="E59" s="28" t="s">
        <v>118</v>
      </c>
      <c r="F59" s="29" t="s">
        <v>74</v>
      </c>
      <c r="G59" s="5">
        <v>45598</v>
      </c>
      <c r="H59" s="6">
        <v>110</v>
      </c>
      <c r="I59" s="6">
        <v>-140</v>
      </c>
      <c r="J59" s="30">
        <v>148</v>
      </c>
      <c r="K59" s="8">
        <v>0.11460674157303387</v>
      </c>
      <c r="L59" s="9">
        <v>4.6212395795578176E-2</v>
      </c>
      <c r="M59" s="10">
        <v>122.49999999999999</v>
      </c>
      <c r="N59" s="11">
        <v>2.48</v>
      </c>
      <c r="O59" s="12">
        <v>4099.1144117825788</v>
      </c>
      <c r="P59" s="13" t="s">
        <v>75</v>
      </c>
      <c r="Q59" s="13" t="s">
        <v>92</v>
      </c>
      <c r="R59" s="14"/>
      <c r="S59" s="13"/>
      <c r="T59" s="13">
        <v>36.770000000000003</v>
      </c>
      <c r="U59" s="13">
        <v>36.770000000000003</v>
      </c>
      <c r="V59" s="31" t="s">
        <v>82</v>
      </c>
      <c r="W59" s="15"/>
      <c r="X59" s="15"/>
      <c r="Y59" s="16"/>
      <c r="Z59" s="17"/>
      <c r="AA59" s="18"/>
      <c r="AB59" s="19">
        <v>-36.770000000000003</v>
      </c>
      <c r="AC59" s="20">
        <v>4.2140898876404558</v>
      </c>
      <c r="AD59" s="21">
        <v>45598</v>
      </c>
      <c r="AE59" s="22">
        <v>56029.360151092078</v>
      </c>
      <c r="AF59" s="23">
        <v>5832.9065333333438</v>
      </c>
      <c r="AG59" s="24">
        <v>105869.67653333345</v>
      </c>
      <c r="AH59" s="15">
        <v>0.5</v>
      </c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</row>
    <row r="60" spans="1:68" ht="15" customHeight="1" x14ac:dyDescent="0.25">
      <c r="A60" s="1">
        <f t="shared" si="3"/>
        <v>23</v>
      </c>
      <c r="B60" s="1" t="str">
        <f t="shared" si="0"/>
        <v xml:space="preserve">Hawks </v>
      </c>
      <c r="C60" s="1">
        <f t="shared" si="1"/>
        <v>1</v>
      </c>
      <c r="D60" s="2" t="str">
        <f t="shared" si="2"/>
        <v>2024-11</v>
      </c>
      <c r="E60" s="28" t="s">
        <v>119</v>
      </c>
      <c r="F60" s="29" t="s">
        <v>74</v>
      </c>
      <c r="G60" s="5">
        <v>45599</v>
      </c>
      <c r="H60" s="6">
        <v>-123</v>
      </c>
      <c r="I60" s="6">
        <v>111</v>
      </c>
      <c r="J60" s="30">
        <v>-110</v>
      </c>
      <c r="K60" s="8">
        <v>2.6809449436021943E-2</v>
      </c>
      <c r="L60" s="9">
        <v>1.4043044942678162E-2</v>
      </c>
      <c r="M60" s="10">
        <v>-116.38116591928254</v>
      </c>
      <c r="N60" s="11">
        <v>1.9090909090909092</v>
      </c>
      <c r="O60" s="12">
        <v>1432.2545507215493</v>
      </c>
      <c r="P60" s="32" t="s">
        <v>75</v>
      </c>
      <c r="Q60" s="13" t="s">
        <v>92</v>
      </c>
      <c r="R60" s="14"/>
      <c r="S60" s="13"/>
      <c r="T60" s="13">
        <v>357</v>
      </c>
      <c r="U60" s="13">
        <v>357</v>
      </c>
      <c r="V60" s="31" t="s">
        <v>77</v>
      </c>
      <c r="W60" s="15"/>
      <c r="X60" s="15"/>
      <c r="Y60" s="16"/>
      <c r="Z60" s="17"/>
      <c r="AA60" s="18"/>
      <c r="AB60" s="19">
        <v>324.55</v>
      </c>
      <c r="AC60" s="20">
        <v>9.5709734486598332</v>
      </c>
      <c r="AD60" s="21">
        <v>45599</v>
      </c>
      <c r="AE60" s="22">
        <v>64095.569559294483</v>
      </c>
      <c r="AF60" s="23">
        <v>-2541.8184666666548</v>
      </c>
      <c r="AG60" s="24">
        <v>97133.631533333464</v>
      </c>
      <c r="AH60" s="15">
        <v>0.5</v>
      </c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</row>
    <row r="61" spans="1:68" ht="15" customHeight="1" x14ac:dyDescent="0.25">
      <c r="A61" s="1">
        <f t="shared" si="3"/>
        <v>23</v>
      </c>
      <c r="B61" s="1" t="str">
        <f t="shared" si="0"/>
        <v xml:space="preserve">Hawks </v>
      </c>
      <c r="C61" s="1">
        <f t="shared" si="1"/>
        <v>1</v>
      </c>
      <c r="D61" s="2" t="str">
        <f t="shared" si="2"/>
        <v>2024-11</v>
      </c>
      <c r="E61" s="28" t="s">
        <v>119</v>
      </c>
      <c r="F61" s="29" t="s">
        <v>74</v>
      </c>
      <c r="G61" s="5">
        <v>45599</v>
      </c>
      <c r="H61" s="6">
        <v>-123</v>
      </c>
      <c r="I61" s="6">
        <v>111</v>
      </c>
      <c r="J61" s="30">
        <v>-108</v>
      </c>
      <c r="K61" s="8">
        <v>3.5864206485722507E-2</v>
      </c>
      <c r="L61" s="9">
        <v>1.8621799521432836E-2</v>
      </c>
      <c r="M61" s="10">
        <v>-116.38116591928254</v>
      </c>
      <c r="N61" s="11">
        <v>1.925925925925926</v>
      </c>
      <c r="O61" s="12">
        <v>1887.4405869666296</v>
      </c>
      <c r="P61" s="32" t="s">
        <v>75</v>
      </c>
      <c r="Q61" s="13" t="s">
        <v>92</v>
      </c>
      <c r="R61" s="14"/>
      <c r="S61" s="13"/>
      <c r="T61" s="13">
        <v>465.92</v>
      </c>
      <c r="U61" s="13">
        <v>465.92</v>
      </c>
      <c r="V61" s="31" t="s">
        <v>77</v>
      </c>
      <c r="W61" s="15"/>
      <c r="X61" s="15"/>
      <c r="Y61" s="16"/>
      <c r="Z61" s="17"/>
      <c r="AA61" s="18"/>
      <c r="AB61" s="19">
        <v>431.41</v>
      </c>
      <c r="AC61" s="20">
        <v>16.709851085827832</v>
      </c>
      <c r="AD61" s="21">
        <v>45599</v>
      </c>
      <c r="AE61" s="22">
        <v>64112.27941038031</v>
      </c>
      <c r="AF61" s="23">
        <v>-2110.4084666666549</v>
      </c>
      <c r="AG61" s="24">
        <v>97458.181533333467</v>
      </c>
      <c r="AH61" s="15">
        <v>0.5</v>
      </c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</row>
    <row r="62" spans="1:68" ht="15" customHeight="1" x14ac:dyDescent="0.25">
      <c r="A62" s="1">
        <f t="shared" si="3"/>
        <v>23</v>
      </c>
      <c r="B62" s="1" t="str">
        <f t="shared" si="0"/>
        <v xml:space="preserve">Hawks </v>
      </c>
      <c r="C62" s="1">
        <f t="shared" si="1"/>
        <v>1</v>
      </c>
      <c r="D62" s="2" t="str">
        <f t="shared" si="2"/>
        <v>2024-11</v>
      </c>
      <c r="E62" s="28" t="s">
        <v>120</v>
      </c>
      <c r="F62" s="29" t="s">
        <v>74</v>
      </c>
      <c r="G62" s="5">
        <v>45599</v>
      </c>
      <c r="H62" s="6">
        <v>-110</v>
      </c>
      <c r="I62" s="6">
        <v>-101</v>
      </c>
      <c r="J62" s="30">
        <v>104</v>
      </c>
      <c r="K62" s="8">
        <v>4.1191135734072432E-2</v>
      </c>
      <c r="L62" s="9">
        <v>2.0191733202976681E-2</v>
      </c>
      <c r="M62" s="10">
        <v>-104.24328147100428</v>
      </c>
      <c r="N62" s="11">
        <v>2.04</v>
      </c>
      <c r="O62" s="12">
        <v>1938.5497364434839</v>
      </c>
      <c r="P62" s="32" t="s">
        <v>75</v>
      </c>
      <c r="Q62" s="13" t="s">
        <v>92</v>
      </c>
      <c r="R62" s="14"/>
      <c r="S62" s="13"/>
      <c r="T62" s="13">
        <v>312.25</v>
      </c>
      <c r="U62" s="13">
        <v>312.25</v>
      </c>
      <c r="V62" s="31" t="s">
        <v>82</v>
      </c>
      <c r="W62" s="15"/>
      <c r="X62" s="15"/>
      <c r="Y62" s="16"/>
      <c r="Z62" s="17"/>
      <c r="AA62" s="18"/>
      <c r="AB62" s="19">
        <v>-312.25</v>
      </c>
      <c r="AC62" s="20">
        <v>12.861932132964117</v>
      </c>
      <c r="AD62" s="21">
        <v>45599</v>
      </c>
      <c r="AE62" s="22">
        <v>64125.141342513271</v>
      </c>
      <c r="AF62" s="23">
        <v>-2422.6584666666549</v>
      </c>
      <c r="AG62" s="24">
        <v>97889.591533333471</v>
      </c>
      <c r="AH62" s="15">
        <v>0.5</v>
      </c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</row>
    <row r="63" spans="1:68" ht="15" customHeight="1" x14ac:dyDescent="0.25">
      <c r="A63" s="1">
        <f t="shared" si="3"/>
        <v>23</v>
      </c>
      <c r="B63" s="1" t="str">
        <f t="shared" si="0"/>
        <v xml:space="preserve">Hawks </v>
      </c>
      <c r="C63" s="1">
        <f t="shared" si="1"/>
        <v>1</v>
      </c>
      <c r="D63" s="2" t="str">
        <f t="shared" si="2"/>
        <v>2024-11</v>
      </c>
      <c r="E63" s="28" t="s">
        <v>120</v>
      </c>
      <c r="F63" s="29" t="s">
        <v>74</v>
      </c>
      <c r="G63" s="5">
        <v>45599</v>
      </c>
      <c r="H63" s="6">
        <v>-110</v>
      </c>
      <c r="I63" s="6">
        <v>-101</v>
      </c>
      <c r="J63" s="30">
        <v>106</v>
      </c>
      <c r="K63" s="8">
        <v>5.1398891966759355E-2</v>
      </c>
      <c r="L63" s="9">
        <v>2.4950918430465707E-2</v>
      </c>
      <c r="M63" s="10">
        <v>-104.24328147100428</v>
      </c>
      <c r="N63" s="11">
        <v>2.06</v>
      </c>
      <c r="O63" s="12">
        <v>2365.7392622053717</v>
      </c>
      <c r="P63" s="32" t="s">
        <v>75</v>
      </c>
      <c r="Q63" s="13" t="s">
        <v>92</v>
      </c>
      <c r="R63" s="14"/>
      <c r="S63" s="13"/>
      <c r="T63" s="13">
        <v>306.5</v>
      </c>
      <c r="U63" s="13">
        <v>306.5</v>
      </c>
      <c r="V63" s="31" t="s">
        <v>82</v>
      </c>
      <c r="W63" s="15"/>
      <c r="X63" s="15"/>
      <c r="Y63" s="16"/>
      <c r="Z63" s="17"/>
      <c r="AA63" s="18"/>
      <c r="AB63" s="19">
        <v>-306.5</v>
      </c>
      <c r="AC63" s="20">
        <v>15.753760387811742</v>
      </c>
      <c r="AD63" s="21">
        <v>45599</v>
      </c>
      <c r="AE63" s="22">
        <v>64140.895102901079</v>
      </c>
      <c r="AF63" s="23">
        <v>-2729.1584666666549</v>
      </c>
      <c r="AG63" s="24">
        <v>97577.341533333471</v>
      </c>
      <c r="AH63" s="15">
        <v>0.5</v>
      </c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</row>
    <row r="64" spans="1:68" ht="15" customHeight="1" x14ac:dyDescent="0.25">
      <c r="A64" s="1">
        <f t="shared" si="3"/>
        <v>23</v>
      </c>
      <c r="B64" s="1" t="str">
        <f t="shared" si="0"/>
        <v xml:space="preserve">Hawks </v>
      </c>
      <c r="C64" s="1">
        <f t="shared" si="1"/>
        <v>1</v>
      </c>
      <c r="D64" s="2" t="str">
        <f t="shared" si="2"/>
        <v>2024-11</v>
      </c>
      <c r="E64" s="28" t="s">
        <v>121</v>
      </c>
      <c r="F64" s="29" t="s">
        <v>74</v>
      </c>
      <c r="G64" s="5">
        <v>45599</v>
      </c>
      <c r="H64" s="6">
        <v>107</v>
      </c>
      <c r="I64" s="6">
        <v>-119</v>
      </c>
      <c r="J64" s="30">
        <v>118</v>
      </c>
      <c r="K64" s="8">
        <v>2.5981561472503346E-2</v>
      </c>
      <c r="L64" s="9">
        <v>1.1918147464451079E-2</v>
      </c>
      <c r="M64" s="10">
        <v>112.47945205479449</v>
      </c>
      <c r="N64" s="11">
        <v>2.1799999999999997</v>
      </c>
      <c r="O64" s="12">
        <v>1070.8679443984897</v>
      </c>
      <c r="P64" s="32" t="s">
        <v>75</v>
      </c>
      <c r="Q64" s="13" t="s">
        <v>92</v>
      </c>
      <c r="R64" s="14"/>
      <c r="S64" s="13"/>
      <c r="T64" s="13">
        <v>275.25</v>
      </c>
      <c r="U64" s="13">
        <v>275.25</v>
      </c>
      <c r="V64" s="31" t="s">
        <v>82</v>
      </c>
      <c r="W64" s="15"/>
      <c r="X64" s="15"/>
      <c r="Y64" s="16"/>
      <c r="Z64" s="17"/>
      <c r="AA64" s="18"/>
      <c r="AB64" s="19">
        <v>-275.25</v>
      </c>
      <c r="AC64" s="20">
        <v>7.1514247953065455</v>
      </c>
      <c r="AD64" s="21">
        <v>45599</v>
      </c>
      <c r="AE64" s="22">
        <v>64148.046527696388</v>
      </c>
      <c r="AF64" s="23">
        <v>-3004.4084666666549</v>
      </c>
      <c r="AG64" s="24">
        <v>97270.841533333471</v>
      </c>
      <c r="AH64" s="15">
        <v>0.5</v>
      </c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</row>
    <row r="65" spans="1:68" ht="15" customHeight="1" x14ac:dyDescent="0.25">
      <c r="A65" s="1">
        <f t="shared" si="3"/>
        <v>24</v>
      </c>
      <c r="B65" s="1" t="str">
        <f t="shared" si="0"/>
        <v xml:space="preserve">Magic </v>
      </c>
      <c r="C65" s="1">
        <f t="shared" si="1"/>
        <v>0</v>
      </c>
      <c r="D65" s="2" t="str">
        <f t="shared" si="2"/>
        <v>2024-11</v>
      </c>
      <c r="E65" s="28" t="s">
        <v>122</v>
      </c>
      <c r="F65" s="29" t="s">
        <v>74</v>
      </c>
      <c r="G65" s="5">
        <v>45599</v>
      </c>
      <c r="H65" s="6">
        <v>-116</v>
      </c>
      <c r="I65" s="6">
        <v>-114</v>
      </c>
      <c r="J65" s="30">
        <v>120</v>
      </c>
      <c r="K65" s="8">
        <v>0.10444911826565301</v>
      </c>
      <c r="L65" s="9">
        <v>4.7476871938933185E-2</v>
      </c>
      <c r="M65" s="10">
        <v>-100.81221572449645</v>
      </c>
      <c r="N65" s="11">
        <v>2.2000000000000002</v>
      </c>
      <c r="O65" s="12">
        <v>4632.695566650501</v>
      </c>
      <c r="P65" s="32" t="s">
        <v>75</v>
      </c>
      <c r="Q65" s="13" t="s">
        <v>76</v>
      </c>
      <c r="R65" s="14"/>
      <c r="S65" s="13"/>
      <c r="T65" s="13">
        <v>1289.3499999999999</v>
      </c>
      <c r="U65" s="13">
        <v>1289.3499999999999</v>
      </c>
      <c r="V65" s="31" t="s">
        <v>77</v>
      </c>
      <c r="W65" s="15"/>
      <c r="X65" s="15"/>
      <c r="Y65" s="16"/>
      <c r="Z65" s="17"/>
      <c r="AA65" s="18"/>
      <c r="AB65" s="19">
        <v>1547.22</v>
      </c>
      <c r="AC65" s="20">
        <v>134.6714706358197</v>
      </c>
      <c r="AD65" s="21">
        <v>45599</v>
      </c>
      <c r="AE65" s="22">
        <v>61866.191390343498</v>
      </c>
      <c r="AF65" s="23">
        <v>7995.8865333333451</v>
      </c>
      <c r="AG65" s="24">
        <v>106448.66653333344</v>
      </c>
      <c r="AH65" s="15">
        <v>0.5</v>
      </c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</row>
    <row r="66" spans="1:68" ht="15" customHeight="1" x14ac:dyDescent="0.25">
      <c r="A66" s="1">
        <f t="shared" si="3"/>
        <v>25</v>
      </c>
      <c r="B66" s="1" t="str">
        <f t="shared" ref="B66:B129" si="4">LEFT(E66, FIND(" ", E66))</f>
        <v xml:space="preserve">Jazz </v>
      </c>
      <c r="C66" s="1">
        <f t="shared" ref="C66:C129" si="5">IF(Q66="total", 1, 0)</f>
        <v>1</v>
      </c>
      <c r="D66" s="2" t="str">
        <f t="shared" ref="D66:D129" si="6">YEAR(G66)&amp;"-"&amp;IF(MONTH(G66)&lt;10, "0", "")&amp;MONTH(G66)</f>
        <v>2024-11</v>
      </c>
      <c r="E66" s="28" t="s">
        <v>123</v>
      </c>
      <c r="F66" s="29" t="s">
        <v>97</v>
      </c>
      <c r="G66" s="5">
        <v>45600</v>
      </c>
      <c r="H66" s="6">
        <v>-133</v>
      </c>
      <c r="I66" s="6">
        <v>116</v>
      </c>
      <c r="J66" s="30">
        <v>-108</v>
      </c>
      <c r="K66" s="8">
        <v>6.342738525409411E-2</v>
      </c>
      <c r="L66" s="9">
        <v>3.2933450035779632E-2</v>
      </c>
      <c r="M66" s="10">
        <v>-123.2961373390558</v>
      </c>
      <c r="N66" s="11">
        <v>1.925925925925926</v>
      </c>
      <c r="O66" s="12">
        <v>3539.8998280233855</v>
      </c>
      <c r="P66" s="32" t="s">
        <v>75</v>
      </c>
      <c r="Q66" s="13" t="s">
        <v>92</v>
      </c>
      <c r="R66" s="14"/>
      <c r="S66" s="13"/>
      <c r="T66" s="13">
        <v>246.215</v>
      </c>
      <c r="U66" s="13">
        <v>246.215</v>
      </c>
      <c r="V66" s="31" t="s">
        <v>82</v>
      </c>
      <c r="W66" s="15"/>
      <c r="X66" s="15"/>
      <c r="Y66" s="16"/>
      <c r="Z66" s="17"/>
      <c r="AA66" s="18"/>
      <c r="AB66" s="19">
        <v>-246.215</v>
      </c>
      <c r="AC66" s="20">
        <v>15.616773660336781</v>
      </c>
      <c r="AD66" s="21">
        <v>45600</v>
      </c>
      <c r="AE66" s="22">
        <v>64516.264290944564</v>
      </c>
      <c r="AF66" s="23">
        <v>3106.1465333333449</v>
      </c>
      <c r="AG66" s="24">
        <v>103352.36153333347</v>
      </c>
      <c r="AH66" s="15">
        <v>0.5</v>
      </c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</row>
    <row r="67" spans="1:68" ht="15" customHeight="1" x14ac:dyDescent="0.25">
      <c r="A67" s="1">
        <f t="shared" si="3"/>
        <v>25</v>
      </c>
      <c r="B67" s="1" t="str">
        <f t="shared" si="4"/>
        <v xml:space="preserve">Jazz </v>
      </c>
      <c r="C67" s="1">
        <f t="shared" si="5"/>
        <v>1</v>
      </c>
      <c r="D67" s="2" t="str">
        <f t="shared" si="6"/>
        <v>2024-11</v>
      </c>
      <c r="E67" s="28" t="s">
        <v>123</v>
      </c>
      <c r="F67" s="29" t="s">
        <v>83</v>
      </c>
      <c r="G67" s="5">
        <v>45600</v>
      </c>
      <c r="H67" s="6">
        <v>-133</v>
      </c>
      <c r="I67" s="6">
        <v>116</v>
      </c>
      <c r="J67" s="30">
        <v>-108</v>
      </c>
      <c r="K67" s="8">
        <v>6.342738525409411E-2</v>
      </c>
      <c r="L67" s="9">
        <v>3.2933450035779632E-2</v>
      </c>
      <c r="M67" s="10">
        <v>-123.2961373390558</v>
      </c>
      <c r="N67" s="11">
        <v>1.925925925925926</v>
      </c>
      <c r="O67" s="12">
        <v>3531.4667702468037</v>
      </c>
      <c r="P67" s="32" t="s">
        <v>75</v>
      </c>
      <c r="Q67" s="13" t="s">
        <v>92</v>
      </c>
      <c r="R67" s="14"/>
      <c r="S67" s="13"/>
      <c r="T67" s="13">
        <v>351.74</v>
      </c>
      <c r="U67" s="13">
        <v>351.74</v>
      </c>
      <c r="V67" s="31" t="s">
        <v>82</v>
      </c>
      <c r="W67" s="15"/>
      <c r="X67" s="15"/>
      <c r="Y67" s="16"/>
      <c r="Z67" s="17"/>
      <c r="AA67" s="18"/>
      <c r="AB67" s="19">
        <v>-351.74</v>
      </c>
      <c r="AC67" s="20">
        <v>22.309948489275062</v>
      </c>
      <c r="AD67" s="21">
        <v>45600</v>
      </c>
      <c r="AE67" s="22">
        <v>64538.574239433838</v>
      </c>
      <c r="AF67" s="23">
        <v>2754.4065333333447</v>
      </c>
      <c r="AG67" s="24">
        <v>103106.14653333348</v>
      </c>
      <c r="AH67" s="15">
        <v>0.5</v>
      </c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</row>
    <row r="68" spans="1:68" ht="15" customHeight="1" x14ac:dyDescent="0.25">
      <c r="A68" s="1">
        <f t="shared" ref="A68:A131" si="7">IF(AND(B68=B67, C68=C67, G68=G67), A67, A67+1)</f>
        <v>26</v>
      </c>
      <c r="B68" s="1" t="str">
        <f t="shared" si="4"/>
        <v xml:space="preserve">Lakers </v>
      </c>
      <c r="C68" s="1">
        <f t="shared" si="5"/>
        <v>1</v>
      </c>
      <c r="D68" s="2" t="str">
        <f t="shared" si="6"/>
        <v>2024-11</v>
      </c>
      <c r="E68" s="28" t="s">
        <v>124</v>
      </c>
      <c r="F68" s="29" t="s">
        <v>74</v>
      </c>
      <c r="G68" s="5">
        <v>45600</v>
      </c>
      <c r="H68" s="6">
        <v>-134</v>
      </c>
      <c r="I68" s="6">
        <v>122</v>
      </c>
      <c r="J68" s="30">
        <v>-121</v>
      </c>
      <c r="K68" s="8">
        <v>2.2298561882707731E-2</v>
      </c>
      <c r="L68" s="9">
        <v>1.2208714876957627E-2</v>
      </c>
      <c r="M68" s="10">
        <v>-127.12820512820515</v>
      </c>
      <c r="N68" s="11">
        <v>1.8264462809917354</v>
      </c>
      <c r="O68" s="12">
        <v>1287.7116093625389</v>
      </c>
      <c r="P68" s="32" t="s">
        <v>75</v>
      </c>
      <c r="Q68" s="13" t="s">
        <v>92</v>
      </c>
      <c r="R68" s="14"/>
      <c r="S68" s="13"/>
      <c r="T68" s="13">
        <v>446.495</v>
      </c>
      <c r="U68" s="13">
        <v>446.495</v>
      </c>
      <c r="V68" s="31" t="s">
        <v>82</v>
      </c>
      <c r="W68" s="15"/>
      <c r="X68" s="15"/>
      <c r="Y68" s="16"/>
      <c r="Z68" s="17"/>
      <c r="AA68" s="18"/>
      <c r="AB68" s="19">
        <v>-446.495</v>
      </c>
      <c r="AC68" s="20">
        <v>9.9561963878195883</v>
      </c>
      <c r="AD68" s="21">
        <v>45600</v>
      </c>
      <c r="AE68" s="22">
        <v>64811.230658625354</v>
      </c>
      <c r="AF68" s="23">
        <v>-4994.1984666666549</v>
      </c>
      <c r="AG68" s="24">
        <v>95452.296533333487</v>
      </c>
      <c r="AH68" s="15">
        <v>0.5</v>
      </c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</row>
    <row r="69" spans="1:68" ht="15" customHeight="1" x14ac:dyDescent="0.25">
      <c r="A69" s="1">
        <f t="shared" si="7"/>
        <v>26</v>
      </c>
      <c r="B69" s="1" t="str">
        <f t="shared" si="4"/>
        <v xml:space="preserve">Lakers </v>
      </c>
      <c r="C69" s="1">
        <f t="shared" si="5"/>
        <v>1</v>
      </c>
      <c r="D69" s="2" t="str">
        <f t="shared" si="6"/>
        <v>2024-11</v>
      </c>
      <c r="E69" s="28" t="s">
        <v>125</v>
      </c>
      <c r="F69" s="29" t="s">
        <v>74</v>
      </c>
      <c r="G69" s="5">
        <v>45600</v>
      </c>
      <c r="H69" s="6">
        <v>-125</v>
      </c>
      <c r="I69" s="6">
        <v>113</v>
      </c>
      <c r="J69" s="30">
        <v>-112</v>
      </c>
      <c r="K69" s="8">
        <v>2.5899672846237773E-2</v>
      </c>
      <c r="L69" s="9">
        <v>1.3682846031974671E-2</v>
      </c>
      <c r="M69" s="10">
        <v>-118.33333333333334</v>
      </c>
      <c r="N69" s="11">
        <v>1.8928571428571428</v>
      </c>
      <c r="O69" s="12">
        <v>1377.9467397964422</v>
      </c>
      <c r="P69" s="32" t="s">
        <v>75</v>
      </c>
      <c r="Q69" s="13" t="s">
        <v>92</v>
      </c>
      <c r="R69" s="14"/>
      <c r="S69" s="13"/>
      <c r="T69" s="13">
        <v>431.61500000000001</v>
      </c>
      <c r="U69" s="13">
        <v>431.61500000000001</v>
      </c>
      <c r="V69" s="31" t="s">
        <v>82</v>
      </c>
      <c r="W69" s="15"/>
      <c r="X69" s="15"/>
      <c r="Y69" s="16"/>
      <c r="Z69" s="17"/>
      <c r="AA69" s="18"/>
      <c r="AB69" s="19">
        <v>-431.61500000000001</v>
      </c>
      <c r="AC69" s="20">
        <v>11.178687295528917</v>
      </c>
      <c r="AD69" s="21">
        <v>45600</v>
      </c>
      <c r="AE69" s="22">
        <v>64822.409345920882</v>
      </c>
      <c r="AF69" s="23">
        <v>-5425.8134666666547</v>
      </c>
      <c r="AG69" s="24">
        <v>95005.801533333492</v>
      </c>
      <c r="AH69" s="15">
        <v>0.5</v>
      </c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</row>
    <row r="70" spans="1:68" ht="15" customHeight="1" x14ac:dyDescent="0.25">
      <c r="A70" s="1">
        <f t="shared" si="7"/>
        <v>26</v>
      </c>
      <c r="B70" s="1" t="str">
        <f t="shared" si="4"/>
        <v xml:space="preserve">Lakers </v>
      </c>
      <c r="C70" s="1">
        <f t="shared" si="5"/>
        <v>1</v>
      </c>
      <c r="D70" s="2" t="str">
        <f t="shared" si="6"/>
        <v>2024-11</v>
      </c>
      <c r="E70" s="28" t="s">
        <v>126</v>
      </c>
      <c r="F70" s="29" t="s">
        <v>74</v>
      </c>
      <c r="G70" s="5">
        <v>45600</v>
      </c>
      <c r="H70" s="6">
        <v>-118</v>
      </c>
      <c r="I70" s="6">
        <v>106</v>
      </c>
      <c r="J70" s="30">
        <v>-105</v>
      </c>
      <c r="K70" s="8">
        <v>2.9289411609182647E-2</v>
      </c>
      <c r="L70" s="9">
        <v>1.500189375104477E-2</v>
      </c>
      <c r="M70" s="10">
        <v>-111.50458715596332</v>
      </c>
      <c r="N70" s="11">
        <v>1.9523809523809523</v>
      </c>
      <c r="O70" s="12">
        <v>1454.2616954136722</v>
      </c>
      <c r="P70" s="32" t="s">
        <v>75</v>
      </c>
      <c r="Q70" s="13" t="s">
        <v>92</v>
      </c>
      <c r="R70" s="14"/>
      <c r="S70" s="13"/>
      <c r="T70" s="13">
        <v>404.64</v>
      </c>
      <c r="U70" s="13">
        <v>404.64</v>
      </c>
      <c r="V70" s="31" t="s">
        <v>82</v>
      </c>
      <c r="W70" s="15"/>
      <c r="X70" s="15"/>
      <c r="Y70" s="16"/>
      <c r="Z70" s="17"/>
      <c r="AA70" s="18"/>
      <c r="AB70" s="19">
        <v>-404.64</v>
      </c>
      <c r="AC70" s="20">
        <v>11.851667513539665</v>
      </c>
      <c r="AD70" s="21">
        <v>45600</v>
      </c>
      <c r="AE70" s="22">
        <v>64834.261013434421</v>
      </c>
      <c r="AF70" s="23">
        <v>-5830.453466666655</v>
      </c>
      <c r="AG70" s="24">
        <v>94574.186533333486</v>
      </c>
      <c r="AH70" s="15">
        <v>0.5</v>
      </c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</row>
    <row r="71" spans="1:68" ht="15" customHeight="1" x14ac:dyDescent="0.25">
      <c r="A71" s="1">
        <f t="shared" si="7"/>
        <v>26</v>
      </c>
      <c r="B71" s="1" t="str">
        <f t="shared" si="4"/>
        <v xml:space="preserve">Lakers </v>
      </c>
      <c r="C71" s="1">
        <f t="shared" si="5"/>
        <v>1</v>
      </c>
      <c r="D71" s="2" t="str">
        <f t="shared" si="6"/>
        <v>2024-11</v>
      </c>
      <c r="E71" s="28" t="s">
        <v>127</v>
      </c>
      <c r="F71" s="29" t="s">
        <v>74</v>
      </c>
      <c r="G71" s="5">
        <v>45600</v>
      </c>
      <c r="H71" s="6">
        <v>-111</v>
      </c>
      <c r="I71" s="6">
        <v>-100</v>
      </c>
      <c r="J71" s="30">
        <v>102</v>
      </c>
      <c r="K71" s="8">
        <v>3.5658198614318466E-2</v>
      </c>
      <c r="L71" s="9">
        <v>1.7652573571444785E-2</v>
      </c>
      <c r="M71" s="10">
        <v>-105.21327014218008</v>
      </c>
      <c r="N71" s="11">
        <v>2.02</v>
      </c>
      <c r="O71" s="12">
        <v>1646.0374478950541</v>
      </c>
      <c r="P71" s="32" t="s">
        <v>75</v>
      </c>
      <c r="Q71" s="13" t="s">
        <v>92</v>
      </c>
      <c r="R71" s="14"/>
      <c r="S71" s="13"/>
      <c r="T71" s="13">
        <v>380.83499999999998</v>
      </c>
      <c r="U71" s="13">
        <v>380.83499999999998</v>
      </c>
      <c r="V71" s="31" t="s">
        <v>82</v>
      </c>
      <c r="W71" s="15"/>
      <c r="X71" s="15"/>
      <c r="Y71" s="16"/>
      <c r="Z71" s="17"/>
      <c r="AA71" s="18"/>
      <c r="AB71" s="19">
        <v>-380.83499999999998</v>
      </c>
      <c r="AC71" s="20">
        <v>13.579890069283973</v>
      </c>
      <c r="AD71" s="21">
        <v>45600</v>
      </c>
      <c r="AE71" s="22">
        <v>64847.840903503704</v>
      </c>
      <c r="AF71" s="23">
        <v>-6211.288466666655</v>
      </c>
      <c r="AG71" s="24">
        <v>94169.546533333487</v>
      </c>
      <c r="AH71" s="15">
        <v>0.5</v>
      </c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</row>
    <row r="72" spans="1:68" ht="15" customHeight="1" x14ac:dyDescent="0.25">
      <c r="A72" s="1">
        <f t="shared" si="7"/>
        <v>26</v>
      </c>
      <c r="B72" s="1" t="str">
        <f t="shared" si="4"/>
        <v xml:space="preserve">Lakers </v>
      </c>
      <c r="C72" s="1">
        <f t="shared" si="5"/>
        <v>1</v>
      </c>
      <c r="D72" s="2" t="str">
        <f t="shared" si="6"/>
        <v>2024-11</v>
      </c>
      <c r="E72" s="28" t="s">
        <v>128</v>
      </c>
      <c r="F72" s="29" t="s">
        <v>74</v>
      </c>
      <c r="G72" s="5">
        <v>45600</v>
      </c>
      <c r="H72" s="6">
        <v>-104</v>
      </c>
      <c r="I72" s="6">
        <v>-106</v>
      </c>
      <c r="J72" s="30">
        <v>112</v>
      </c>
      <c r="K72" s="8">
        <v>5.5075264820665298E-2</v>
      </c>
      <c r="L72" s="9">
        <v>2.5978898500313818E-2</v>
      </c>
      <c r="M72" s="10">
        <v>100.93353248693055</v>
      </c>
      <c r="N72" s="11">
        <v>2.12</v>
      </c>
      <c r="O72" s="12">
        <v>2305.9991628961279</v>
      </c>
      <c r="P72" s="32" t="s">
        <v>75</v>
      </c>
      <c r="Q72" s="13" t="s">
        <v>92</v>
      </c>
      <c r="R72" s="14"/>
      <c r="S72" s="13"/>
      <c r="T72" s="13">
        <v>346.83</v>
      </c>
      <c r="U72" s="13">
        <v>346.83</v>
      </c>
      <c r="V72" s="31" t="s">
        <v>82</v>
      </c>
      <c r="W72" s="15"/>
      <c r="X72" s="15"/>
      <c r="Y72" s="16"/>
      <c r="Z72" s="17"/>
      <c r="AA72" s="18"/>
      <c r="AB72" s="19">
        <v>-346.83</v>
      </c>
      <c r="AC72" s="20">
        <v>19.101754097751346</v>
      </c>
      <c r="AD72" s="21">
        <v>45600</v>
      </c>
      <c r="AE72" s="22">
        <v>64866.942657601452</v>
      </c>
      <c r="AF72" s="23">
        <v>-6558.118466666655</v>
      </c>
      <c r="AG72" s="24">
        <v>93788.71153333348</v>
      </c>
      <c r="AH72" s="15">
        <v>0.5</v>
      </c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</row>
    <row r="73" spans="1:68" ht="15" customHeight="1" x14ac:dyDescent="0.25">
      <c r="A73" s="1">
        <f t="shared" si="7"/>
        <v>26</v>
      </c>
      <c r="B73" s="1" t="str">
        <f t="shared" si="4"/>
        <v xml:space="preserve">Lakers </v>
      </c>
      <c r="C73" s="1">
        <f t="shared" si="5"/>
        <v>1</v>
      </c>
      <c r="D73" s="2" t="str">
        <f t="shared" si="6"/>
        <v>2024-11</v>
      </c>
      <c r="E73" s="28" t="s">
        <v>129</v>
      </c>
      <c r="F73" s="29" t="s">
        <v>74</v>
      </c>
      <c r="G73" s="5">
        <v>45600</v>
      </c>
      <c r="H73" s="6">
        <v>-100</v>
      </c>
      <c r="I73" s="6">
        <v>-115</v>
      </c>
      <c r="J73" s="30">
        <v>120</v>
      </c>
      <c r="K73" s="8">
        <v>6.292134831460669E-2</v>
      </c>
      <c r="L73" s="9">
        <v>2.8600612870275766E-2</v>
      </c>
      <c r="M73" s="10">
        <v>106.97674418604653</v>
      </c>
      <c r="N73" s="11">
        <v>2.2000000000000002</v>
      </c>
      <c r="O73" s="12">
        <v>2449.7871563046206</v>
      </c>
      <c r="P73" s="32" t="s">
        <v>75</v>
      </c>
      <c r="Q73" s="13" t="s">
        <v>92</v>
      </c>
      <c r="R73" s="14"/>
      <c r="S73" s="13"/>
      <c r="T73" s="13">
        <v>323.70999999999998</v>
      </c>
      <c r="U73" s="13">
        <v>323.70999999999998</v>
      </c>
      <c r="V73" s="31" t="s">
        <v>82</v>
      </c>
      <c r="W73" s="15"/>
      <c r="X73" s="15"/>
      <c r="Y73" s="16"/>
      <c r="Z73" s="17"/>
      <c r="AA73" s="18"/>
      <c r="AB73" s="19">
        <v>-323.70999999999998</v>
      </c>
      <c r="AC73" s="20">
        <v>20.368269662921332</v>
      </c>
      <c r="AD73" s="21">
        <v>45600</v>
      </c>
      <c r="AE73" s="22">
        <v>64887.310927264371</v>
      </c>
      <c r="AF73" s="23">
        <v>-6881.828466666655</v>
      </c>
      <c r="AG73" s="24">
        <v>93441.881533333479</v>
      </c>
      <c r="AH73" s="15">
        <v>0.5</v>
      </c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</row>
    <row r="74" spans="1:68" ht="15" customHeight="1" x14ac:dyDescent="0.25">
      <c r="A74" s="1">
        <f t="shared" si="7"/>
        <v>26</v>
      </c>
      <c r="B74" s="1" t="str">
        <f t="shared" si="4"/>
        <v xml:space="preserve">Lakers </v>
      </c>
      <c r="C74" s="1">
        <f t="shared" si="5"/>
        <v>1</v>
      </c>
      <c r="D74" s="2" t="str">
        <f t="shared" si="6"/>
        <v>2024-11</v>
      </c>
      <c r="E74" s="28" t="s">
        <v>130</v>
      </c>
      <c r="F74" s="29" t="s">
        <v>74</v>
      </c>
      <c r="G74" s="5">
        <v>45600</v>
      </c>
      <c r="H74" s="6">
        <v>108</v>
      </c>
      <c r="I74" s="6">
        <v>-125</v>
      </c>
      <c r="J74" s="30">
        <v>128</v>
      </c>
      <c r="K74" s="8">
        <v>5.7731958762886441E-2</v>
      </c>
      <c r="L74" s="9">
        <v>2.5321034545125631E-2</v>
      </c>
      <c r="M74" s="10">
        <v>115.55555555555556</v>
      </c>
      <c r="N74" s="11">
        <v>2.2800000000000002</v>
      </c>
      <c r="O74" s="12">
        <v>2099.9587652491377</v>
      </c>
      <c r="P74" s="32" t="s">
        <v>75</v>
      </c>
      <c r="Q74" s="13" t="s">
        <v>92</v>
      </c>
      <c r="R74" s="14"/>
      <c r="S74" s="13"/>
      <c r="T74" s="13">
        <v>303.48</v>
      </c>
      <c r="U74" s="13">
        <v>303.48</v>
      </c>
      <c r="V74" s="31" t="s">
        <v>82</v>
      </c>
      <c r="W74" s="15"/>
      <c r="X74" s="15"/>
      <c r="Y74" s="16"/>
      <c r="Z74" s="17"/>
      <c r="AA74" s="18"/>
      <c r="AB74" s="19">
        <v>-303.48</v>
      </c>
      <c r="AC74" s="20">
        <v>17.52049484536078</v>
      </c>
      <c r="AD74" s="21">
        <v>45600</v>
      </c>
      <c r="AE74" s="22">
        <v>64904.831422109732</v>
      </c>
      <c r="AF74" s="23">
        <v>-7185.3084666666546</v>
      </c>
      <c r="AG74" s="24">
        <v>93118.171533333472</v>
      </c>
      <c r="AH74" s="15">
        <v>0.5</v>
      </c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</row>
    <row r="75" spans="1:68" ht="15" customHeight="1" x14ac:dyDescent="0.25">
      <c r="A75" s="1">
        <f t="shared" si="7"/>
        <v>27</v>
      </c>
      <c r="B75" s="1" t="str">
        <f t="shared" si="4"/>
        <v xml:space="preserve">Magic </v>
      </c>
      <c r="C75" s="1">
        <f t="shared" si="5"/>
        <v>1</v>
      </c>
      <c r="D75" s="2" t="str">
        <f t="shared" si="6"/>
        <v>2024-11</v>
      </c>
      <c r="E75" s="28" t="s">
        <v>131</v>
      </c>
      <c r="F75" s="29" t="s">
        <v>74</v>
      </c>
      <c r="G75" s="5">
        <v>45600</v>
      </c>
      <c r="H75" s="6">
        <v>113</v>
      </c>
      <c r="I75" s="6">
        <v>-107</v>
      </c>
      <c r="J75" s="30">
        <v>114</v>
      </c>
      <c r="K75" s="8">
        <v>1.8555563219976527E-2</v>
      </c>
      <c r="L75" s="9">
        <v>8.6708239345684723E-3</v>
      </c>
      <c r="M75" s="10">
        <v>110.1014492753623</v>
      </c>
      <c r="N75" s="11">
        <v>2.1399999999999997</v>
      </c>
      <c r="O75" s="12">
        <v>766.39816140020116</v>
      </c>
      <c r="P75" s="13" t="s">
        <v>75</v>
      </c>
      <c r="Q75" s="13" t="s">
        <v>92</v>
      </c>
      <c r="R75" s="14"/>
      <c r="S75" s="13"/>
      <c r="T75" s="13">
        <v>272.60000000000002</v>
      </c>
      <c r="U75" s="13">
        <v>272.60000000000002</v>
      </c>
      <c r="V75" s="31" t="s">
        <v>82</v>
      </c>
      <c r="W75" s="15"/>
      <c r="X75" s="15"/>
      <c r="Y75" s="16"/>
      <c r="Z75" s="17"/>
      <c r="AA75" s="18"/>
      <c r="AB75" s="19">
        <v>-272.60000000000002</v>
      </c>
      <c r="AC75" s="20">
        <v>5.058246533765602</v>
      </c>
      <c r="AD75" s="21">
        <v>45600</v>
      </c>
      <c r="AE75" s="22">
        <v>66162.429680071975</v>
      </c>
      <c r="AF75" s="23">
        <v>-6102.0384666666532</v>
      </c>
      <c r="AG75" s="24">
        <v>94170.561533333443</v>
      </c>
      <c r="AH75" s="15">
        <v>0.5</v>
      </c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</row>
    <row r="76" spans="1:68" ht="15" customHeight="1" x14ac:dyDescent="0.25">
      <c r="A76" s="1">
        <f t="shared" si="7"/>
        <v>28</v>
      </c>
      <c r="B76" s="1" t="str">
        <f t="shared" si="4"/>
        <v xml:space="preserve">Nuggets </v>
      </c>
      <c r="C76" s="1">
        <f t="shared" si="5"/>
        <v>0</v>
      </c>
      <c r="D76" s="2" t="str">
        <f t="shared" si="6"/>
        <v>2024-11</v>
      </c>
      <c r="E76" s="3" t="s">
        <v>132</v>
      </c>
      <c r="F76" s="4" t="s">
        <v>97</v>
      </c>
      <c r="G76" s="5">
        <v>45600</v>
      </c>
      <c r="H76" s="6">
        <v>-127</v>
      </c>
      <c r="I76" s="6">
        <v>112</v>
      </c>
      <c r="J76" s="30">
        <v>-108</v>
      </c>
      <c r="K76" s="8">
        <v>4.4930469724924114E-2</v>
      </c>
      <c r="L76" s="9">
        <v>2.3329282357172132E-2</v>
      </c>
      <c r="M76" s="10">
        <v>-118.60792951541849</v>
      </c>
      <c r="N76" s="11">
        <v>1.925925925925926</v>
      </c>
      <c r="O76" s="12">
        <v>2509.7001149873799</v>
      </c>
      <c r="P76" s="32" t="s">
        <v>75</v>
      </c>
      <c r="Q76" s="13" t="s">
        <v>76</v>
      </c>
      <c r="R76" s="14"/>
      <c r="S76" s="13"/>
      <c r="T76" s="13">
        <v>525.29</v>
      </c>
      <c r="U76" s="13">
        <v>525.29</v>
      </c>
      <c r="V76" s="31" t="s">
        <v>82</v>
      </c>
      <c r="W76" s="15"/>
      <c r="X76" s="15"/>
      <c r="Y76" s="16"/>
      <c r="Z76" s="17"/>
      <c r="AA76" s="18"/>
      <c r="AB76" s="19">
        <v>-525.29</v>
      </c>
      <c r="AC76" s="20">
        <v>23.601526441805387</v>
      </c>
      <c r="AD76" s="21">
        <v>45600</v>
      </c>
      <c r="AE76" s="22">
        <v>64417.22527892761</v>
      </c>
      <c r="AF76" s="23">
        <v>2914.3765333333445</v>
      </c>
      <c r="AG76" s="24">
        <v>103439.66653333347</v>
      </c>
      <c r="AH76" s="15">
        <v>0.5</v>
      </c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</row>
    <row r="77" spans="1:68" ht="15" customHeight="1" x14ac:dyDescent="0.25">
      <c r="A77" s="1">
        <f t="shared" si="7"/>
        <v>28</v>
      </c>
      <c r="B77" s="1" t="str">
        <f t="shared" si="4"/>
        <v xml:space="preserve">Nuggets </v>
      </c>
      <c r="C77" s="1">
        <f t="shared" si="5"/>
        <v>0</v>
      </c>
      <c r="D77" s="2" t="str">
        <f t="shared" si="6"/>
        <v>2024-11</v>
      </c>
      <c r="E77" s="3" t="s">
        <v>132</v>
      </c>
      <c r="F77" s="4" t="s">
        <v>83</v>
      </c>
      <c r="G77" s="5">
        <v>45600</v>
      </c>
      <c r="H77" s="6">
        <v>-127</v>
      </c>
      <c r="I77" s="6">
        <v>112</v>
      </c>
      <c r="J77" s="30">
        <v>-108</v>
      </c>
      <c r="K77" s="8">
        <v>4.4930469724924114E-2</v>
      </c>
      <c r="L77" s="9">
        <v>2.3329282357172132E-2</v>
      </c>
      <c r="M77" s="10">
        <v>-118.60792951541849</v>
      </c>
      <c r="N77" s="11">
        <v>1.925925925925926</v>
      </c>
      <c r="O77" s="12">
        <v>2496.955290708805</v>
      </c>
      <c r="P77" s="32" t="s">
        <v>75</v>
      </c>
      <c r="Q77" s="13" t="s">
        <v>76</v>
      </c>
      <c r="R77" s="14"/>
      <c r="S77" s="13"/>
      <c r="T77" s="13">
        <v>1000</v>
      </c>
      <c r="U77" s="13">
        <v>1000</v>
      </c>
      <c r="V77" s="31" t="s">
        <v>82</v>
      </c>
      <c r="W77" s="15"/>
      <c r="X77" s="15"/>
      <c r="Y77" s="16"/>
      <c r="Z77" s="17"/>
      <c r="AA77" s="18"/>
      <c r="AB77" s="19">
        <v>-1000</v>
      </c>
      <c r="AC77" s="20">
        <v>44.930469724924116</v>
      </c>
      <c r="AD77" s="21">
        <v>45600</v>
      </c>
      <c r="AE77" s="22">
        <v>64462.155748652534</v>
      </c>
      <c r="AF77" s="23">
        <v>1914.3765333333445</v>
      </c>
      <c r="AG77" s="24">
        <v>102914.37653333347</v>
      </c>
      <c r="AH77" s="15">
        <v>0.5</v>
      </c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</row>
    <row r="78" spans="1:68" ht="15" customHeight="1" x14ac:dyDescent="0.25">
      <c r="A78" s="1">
        <f t="shared" si="7"/>
        <v>28</v>
      </c>
      <c r="B78" s="1" t="str">
        <f t="shared" si="4"/>
        <v xml:space="preserve">Nuggets </v>
      </c>
      <c r="C78" s="1">
        <f t="shared" si="5"/>
        <v>0</v>
      </c>
      <c r="D78" s="2" t="str">
        <f t="shared" si="6"/>
        <v>2024-11</v>
      </c>
      <c r="E78" s="3" t="s">
        <v>133</v>
      </c>
      <c r="F78" s="4" t="s">
        <v>83</v>
      </c>
      <c r="G78" s="5">
        <v>45600</v>
      </c>
      <c r="H78" s="6">
        <v>-139</v>
      </c>
      <c r="I78" s="6">
        <v>122</v>
      </c>
      <c r="J78" s="30">
        <v>-115</v>
      </c>
      <c r="K78" s="42">
        <v>5.3563743713445765E-2</v>
      </c>
      <c r="L78" s="43">
        <v>2.8650374544401225E-2</v>
      </c>
      <c r="M78" s="44">
        <v>-129.11297071129707</v>
      </c>
      <c r="N78" s="11">
        <v>1.8695652173913042</v>
      </c>
      <c r="O78" s="45">
        <v>3138.8764385745744</v>
      </c>
      <c r="P78" s="32" t="s">
        <v>75</v>
      </c>
      <c r="Q78" s="13" t="s">
        <v>76</v>
      </c>
      <c r="R78" s="14"/>
      <c r="S78" s="13"/>
      <c r="T78" s="13">
        <v>1506.7750000000001</v>
      </c>
      <c r="U78" s="13">
        <v>1506.7750000000001</v>
      </c>
      <c r="V78" s="31" t="s">
        <v>82</v>
      </c>
      <c r="W78" s="46"/>
      <c r="X78" s="46"/>
      <c r="Y78" s="47"/>
      <c r="Z78" s="48"/>
      <c r="AA78" s="49"/>
      <c r="AB78" s="50">
        <v>-1506.7750000000001</v>
      </c>
      <c r="AC78" s="51">
        <v>80.708509933827244</v>
      </c>
      <c r="AD78" s="52">
        <v>45600</v>
      </c>
      <c r="AE78" s="53">
        <v>64542.864258586364</v>
      </c>
      <c r="AF78" s="54">
        <v>407.60153333334438</v>
      </c>
      <c r="AG78" s="24">
        <v>101914.37653333347</v>
      </c>
      <c r="AH78" s="15">
        <v>0.5</v>
      </c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</row>
    <row r="79" spans="1:68" ht="15" customHeight="1" x14ac:dyDescent="0.25">
      <c r="A79" s="1">
        <f t="shared" si="7"/>
        <v>28</v>
      </c>
      <c r="B79" s="1" t="str">
        <f t="shared" si="4"/>
        <v xml:space="preserve">Nuggets </v>
      </c>
      <c r="C79" s="1">
        <f t="shared" si="5"/>
        <v>0</v>
      </c>
      <c r="D79" s="2" t="str">
        <f t="shared" si="6"/>
        <v>2024-11</v>
      </c>
      <c r="E79" s="28" t="s">
        <v>134</v>
      </c>
      <c r="F79" s="29" t="s">
        <v>74</v>
      </c>
      <c r="G79" s="5">
        <v>45600</v>
      </c>
      <c r="H79" s="6">
        <v>-149</v>
      </c>
      <c r="I79" s="6">
        <v>131</v>
      </c>
      <c r="J79" s="30">
        <v>-126</v>
      </c>
      <c r="K79" s="8">
        <v>4.074017880723993E-2</v>
      </c>
      <c r="L79" s="9">
        <v>2.2713551016425804E-2</v>
      </c>
      <c r="M79" s="10">
        <v>-138.22891566265065</v>
      </c>
      <c r="N79" s="11">
        <v>1.7936507936507935</v>
      </c>
      <c r="O79" s="12">
        <v>2577.0928932466859</v>
      </c>
      <c r="P79" s="32" t="s">
        <v>75</v>
      </c>
      <c r="Q79" s="13" t="s">
        <v>76</v>
      </c>
      <c r="R79" s="14"/>
      <c r="S79" s="13"/>
      <c r="T79" s="13">
        <v>1898.7349999999999</v>
      </c>
      <c r="U79" s="13">
        <v>1898.7349999999999</v>
      </c>
      <c r="V79" s="31" t="s">
        <v>82</v>
      </c>
      <c r="W79" s="15"/>
      <c r="X79" s="15"/>
      <c r="Y79" s="16"/>
      <c r="Z79" s="17"/>
      <c r="AA79" s="18"/>
      <c r="AB79" s="19">
        <v>-1898.7349999999999</v>
      </c>
      <c r="AC79" s="20">
        <v>77.354803407564702</v>
      </c>
      <c r="AD79" s="21">
        <v>45600</v>
      </c>
      <c r="AE79" s="22">
        <v>64620.219061993928</v>
      </c>
      <c r="AF79" s="23">
        <v>-1491.1334666666555</v>
      </c>
      <c r="AG79" s="24">
        <v>100407.60153333348</v>
      </c>
      <c r="AH79" s="15">
        <v>0.5</v>
      </c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</row>
    <row r="80" spans="1:68" ht="15" customHeight="1" x14ac:dyDescent="0.25">
      <c r="A80" s="1">
        <f t="shared" si="7"/>
        <v>28</v>
      </c>
      <c r="B80" s="1" t="str">
        <f t="shared" si="4"/>
        <v xml:space="preserve">Nuggets </v>
      </c>
      <c r="C80" s="1">
        <f t="shared" si="5"/>
        <v>0</v>
      </c>
      <c r="D80" s="2" t="str">
        <f t="shared" si="6"/>
        <v>2024-11</v>
      </c>
      <c r="E80" s="28" t="s">
        <v>135</v>
      </c>
      <c r="F80" s="29" t="s">
        <v>74</v>
      </c>
      <c r="G80" s="5">
        <v>45600</v>
      </c>
      <c r="H80" s="6">
        <v>-161</v>
      </c>
      <c r="I80" s="6">
        <v>141</v>
      </c>
      <c r="J80" s="30">
        <v>-137</v>
      </c>
      <c r="K80" s="8">
        <v>3.4235186055977224E-2</v>
      </c>
      <c r="L80" s="9">
        <v>1.978995987202059E-2</v>
      </c>
      <c r="M80" s="10">
        <v>-148.66283524904216</v>
      </c>
      <c r="N80" s="11">
        <v>1.7299270072992701</v>
      </c>
      <c r="O80" s="12">
        <v>2310.1415211434883</v>
      </c>
      <c r="P80" s="32" t="s">
        <v>75</v>
      </c>
      <c r="Q80" s="13" t="s">
        <v>76</v>
      </c>
      <c r="R80" s="14"/>
      <c r="S80" s="13"/>
      <c r="T80" s="13">
        <v>2054.79</v>
      </c>
      <c r="U80" s="13">
        <v>2054.79</v>
      </c>
      <c r="V80" s="31" t="s">
        <v>82</v>
      </c>
      <c r="W80" s="15"/>
      <c r="X80" s="15"/>
      <c r="Y80" s="16"/>
      <c r="Z80" s="17"/>
      <c r="AA80" s="18"/>
      <c r="AB80" s="19">
        <v>-2054.79</v>
      </c>
      <c r="AC80" s="20">
        <v>70.346117955961432</v>
      </c>
      <c r="AD80" s="21">
        <v>45600</v>
      </c>
      <c r="AE80" s="22">
        <v>64690.565179949888</v>
      </c>
      <c r="AF80" s="23">
        <v>-3545.9234666666553</v>
      </c>
      <c r="AG80" s="24">
        <v>98508.866533333479</v>
      </c>
      <c r="AH80" s="15">
        <v>0.5</v>
      </c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</row>
    <row r="81" spans="1:68" ht="15" customHeight="1" x14ac:dyDescent="0.25">
      <c r="A81" s="1">
        <f t="shared" si="7"/>
        <v>28</v>
      </c>
      <c r="B81" s="1" t="str">
        <f t="shared" si="4"/>
        <v xml:space="preserve">Nuggets </v>
      </c>
      <c r="C81" s="1">
        <f t="shared" si="5"/>
        <v>0</v>
      </c>
      <c r="D81" s="2" t="str">
        <f t="shared" si="6"/>
        <v>2024-11</v>
      </c>
      <c r="E81" s="28" t="s">
        <v>136</v>
      </c>
      <c r="F81" s="29" t="s">
        <v>74</v>
      </c>
      <c r="G81" s="5">
        <v>45600</v>
      </c>
      <c r="H81" s="6">
        <v>-116</v>
      </c>
      <c r="I81" s="6">
        <v>104</v>
      </c>
      <c r="J81" s="30">
        <v>-103</v>
      </c>
      <c r="K81" s="8">
        <v>3.0371979532374464E-2</v>
      </c>
      <c r="L81" s="9">
        <v>1.5410413260268818E-2</v>
      </c>
      <c r="M81" s="10">
        <v>-109.55555555555557</v>
      </c>
      <c r="N81" s="11">
        <v>1.970873786407767</v>
      </c>
      <c r="O81" s="12">
        <v>1508.6931377165097</v>
      </c>
      <c r="P81" s="32" t="s">
        <v>75</v>
      </c>
      <c r="Q81" s="13" t="s">
        <v>76</v>
      </c>
      <c r="R81" s="14"/>
      <c r="S81" s="13"/>
      <c r="T81" s="13">
        <v>1530.61</v>
      </c>
      <c r="U81" s="13">
        <v>1530.61</v>
      </c>
      <c r="V81" s="31" t="s">
        <v>82</v>
      </c>
      <c r="W81" s="15"/>
      <c r="X81" s="15"/>
      <c r="Y81" s="16"/>
      <c r="Z81" s="17"/>
      <c r="AA81" s="18"/>
      <c r="AB81" s="19">
        <v>-1530.61</v>
      </c>
      <c r="AC81" s="20">
        <v>46.487655592047673</v>
      </c>
      <c r="AD81" s="21">
        <v>45600</v>
      </c>
      <c r="AE81" s="22">
        <v>64737.052835541937</v>
      </c>
      <c r="AF81" s="23">
        <v>-5076.5334666666549</v>
      </c>
      <c r="AG81" s="24">
        <v>96454.076533333486</v>
      </c>
      <c r="AH81" s="15">
        <v>0.5</v>
      </c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</row>
    <row r="82" spans="1:68" ht="15" customHeight="1" x14ac:dyDescent="0.25">
      <c r="A82" s="1">
        <f t="shared" si="7"/>
        <v>29</v>
      </c>
      <c r="B82" s="1" t="str">
        <f t="shared" si="4"/>
        <v xml:space="preserve">Spurs </v>
      </c>
      <c r="C82" s="1">
        <f t="shared" si="5"/>
        <v>1</v>
      </c>
      <c r="D82" s="2" t="str">
        <f t="shared" si="6"/>
        <v>2024-11</v>
      </c>
      <c r="E82" s="28" t="s">
        <v>137</v>
      </c>
      <c r="F82" s="29" t="s">
        <v>97</v>
      </c>
      <c r="G82" s="5">
        <v>45600</v>
      </c>
      <c r="H82" s="6">
        <v>120</v>
      </c>
      <c r="I82" s="6">
        <v>-137</v>
      </c>
      <c r="J82" s="30">
        <v>-122</v>
      </c>
      <c r="K82" s="8">
        <v>-0.19899276544954075</v>
      </c>
      <c r="L82" s="9">
        <v>-0.10935638461641428</v>
      </c>
      <c r="M82" s="10">
        <v>127.17299578059074</v>
      </c>
      <c r="N82" s="11">
        <v>1.819672131147541</v>
      </c>
      <c r="O82" s="12">
        <v>-12472.903946098575</v>
      </c>
      <c r="P82" s="32" t="s">
        <v>75</v>
      </c>
      <c r="Q82" s="13" t="s">
        <v>92</v>
      </c>
      <c r="R82" s="14"/>
      <c r="S82" s="13"/>
      <c r="T82" s="13">
        <v>279.245</v>
      </c>
      <c r="U82" s="13">
        <v>279.245</v>
      </c>
      <c r="V82" s="31" t="s">
        <v>77</v>
      </c>
      <c r="W82" s="15"/>
      <c r="X82" s="15"/>
      <c r="Y82" s="16"/>
      <c r="Z82" s="17"/>
      <c r="AA82" s="18"/>
      <c r="AB82" s="19">
        <v>228.89</v>
      </c>
      <c r="AC82" s="20">
        <v>-55.567734787957008</v>
      </c>
      <c r="AD82" s="21">
        <v>45600</v>
      </c>
      <c r="AE82" s="22">
        <v>64483.006504645884</v>
      </c>
      <c r="AF82" s="23">
        <v>2983.2965333333445</v>
      </c>
      <c r="AG82" s="24">
        <v>102754.40653333347</v>
      </c>
      <c r="AH82" s="15">
        <v>0.5</v>
      </c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</row>
    <row r="83" spans="1:68" ht="15" customHeight="1" x14ac:dyDescent="0.25">
      <c r="A83" s="1">
        <f t="shared" si="7"/>
        <v>29</v>
      </c>
      <c r="B83" s="1" t="str">
        <f t="shared" si="4"/>
        <v xml:space="preserve">Spurs </v>
      </c>
      <c r="C83" s="1">
        <f t="shared" si="5"/>
        <v>1</v>
      </c>
      <c r="D83" s="2" t="str">
        <f t="shared" si="6"/>
        <v>2024-11</v>
      </c>
      <c r="E83" s="28" t="s">
        <v>138</v>
      </c>
      <c r="F83" s="29" t="s">
        <v>97</v>
      </c>
      <c r="G83" s="5">
        <v>45600</v>
      </c>
      <c r="H83" s="6">
        <v>127</v>
      </c>
      <c r="I83" s="6">
        <v>-160</v>
      </c>
      <c r="J83" s="30">
        <v>-106</v>
      </c>
      <c r="K83" s="8">
        <v>-0.18921210066122504</v>
      </c>
      <c r="L83" s="9">
        <v>-9.7361566359659479E-2</v>
      </c>
      <c r="M83" s="10">
        <v>139.69230769230768</v>
      </c>
      <c r="N83" s="11">
        <v>1.9433962264150944</v>
      </c>
      <c r="O83" s="12">
        <v>-10327.413511147637</v>
      </c>
      <c r="P83" s="32" t="s">
        <v>75</v>
      </c>
      <c r="Q83" s="13" t="s">
        <v>92</v>
      </c>
      <c r="R83" s="14"/>
      <c r="S83" s="13"/>
      <c r="T83" s="13">
        <v>241.035</v>
      </c>
      <c r="U83" s="13">
        <v>241.035</v>
      </c>
      <c r="V83" s="31" t="s">
        <v>77</v>
      </c>
      <c r="W83" s="15"/>
      <c r="X83" s="15"/>
      <c r="Y83" s="16"/>
      <c r="Z83" s="17"/>
      <c r="AA83" s="18"/>
      <c r="AB83" s="19">
        <v>227.39</v>
      </c>
      <c r="AC83" s="20">
        <v>-45.60673868287838</v>
      </c>
      <c r="AD83" s="21">
        <v>45600</v>
      </c>
      <c r="AE83" s="22">
        <v>64437.399765963004</v>
      </c>
      <c r="AF83" s="23">
        <v>3210.6865333333444</v>
      </c>
      <c r="AG83" s="24">
        <v>102983.29653333347</v>
      </c>
      <c r="AH83" s="15">
        <v>0.5</v>
      </c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</row>
    <row r="84" spans="1:68" ht="15" customHeight="1" x14ac:dyDescent="0.25">
      <c r="A84" s="1">
        <f t="shared" si="7"/>
        <v>29</v>
      </c>
      <c r="B84" s="1" t="str">
        <f t="shared" si="4"/>
        <v xml:space="preserve">Spurs </v>
      </c>
      <c r="C84" s="1">
        <f t="shared" si="5"/>
        <v>1</v>
      </c>
      <c r="D84" s="2" t="str">
        <f t="shared" si="6"/>
        <v>2024-11</v>
      </c>
      <c r="E84" s="3" t="s">
        <v>139</v>
      </c>
      <c r="F84" s="4" t="s">
        <v>97</v>
      </c>
      <c r="G84" s="39">
        <v>45600</v>
      </c>
      <c r="H84" s="40">
        <v>147</v>
      </c>
      <c r="I84" s="40">
        <v>-191</v>
      </c>
      <c r="J84" s="7">
        <v>108</v>
      </c>
      <c r="K84" s="8">
        <v>-0.20647115119891968</v>
      </c>
      <c r="L84" s="9">
        <v>-9.926497653794214E-2</v>
      </c>
      <c r="M84" s="10">
        <v>162.12027491408935</v>
      </c>
      <c r="N84" s="11">
        <v>2.08</v>
      </c>
      <c r="O84" s="12">
        <v>-9865.7542891519424</v>
      </c>
      <c r="P84" s="32" t="s">
        <v>75</v>
      </c>
      <c r="Q84" s="32" t="s">
        <v>92</v>
      </c>
      <c r="R84" s="33"/>
      <c r="S84" s="32"/>
      <c r="T84" s="32">
        <v>212.02</v>
      </c>
      <c r="U84" s="32">
        <v>212.02</v>
      </c>
      <c r="V84" s="31" t="s">
        <v>77</v>
      </c>
      <c r="W84" s="15"/>
      <c r="X84" s="15"/>
      <c r="Y84" s="16"/>
      <c r="Z84" s="17"/>
      <c r="AA84" s="18"/>
      <c r="AB84" s="19">
        <v>228.98</v>
      </c>
      <c r="AC84" s="20">
        <v>-43.776013477194951</v>
      </c>
      <c r="AD84" s="21">
        <v>45600</v>
      </c>
      <c r="AE84" s="22">
        <v>64393.623752485808</v>
      </c>
      <c r="AF84" s="23">
        <v>3439.6665333333444</v>
      </c>
      <c r="AG84" s="24">
        <v>103210.68653333347</v>
      </c>
      <c r="AH84" s="15">
        <v>0.5</v>
      </c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</row>
    <row r="85" spans="1:68" ht="15" customHeight="1" x14ac:dyDescent="0.25">
      <c r="A85" s="1">
        <f t="shared" si="7"/>
        <v>30</v>
      </c>
      <c r="B85" s="1" t="str">
        <f t="shared" si="4"/>
        <v xml:space="preserve">Thunder </v>
      </c>
      <c r="C85" s="1">
        <f t="shared" si="5"/>
        <v>0</v>
      </c>
      <c r="D85" s="2" t="str">
        <f t="shared" si="6"/>
        <v>2024-11</v>
      </c>
      <c r="E85" s="28" t="s">
        <v>140</v>
      </c>
      <c r="F85" s="29" t="s">
        <v>97</v>
      </c>
      <c r="G85" s="5">
        <v>45600</v>
      </c>
      <c r="H85" s="6">
        <v>-114</v>
      </c>
      <c r="I85" s="6">
        <v>-101</v>
      </c>
      <c r="J85" s="30">
        <v>-109</v>
      </c>
      <c r="K85" s="8">
        <v>-1.3294593320520754E-2</v>
      </c>
      <c r="L85" s="9">
        <v>-6.93354388486489E-3</v>
      </c>
      <c r="M85" s="10">
        <v>-106.01462015360411</v>
      </c>
      <c r="N85" s="11">
        <v>1.9174311926605505</v>
      </c>
      <c r="O85" s="12">
        <v>-741.95134105056263</v>
      </c>
      <c r="P85" s="32" t="s">
        <v>75</v>
      </c>
      <c r="Q85" s="13" t="s">
        <v>76</v>
      </c>
      <c r="R85" s="14"/>
      <c r="S85" s="13"/>
      <c r="T85" s="13">
        <v>1037.0650000000001</v>
      </c>
      <c r="U85" s="13">
        <v>1037.0650000000001</v>
      </c>
      <c r="V85" s="31" t="s">
        <v>77</v>
      </c>
      <c r="W85" s="15"/>
      <c r="X85" s="15"/>
      <c r="Y85" s="16"/>
      <c r="Z85" s="17"/>
      <c r="AA85" s="18"/>
      <c r="AB85" s="19">
        <v>951.44</v>
      </c>
      <c r="AC85" s="20">
        <v>-13.787357421945856</v>
      </c>
      <c r="AD85" s="21">
        <v>45600</v>
      </c>
      <c r="AE85" s="22">
        <v>64500.647517284226</v>
      </c>
      <c r="AF85" s="23">
        <v>3352.3615333333451</v>
      </c>
      <c r="AG85" s="24">
        <v>102400.92153333347</v>
      </c>
      <c r="AH85" s="15">
        <v>0.5</v>
      </c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</row>
    <row r="86" spans="1:68" ht="15" customHeight="1" x14ac:dyDescent="0.25">
      <c r="A86" s="1">
        <f t="shared" si="7"/>
        <v>31</v>
      </c>
      <c r="B86" s="1" t="str">
        <f t="shared" si="4"/>
        <v xml:space="preserve">Warriors </v>
      </c>
      <c r="C86" s="1">
        <f t="shared" si="5"/>
        <v>1</v>
      </c>
      <c r="D86" s="2" t="str">
        <f t="shared" si="6"/>
        <v>2024-11</v>
      </c>
      <c r="E86" s="28" t="s">
        <v>141</v>
      </c>
      <c r="F86" s="29" t="s">
        <v>74</v>
      </c>
      <c r="G86" s="5">
        <v>45600</v>
      </c>
      <c r="H86" s="6">
        <v>-144</v>
      </c>
      <c r="I86" s="6">
        <v>120</v>
      </c>
      <c r="J86" s="30">
        <v>-120</v>
      </c>
      <c r="K86" s="8">
        <v>3.5663338088445004E-2</v>
      </c>
      <c r="L86" s="9">
        <v>1.9452729866424545E-2</v>
      </c>
      <c r="M86" s="10">
        <v>-129.8360655737705</v>
      </c>
      <c r="N86" s="11">
        <v>1.8333333333333335</v>
      </c>
      <c r="O86" s="12">
        <v>1986.0490342368032</v>
      </c>
      <c r="P86" s="32" t="s">
        <v>75</v>
      </c>
      <c r="Q86" s="13" t="s">
        <v>92</v>
      </c>
      <c r="R86" s="14"/>
      <c r="S86" s="13"/>
      <c r="T86" s="13">
        <v>462.44499999999999</v>
      </c>
      <c r="U86" s="13">
        <v>462.44499999999999</v>
      </c>
      <c r="V86" s="31" t="s">
        <v>77</v>
      </c>
      <c r="W86" s="15"/>
      <c r="X86" s="15"/>
      <c r="Y86" s="16"/>
      <c r="Z86" s="17"/>
      <c r="AA86" s="18"/>
      <c r="AB86" s="19">
        <v>385.37</v>
      </c>
      <c r="AC86" s="20">
        <v>16.492332382310948</v>
      </c>
      <c r="AD86" s="21">
        <v>45600</v>
      </c>
      <c r="AE86" s="22">
        <v>64921.323754492041</v>
      </c>
      <c r="AF86" s="23">
        <v>-6799.9384666666547</v>
      </c>
      <c r="AG86" s="24">
        <v>92814.691533333476</v>
      </c>
      <c r="AH86" s="15">
        <v>0.5</v>
      </c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</row>
    <row r="87" spans="1:68" ht="15" customHeight="1" x14ac:dyDescent="0.25">
      <c r="A87" s="1">
        <f t="shared" si="7"/>
        <v>32</v>
      </c>
      <c r="B87" s="1" t="str">
        <f t="shared" si="4"/>
        <v xml:space="preserve">Wright </v>
      </c>
      <c r="C87" s="1">
        <f t="shared" si="5"/>
        <v>0</v>
      </c>
      <c r="D87" s="2" t="str">
        <f t="shared" si="6"/>
        <v>2024-11</v>
      </c>
      <c r="E87" s="28" t="s">
        <v>142</v>
      </c>
      <c r="F87" s="29" t="s">
        <v>74</v>
      </c>
      <c r="G87" s="5">
        <v>45600</v>
      </c>
      <c r="H87" s="6">
        <v>-119</v>
      </c>
      <c r="I87" s="6">
        <v>-102</v>
      </c>
      <c r="J87" s="30">
        <v>-108</v>
      </c>
      <c r="K87" s="8">
        <v>-1.7378081894209925E-3</v>
      </c>
      <c r="L87" s="9">
        <v>-9.0232348296859222E-4</v>
      </c>
      <c r="M87" s="10">
        <v>-107.61035007610349</v>
      </c>
      <c r="N87" s="11">
        <v>1.925925925925926</v>
      </c>
      <c r="O87" s="12">
        <v>-93.554141028342713</v>
      </c>
      <c r="P87" s="32" t="s">
        <v>143</v>
      </c>
      <c r="Q87" s="13" t="s">
        <v>76</v>
      </c>
      <c r="R87" s="14"/>
      <c r="S87" s="13"/>
      <c r="T87" s="13">
        <v>292.60500000000002</v>
      </c>
      <c r="U87" s="13">
        <v>292.60500000000002</v>
      </c>
      <c r="V87" s="31" t="s">
        <v>82</v>
      </c>
      <c r="W87" s="15"/>
      <c r="X87" s="15"/>
      <c r="Y87" s="16"/>
      <c r="Z87" s="17"/>
      <c r="AA87" s="18"/>
      <c r="AB87" s="19">
        <v>-292.60500000000002</v>
      </c>
      <c r="AC87" s="20">
        <v>-0.50849136526552952</v>
      </c>
      <c r="AD87" s="21">
        <v>45600</v>
      </c>
      <c r="AE87" s="22">
        <v>64818.033875100162</v>
      </c>
      <c r="AF87" s="23">
        <v>-598.97346666665521</v>
      </c>
      <c r="AG87" s="24">
        <v>99693.631533333464</v>
      </c>
      <c r="AH87" s="15">
        <v>0.5</v>
      </c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</row>
    <row r="88" spans="1:68" ht="15" customHeight="1" x14ac:dyDescent="0.25">
      <c r="A88" s="1">
        <f t="shared" si="7"/>
        <v>32</v>
      </c>
      <c r="B88" s="1" t="str">
        <f t="shared" si="4"/>
        <v xml:space="preserve">Wright </v>
      </c>
      <c r="C88" s="1">
        <f t="shared" si="5"/>
        <v>0</v>
      </c>
      <c r="D88" s="2" t="str">
        <f t="shared" si="6"/>
        <v>2024-11</v>
      </c>
      <c r="E88" s="28" t="s">
        <v>142</v>
      </c>
      <c r="F88" s="29" t="s">
        <v>83</v>
      </c>
      <c r="G88" s="5">
        <v>45600</v>
      </c>
      <c r="H88" s="6">
        <v>-119</v>
      </c>
      <c r="I88" s="6">
        <v>-102</v>
      </c>
      <c r="J88" s="38">
        <v>-108</v>
      </c>
      <c r="K88" s="8">
        <v>-1.7378081894209925E-3</v>
      </c>
      <c r="L88" s="9">
        <v>-9.0232348296859222E-4</v>
      </c>
      <c r="M88" s="10">
        <v>-107.61035007610349</v>
      </c>
      <c r="N88" s="11">
        <v>1.925925925925926</v>
      </c>
      <c r="O88" s="12">
        <v>-93.279555691099333</v>
      </c>
      <c r="P88" s="32" t="s">
        <v>143</v>
      </c>
      <c r="Q88" s="13" t="s">
        <v>76</v>
      </c>
      <c r="R88" s="14"/>
      <c r="S88" s="13"/>
      <c r="T88" s="13">
        <v>292.60500000000002</v>
      </c>
      <c r="U88" s="13">
        <v>292.60500000000002</v>
      </c>
      <c r="V88" s="31" t="s">
        <v>82</v>
      </c>
      <c r="W88" s="15"/>
      <c r="X88" s="15"/>
      <c r="Y88" s="16"/>
      <c r="Z88" s="17"/>
      <c r="AA88" s="18"/>
      <c r="AB88" s="19">
        <v>-292.60500000000002</v>
      </c>
      <c r="AC88" s="20">
        <v>-0.50849136526552952</v>
      </c>
      <c r="AD88" s="21">
        <v>45600</v>
      </c>
      <c r="AE88" s="22">
        <v>64817.525383734894</v>
      </c>
      <c r="AF88" s="23">
        <v>-891.57846666665523</v>
      </c>
      <c r="AG88" s="24">
        <v>99401.026533333468</v>
      </c>
      <c r="AH88" s="15">
        <v>0.5</v>
      </c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</row>
    <row r="89" spans="1:68" ht="15" customHeight="1" x14ac:dyDescent="0.25">
      <c r="A89" s="1">
        <f t="shared" si="7"/>
        <v>33</v>
      </c>
      <c r="B89" s="1" t="str">
        <f t="shared" si="4"/>
        <v xml:space="preserve">Bulls </v>
      </c>
      <c r="C89" s="1">
        <f t="shared" si="5"/>
        <v>1</v>
      </c>
      <c r="D89" s="2" t="str">
        <f t="shared" si="6"/>
        <v>2024-11</v>
      </c>
      <c r="E89" s="28" t="s">
        <v>144</v>
      </c>
      <c r="F89" s="29" t="s">
        <v>97</v>
      </c>
      <c r="G89" s="5">
        <v>45602</v>
      </c>
      <c r="H89" s="6">
        <v>-128</v>
      </c>
      <c r="I89" s="6">
        <v>114</v>
      </c>
      <c r="J89" s="38">
        <v>-108</v>
      </c>
      <c r="K89" s="8">
        <v>5.1063176660881483E-2</v>
      </c>
      <c r="L89" s="9">
        <v>2.6513572496996152E-2</v>
      </c>
      <c r="M89" s="10">
        <v>-120.14035087719296</v>
      </c>
      <c r="N89" s="11">
        <v>1.925925925925926</v>
      </c>
      <c r="O89" s="12">
        <v>2665.5911564020853</v>
      </c>
      <c r="P89" s="32" t="s">
        <v>75</v>
      </c>
      <c r="Q89" s="13" t="s">
        <v>92</v>
      </c>
      <c r="R89" s="14"/>
      <c r="S89" s="13"/>
      <c r="T89" s="13">
        <v>241.5</v>
      </c>
      <c r="U89" s="13">
        <v>241.5</v>
      </c>
      <c r="V89" s="31" t="s">
        <v>77</v>
      </c>
      <c r="W89" s="15"/>
      <c r="X89" s="15"/>
      <c r="Y89" s="16"/>
      <c r="Z89" s="17"/>
      <c r="AA89" s="18"/>
      <c r="AB89" s="19">
        <v>223.61</v>
      </c>
      <c r="AC89" s="20">
        <v>12.331757163602878</v>
      </c>
      <c r="AD89" s="21">
        <v>45602</v>
      </c>
      <c r="AE89" s="22">
        <v>66700.400876068525</v>
      </c>
      <c r="AF89" s="23">
        <v>-3106.3384666666529</v>
      </c>
      <c r="AG89" s="24">
        <v>96670.051533333433</v>
      </c>
      <c r="AH89" s="15">
        <v>0.5</v>
      </c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</row>
    <row r="90" spans="1:68" ht="15" customHeight="1" x14ac:dyDescent="0.25">
      <c r="A90" s="1">
        <f t="shared" si="7"/>
        <v>33</v>
      </c>
      <c r="B90" s="1" t="str">
        <f t="shared" si="4"/>
        <v xml:space="preserve">Bulls </v>
      </c>
      <c r="C90" s="1">
        <f t="shared" si="5"/>
        <v>1</v>
      </c>
      <c r="D90" s="2" t="str">
        <f t="shared" si="6"/>
        <v>2024-11</v>
      </c>
      <c r="E90" s="28" t="s">
        <v>144</v>
      </c>
      <c r="F90" s="29" t="s">
        <v>97</v>
      </c>
      <c r="G90" s="5">
        <v>45602</v>
      </c>
      <c r="H90" s="6">
        <v>-128</v>
      </c>
      <c r="I90" s="6">
        <v>114</v>
      </c>
      <c r="J90" s="38">
        <v>-107</v>
      </c>
      <c r="K90" s="55">
        <v>5.5785782594835777E-2</v>
      </c>
      <c r="L90" s="56">
        <v>2.8836129167378877E-2</v>
      </c>
      <c r="M90" s="57">
        <v>-120.14035087719296</v>
      </c>
      <c r="N90" s="11">
        <v>1.9345794392523366</v>
      </c>
      <c r="O90" s="58">
        <v>2902.8657040351718</v>
      </c>
      <c r="P90" s="32" t="s">
        <v>75</v>
      </c>
      <c r="Q90" s="13" t="s">
        <v>92</v>
      </c>
      <c r="R90" s="14"/>
      <c r="S90" s="13"/>
      <c r="T90" s="13">
        <v>238.93</v>
      </c>
      <c r="U90" s="13">
        <v>238.93</v>
      </c>
      <c r="V90" s="31" t="s">
        <v>77</v>
      </c>
      <c r="W90" s="59"/>
      <c r="X90" s="59"/>
      <c r="Y90" s="60"/>
      <c r="Z90" s="61"/>
      <c r="AA90" s="62"/>
      <c r="AB90" s="63">
        <v>223.3</v>
      </c>
      <c r="AC90" s="64">
        <v>13.328897035384113</v>
      </c>
      <c r="AD90" s="65">
        <v>45602</v>
      </c>
      <c r="AE90" s="66">
        <v>66805.326199051167</v>
      </c>
      <c r="AF90" s="67">
        <v>-2513.2584666666526</v>
      </c>
      <c r="AG90" s="68">
        <v>97263.441533333433</v>
      </c>
      <c r="AH90" s="59">
        <v>0.5</v>
      </c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</row>
    <row r="91" spans="1:68" ht="15" customHeight="1" x14ac:dyDescent="0.25">
      <c r="A91" s="1">
        <f t="shared" si="7"/>
        <v>34</v>
      </c>
      <c r="B91" s="1" t="str">
        <f t="shared" si="4"/>
        <v xml:space="preserve">Edwardsville </v>
      </c>
      <c r="C91" s="1">
        <f t="shared" si="5"/>
        <v>1</v>
      </c>
      <c r="D91" s="2" t="str">
        <f t="shared" si="6"/>
        <v>2024-11</v>
      </c>
      <c r="E91" s="28" t="s">
        <v>145</v>
      </c>
      <c r="F91" s="29" t="s">
        <v>74</v>
      </c>
      <c r="G91" s="5">
        <v>45602</v>
      </c>
      <c r="H91" s="6">
        <v>-110</v>
      </c>
      <c r="I91" s="6">
        <v>-110</v>
      </c>
      <c r="J91" s="38">
        <v>112</v>
      </c>
      <c r="K91" s="55">
        <v>6.0000000000000109E-2</v>
      </c>
      <c r="L91" s="56">
        <v>2.8301886792452879E-2</v>
      </c>
      <c r="M91" s="57">
        <v>100</v>
      </c>
      <c r="N91" s="11">
        <v>2.12</v>
      </c>
      <c r="O91" s="58">
        <v>2499.3483732142931</v>
      </c>
      <c r="P91" s="13" t="s">
        <v>143</v>
      </c>
      <c r="Q91" s="13" t="s">
        <v>92</v>
      </c>
      <c r="R91" s="14"/>
      <c r="S91" s="13"/>
      <c r="T91" s="13">
        <v>950.13499999999999</v>
      </c>
      <c r="U91" s="13">
        <v>950.13499999999999</v>
      </c>
      <c r="V91" s="31" t="s">
        <v>82</v>
      </c>
      <c r="W91" s="59"/>
      <c r="X91" s="59"/>
      <c r="Y91" s="60"/>
      <c r="Z91" s="61"/>
      <c r="AA91" s="62"/>
      <c r="AB91" s="63">
        <v>-950.13499999999999</v>
      </c>
      <c r="AC91" s="64">
        <v>57.008100000000105</v>
      </c>
      <c r="AD91" s="65">
        <v>45602</v>
      </c>
      <c r="AE91" s="66">
        <v>67164.233935870172</v>
      </c>
      <c r="AF91" s="67">
        <v>-7641.1290666666537</v>
      </c>
      <c r="AG91" s="68">
        <v>93309.00593333345</v>
      </c>
      <c r="AH91" s="59">
        <v>0.5</v>
      </c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</row>
    <row r="92" spans="1:68" ht="15" customHeight="1" x14ac:dyDescent="0.25">
      <c r="A92" s="1">
        <f t="shared" si="7"/>
        <v>34</v>
      </c>
      <c r="B92" s="1" t="str">
        <f t="shared" si="4"/>
        <v xml:space="preserve">Edwardsville </v>
      </c>
      <c r="C92" s="1">
        <f t="shared" si="5"/>
        <v>1</v>
      </c>
      <c r="D92" s="2" t="str">
        <f t="shared" si="6"/>
        <v>2024-11</v>
      </c>
      <c r="E92" s="28" t="s">
        <v>146</v>
      </c>
      <c r="F92" s="29" t="s">
        <v>74</v>
      </c>
      <c r="G92" s="5">
        <v>45602</v>
      </c>
      <c r="H92" s="6">
        <v>-108</v>
      </c>
      <c r="I92" s="6">
        <v>-116</v>
      </c>
      <c r="J92" s="30">
        <v>114</v>
      </c>
      <c r="K92" s="55">
        <v>5.1962238705326742E-2</v>
      </c>
      <c r="L92" s="56">
        <v>2.4281419955760164E-2</v>
      </c>
      <c r="M92" s="57">
        <v>103.42935528120717</v>
      </c>
      <c r="N92" s="11">
        <v>2.1399999999999997</v>
      </c>
      <c r="O92" s="58">
        <v>2104.9007447334816</v>
      </c>
      <c r="P92" s="13" t="s">
        <v>143</v>
      </c>
      <c r="Q92" s="13" t="s">
        <v>92</v>
      </c>
      <c r="R92" s="14"/>
      <c r="S92" s="13"/>
      <c r="T92" s="13">
        <v>933.46500000000003</v>
      </c>
      <c r="U92" s="13">
        <v>933.46500000000003</v>
      </c>
      <c r="V92" s="31" t="s">
        <v>82</v>
      </c>
      <c r="W92" s="59"/>
      <c r="X92" s="59"/>
      <c r="Y92" s="60"/>
      <c r="Z92" s="61"/>
      <c r="AA92" s="62"/>
      <c r="AB92" s="63">
        <v>-933.46500000000003</v>
      </c>
      <c r="AC92" s="64">
        <v>48.50493115306783</v>
      </c>
      <c r="AD92" s="65">
        <v>45602</v>
      </c>
      <c r="AE92" s="66">
        <v>67212.738867023247</v>
      </c>
      <c r="AF92" s="67">
        <v>-8574.5940666666538</v>
      </c>
      <c r="AG92" s="68">
        <v>92358.870933333455</v>
      </c>
      <c r="AH92" s="59">
        <v>0.5</v>
      </c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</row>
    <row r="93" spans="1:68" ht="15" customHeight="1" x14ac:dyDescent="0.25">
      <c r="A93" s="1">
        <f t="shared" si="7"/>
        <v>34</v>
      </c>
      <c r="B93" s="1" t="str">
        <f t="shared" si="4"/>
        <v xml:space="preserve">Edwardsville </v>
      </c>
      <c r="C93" s="1">
        <f t="shared" si="5"/>
        <v>1</v>
      </c>
      <c r="D93" s="2" t="str">
        <f t="shared" si="6"/>
        <v>2024-11</v>
      </c>
      <c r="E93" s="28" t="s">
        <v>147</v>
      </c>
      <c r="F93" s="29" t="s">
        <v>74</v>
      </c>
      <c r="G93" s="5">
        <v>45602</v>
      </c>
      <c r="H93" s="6">
        <v>100</v>
      </c>
      <c r="I93" s="6">
        <v>-135</v>
      </c>
      <c r="J93" s="30">
        <v>120</v>
      </c>
      <c r="K93" s="55">
        <v>2.3762376237623728E-2</v>
      </c>
      <c r="L93" s="56">
        <v>1.0801080108010785E-2</v>
      </c>
      <c r="M93" s="57">
        <v>114.89361702127661</v>
      </c>
      <c r="N93" s="11">
        <v>2.2000000000000002</v>
      </c>
      <c r="O93" s="58">
        <v>905.20203894389419</v>
      </c>
      <c r="P93" s="13" t="s">
        <v>143</v>
      </c>
      <c r="Q93" s="32" t="s">
        <v>92</v>
      </c>
      <c r="R93" s="33"/>
      <c r="S93" s="32"/>
      <c r="T93" s="32">
        <v>886.79</v>
      </c>
      <c r="U93" s="32">
        <v>886.79</v>
      </c>
      <c r="V93" s="31" t="s">
        <v>82</v>
      </c>
      <c r="W93" s="59"/>
      <c r="X93" s="59"/>
      <c r="Y93" s="60"/>
      <c r="Z93" s="61"/>
      <c r="AA93" s="62"/>
      <c r="AB93" s="63">
        <v>-886.79</v>
      </c>
      <c r="AC93" s="64">
        <v>21.072237623762344</v>
      </c>
      <c r="AD93" s="65">
        <v>45602</v>
      </c>
      <c r="AE93" s="66">
        <v>67233.811104647015</v>
      </c>
      <c r="AF93" s="67">
        <v>-9461.3840666666547</v>
      </c>
      <c r="AG93" s="68">
        <v>91425.405933333459</v>
      </c>
      <c r="AH93" s="59">
        <v>0.5</v>
      </c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</row>
    <row r="94" spans="1:68" ht="15" customHeight="1" x14ac:dyDescent="0.25">
      <c r="A94" s="1">
        <f t="shared" si="7"/>
        <v>34</v>
      </c>
      <c r="B94" s="1" t="str">
        <f t="shared" si="4"/>
        <v xml:space="preserve">Edwardsville </v>
      </c>
      <c r="C94" s="1">
        <f t="shared" si="5"/>
        <v>1</v>
      </c>
      <c r="D94" s="2" t="str">
        <f t="shared" si="6"/>
        <v>2024-11</v>
      </c>
      <c r="E94" s="3" t="s">
        <v>148</v>
      </c>
      <c r="F94" s="4" t="s">
        <v>74</v>
      </c>
      <c r="G94" s="5">
        <v>45602</v>
      </c>
      <c r="H94" s="40">
        <v>104</v>
      </c>
      <c r="I94" s="40">
        <v>-141</v>
      </c>
      <c r="J94" s="7">
        <v>128</v>
      </c>
      <c r="K94" s="55">
        <v>3.9421912832929881E-2</v>
      </c>
      <c r="L94" s="56">
        <v>1.7290312646021877E-2</v>
      </c>
      <c r="M94" s="57">
        <v>119.35269709543567</v>
      </c>
      <c r="N94" s="11">
        <v>2.2800000000000002</v>
      </c>
      <c r="O94" s="58">
        <v>1394.2208692726515</v>
      </c>
      <c r="P94" s="13" t="s">
        <v>143</v>
      </c>
      <c r="Q94" s="13" t="s">
        <v>92</v>
      </c>
      <c r="R94" s="14"/>
      <c r="S94" s="13"/>
      <c r="T94" s="13">
        <v>831.36500000000001</v>
      </c>
      <c r="U94" s="13">
        <v>831.36500000000001</v>
      </c>
      <c r="V94" s="31" t="s">
        <v>82</v>
      </c>
      <c r="W94" s="59"/>
      <c r="X94" s="59"/>
      <c r="Y94" s="60"/>
      <c r="Z94" s="61"/>
      <c r="AA94" s="62"/>
      <c r="AB94" s="63">
        <v>-831.36500000000001</v>
      </c>
      <c r="AC94" s="64">
        <v>32.773998562348751</v>
      </c>
      <c r="AD94" s="65">
        <v>45602</v>
      </c>
      <c r="AE94" s="66">
        <v>67266.585103209363</v>
      </c>
      <c r="AF94" s="67">
        <v>-10292.749066666654</v>
      </c>
      <c r="AG94" s="68">
        <v>90538.615933333465</v>
      </c>
      <c r="AH94" s="59">
        <v>0.5</v>
      </c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</row>
    <row r="95" spans="1:68" ht="15" customHeight="1" x14ac:dyDescent="0.25">
      <c r="A95" s="1">
        <f t="shared" si="7"/>
        <v>34</v>
      </c>
      <c r="B95" s="1" t="str">
        <f t="shared" si="4"/>
        <v xml:space="preserve">Edwardsville </v>
      </c>
      <c r="C95" s="1">
        <f t="shared" si="5"/>
        <v>1</v>
      </c>
      <c r="D95" s="2" t="str">
        <f t="shared" si="6"/>
        <v>2024-11</v>
      </c>
      <c r="E95" s="3" t="s">
        <v>149</v>
      </c>
      <c r="F95" s="4" t="s">
        <v>74</v>
      </c>
      <c r="G95" s="5">
        <v>45602</v>
      </c>
      <c r="H95" s="40">
        <v>110</v>
      </c>
      <c r="I95" s="40">
        <v>-149</v>
      </c>
      <c r="J95" s="7">
        <v>135</v>
      </c>
      <c r="K95" s="55">
        <v>4.1377469300587222E-2</v>
      </c>
      <c r="L95" s="56">
        <v>1.7607433744930734E-2</v>
      </c>
      <c r="M95" s="57">
        <v>125.66265060240966</v>
      </c>
      <c r="N95" s="69">
        <v>2.35</v>
      </c>
      <c r="O95" s="58">
        <v>1374.7626005681775</v>
      </c>
      <c r="P95" s="13" t="s">
        <v>143</v>
      </c>
      <c r="Q95" s="13" t="s">
        <v>92</v>
      </c>
      <c r="R95" s="14"/>
      <c r="S95" s="13"/>
      <c r="T95" s="13">
        <v>788.26</v>
      </c>
      <c r="U95" s="32">
        <v>788.26</v>
      </c>
      <c r="V95" s="31" t="s">
        <v>82</v>
      </c>
      <c r="W95" s="59"/>
      <c r="X95" s="59"/>
      <c r="Y95" s="60"/>
      <c r="Z95" s="61"/>
      <c r="AA95" s="62"/>
      <c r="AB95" s="63">
        <v>-788.26</v>
      </c>
      <c r="AC95" s="64">
        <v>32.61620395088088</v>
      </c>
      <c r="AD95" s="65">
        <v>45602</v>
      </c>
      <c r="AE95" s="66">
        <v>67299.201307160241</v>
      </c>
      <c r="AF95" s="67">
        <v>-11081.009066666655</v>
      </c>
      <c r="AG95" s="68">
        <v>89707.25093333346</v>
      </c>
      <c r="AH95" s="59">
        <v>0.5</v>
      </c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</row>
    <row r="96" spans="1:68" ht="15" customHeight="1" x14ac:dyDescent="0.25">
      <c r="A96" s="1">
        <f t="shared" si="7"/>
        <v>35</v>
      </c>
      <c r="B96" s="1" t="str">
        <f t="shared" si="4"/>
        <v xml:space="preserve">Indiana </v>
      </c>
      <c r="C96" s="1">
        <f t="shared" si="5"/>
        <v>0</v>
      </c>
      <c r="D96" s="2" t="str">
        <f t="shared" si="6"/>
        <v>2024-11</v>
      </c>
      <c r="E96" s="3" t="s">
        <v>150</v>
      </c>
      <c r="F96" s="4" t="s">
        <v>74</v>
      </c>
      <c r="G96" s="5">
        <v>45602</v>
      </c>
      <c r="H96" s="40">
        <v>-723</v>
      </c>
      <c r="I96" s="40">
        <v>578</v>
      </c>
      <c r="J96" s="7">
        <v>-530</v>
      </c>
      <c r="K96" s="55">
        <v>1.779832445801021E-2</v>
      </c>
      <c r="L96" s="56">
        <v>1.4973193591659384E-2</v>
      </c>
      <c r="M96" s="57">
        <v>-595.61846901579554</v>
      </c>
      <c r="N96" s="69">
        <v>1.1886792452830188</v>
      </c>
      <c r="O96" s="58">
        <v>4193.9139854423947</v>
      </c>
      <c r="P96" s="13" t="s">
        <v>143</v>
      </c>
      <c r="Q96" s="13" t="s">
        <v>81</v>
      </c>
      <c r="R96" s="14"/>
      <c r="S96" s="13"/>
      <c r="T96" s="13">
        <v>4010.625</v>
      </c>
      <c r="U96" s="32">
        <v>4010.625</v>
      </c>
      <c r="V96" s="31" t="s">
        <v>77</v>
      </c>
      <c r="W96" s="59"/>
      <c r="X96" s="59"/>
      <c r="Y96" s="60"/>
      <c r="Z96" s="61"/>
      <c r="AA96" s="62"/>
      <c r="AB96" s="63">
        <v>756.72</v>
      </c>
      <c r="AC96" s="64">
        <v>71.382405029407195</v>
      </c>
      <c r="AD96" s="65">
        <v>45602</v>
      </c>
      <c r="AE96" s="66">
        <v>67370.583712189647</v>
      </c>
      <c r="AF96" s="67">
        <v>-10324.289066666655</v>
      </c>
      <c r="AG96" s="68">
        <v>88918.990933333465</v>
      </c>
      <c r="AH96" s="59">
        <v>0.5</v>
      </c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</row>
    <row r="97" spans="1:68" ht="15" customHeight="1" x14ac:dyDescent="0.25">
      <c r="A97" s="1">
        <f t="shared" si="7"/>
        <v>36</v>
      </c>
      <c r="B97" s="1" t="str">
        <f t="shared" si="4"/>
        <v xml:space="preserve">Lakers </v>
      </c>
      <c r="C97" s="1">
        <f t="shared" si="5"/>
        <v>0</v>
      </c>
      <c r="D97" s="2" t="str">
        <f t="shared" si="6"/>
        <v>2024-11</v>
      </c>
      <c r="E97" s="28" t="s">
        <v>151</v>
      </c>
      <c r="F97" s="29" t="s">
        <v>97</v>
      </c>
      <c r="G97" s="5">
        <v>45602</v>
      </c>
      <c r="H97" s="6">
        <v>-132</v>
      </c>
      <c r="I97" s="6">
        <v>116</v>
      </c>
      <c r="J97" s="30">
        <v>110</v>
      </c>
      <c r="K97" s="55">
        <v>0.15785891089108917</v>
      </c>
      <c r="L97" s="56">
        <v>7.5170909948137687E-2</v>
      </c>
      <c r="M97" s="57">
        <v>-122.89655172413792</v>
      </c>
      <c r="N97" s="69">
        <v>2.1</v>
      </c>
      <c r="O97" s="58">
        <v>6952.5126735917438</v>
      </c>
      <c r="P97" s="32" t="s">
        <v>75</v>
      </c>
      <c r="Q97" s="13" t="s">
        <v>81</v>
      </c>
      <c r="R97" s="14"/>
      <c r="S97" s="13"/>
      <c r="T97" s="13">
        <v>255.22</v>
      </c>
      <c r="U97" s="13">
        <v>255.22</v>
      </c>
      <c r="V97" s="31" t="s">
        <v>82</v>
      </c>
      <c r="W97" s="59"/>
      <c r="X97" s="59"/>
      <c r="Y97" s="60"/>
      <c r="Z97" s="61"/>
      <c r="AA97" s="62"/>
      <c r="AB97" s="63">
        <v>-255.22</v>
      </c>
      <c r="AC97" s="64">
        <v>40.288751237623778</v>
      </c>
      <c r="AD97" s="65">
        <v>45602</v>
      </c>
      <c r="AE97" s="66">
        <v>66740.689627306143</v>
      </c>
      <c r="AF97" s="67">
        <v>-3361.5584666666527</v>
      </c>
      <c r="AG97" s="68">
        <v>96893.661533333434</v>
      </c>
      <c r="AH97" s="59">
        <v>0.5</v>
      </c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</row>
    <row r="98" spans="1:68" ht="15" customHeight="1" x14ac:dyDescent="0.25">
      <c r="A98" s="1">
        <f t="shared" si="7"/>
        <v>37</v>
      </c>
      <c r="B98" s="1" t="str">
        <f t="shared" si="4"/>
        <v xml:space="preserve">Magic </v>
      </c>
      <c r="C98" s="1">
        <f t="shared" si="5"/>
        <v>1</v>
      </c>
      <c r="D98" s="2" t="str">
        <f t="shared" si="6"/>
        <v>2024-11</v>
      </c>
      <c r="E98" s="3" t="s">
        <v>152</v>
      </c>
      <c r="F98" s="4" t="s">
        <v>74</v>
      </c>
      <c r="G98" s="5">
        <v>45602</v>
      </c>
      <c r="H98" s="40">
        <v>140</v>
      </c>
      <c r="I98" s="40">
        <v>-175</v>
      </c>
      <c r="J98" s="7">
        <v>110</v>
      </c>
      <c r="K98" s="55">
        <v>-0.16906474820143871</v>
      </c>
      <c r="L98" s="56">
        <v>-8.0507022953066054E-2</v>
      </c>
      <c r="M98" s="57">
        <v>152.72727272727269</v>
      </c>
      <c r="N98" s="69">
        <v>2.1</v>
      </c>
      <c r="O98" s="58">
        <v>-6990.7275079572737</v>
      </c>
      <c r="P98" s="13" t="s">
        <v>75</v>
      </c>
      <c r="Q98" s="13" t="s">
        <v>92</v>
      </c>
      <c r="R98" s="14"/>
      <c r="S98" s="13"/>
      <c r="T98" s="13">
        <v>277.09500000000003</v>
      </c>
      <c r="U98" s="32">
        <v>277.09500000000003</v>
      </c>
      <c r="V98" s="31" t="s">
        <v>82</v>
      </c>
      <c r="W98" s="59"/>
      <c r="X98" s="59"/>
      <c r="Y98" s="60"/>
      <c r="Z98" s="61"/>
      <c r="AA98" s="62"/>
      <c r="AB98" s="63">
        <v>-277.09500000000003</v>
      </c>
      <c r="AC98" s="64">
        <v>-46.846996402877664</v>
      </c>
      <c r="AD98" s="65">
        <v>45602</v>
      </c>
      <c r="AE98" s="66">
        <v>67330.720612611287</v>
      </c>
      <c r="AF98" s="67">
        <v>-9308.3940666666549</v>
      </c>
      <c r="AG98" s="68">
        <v>90968.700933333457</v>
      </c>
      <c r="AH98" s="59">
        <v>0.5</v>
      </c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</row>
    <row r="99" spans="1:68" ht="15" customHeight="1" x14ac:dyDescent="0.25">
      <c r="A99" s="1">
        <f t="shared" si="7"/>
        <v>38</v>
      </c>
      <c r="B99" s="1" t="str">
        <f t="shared" si="4"/>
        <v xml:space="preserve">Nuggets </v>
      </c>
      <c r="C99" s="1">
        <f t="shared" si="5"/>
        <v>0</v>
      </c>
      <c r="D99" s="2" t="str">
        <f t="shared" si="6"/>
        <v>2024-11</v>
      </c>
      <c r="E99" s="28" t="s">
        <v>153</v>
      </c>
      <c r="F99" s="29" t="s">
        <v>97</v>
      </c>
      <c r="G99" s="5">
        <v>45602</v>
      </c>
      <c r="H99" s="6">
        <v>125</v>
      </c>
      <c r="I99" s="6">
        <v>-143</v>
      </c>
      <c r="J99" s="30">
        <v>145</v>
      </c>
      <c r="K99" s="42">
        <v>5.4183266932270914E-2</v>
      </c>
      <c r="L99" s="43">
        <v>2.2115619156028943E-2</v>
      </c>
      <c r="M99" s="44">
        <v>132.40740740740742</v>
      </c>
      <c r="N99" s="70">
        <v>2.4500000000000002</v>
      </c>
      <c r="O99" s="45">
        <v>1821.4310823647952</v>
      </c>
      <c r="P99" s="32" t="s">
        <v>75</v>
      </c>
      <c r="Q99" s="13" t="s">
        <v>81</v>
      </c>
      <c r="R99" s="14"/>
      <c r="S99" s="13"/>
      <c r="T99" s="13">
        <v>193.61500000000001</v>
      </c>
      <c r="U99" s="13">
        <v>193.61500000000001</v>
      </c>
      <c r="V99" s="31" t="s">
        <v>77</v>
      </c>
      <c r="W99" s="59"/>
      <c r="X99" s="59"/>
      <c r="Y99" s="60"/>
      <c r="Z99" s="61"/>
      <c r="AA99" s="62"/>
      <c r="AB99" s="63">
        <v>280.74</v>
      </c>
      <c r="AC99" s="64">
        <v>10.490693227091633</v>
      </c>
      <c r="AD99" s="65">
        <v>45602</v>
      </c>
      <c r="AE99" s="66">
        <v>66815.816892278264</v>
      </c>
      <c r="AF99" s="67">
        <v>-2232.5184666666528</v>
      </c>
      <c r="AG99" s="68">
        <v>97486.741533333436</v>
      </c>
      <c r="AH99" s="59">
        <v>0.5</v>
      </c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</row>
    <row r="100" spans="1:68" ht="15" customHeight="1" x14ac:dyDescent="0.25">
      <c r="A100" s="1">
        <f t="shared" si="7"/>
        <v>38</v>
      </c>
      <c r="B100" s="1" t="str">
        <f t="shared" si="4"/>
        <v xml:space="preserve">Nuggets </v>
      </c>
      <c r="C100" s="1">
        <f t="shared" si="5"/>
        <v>0</v>
      </c>
      <c r="D100" s="2" t="str">
        <f t="shared" si="6"/>
        <v>2024-11</v>
      </c>
      <c r="E100" s="28" t="s">
        <v>153</v>
      </c>
      <c r="F100" s="29" t="s">
        <v>74</v>
      </c>
      <c r="G100" s="5">
        <v>45602</v>
      </c>
      <c r="H100" s="6">
        <v>125</v>
      </c>
      <c r="I100" s="6">
        <v>-143</v>
      </c>
      <c r="J100" s="30">
        <v>148</v>
      </c>
      <c r="K100" s="55">
        <v>6.7091633466135253E-2</v>
      </c>
      <c r="L100" s="56">
        <v>2.7053078010538412E-2</v>
      </c>
      <c r="M100" s="57">
        <v>132.40740740740742</v>
      </c>
      <c r="N100" s="69">
        <v>2.48</v>
      </c>
      <c r="O100" s="58">
        <v>2093.7214869136028</v>
      </c>
      <c r="P100" s="13" t="s">
        <v>75</v>
      </c>
      <c r="Q100" s="13" t="s">
        <v>81</v>
      </c>
      <c r="R100" s="14"/>
      <c r="S100" s="13"/>
      <c r="T100" s="13">
        <v>539.26499999999999</v>
      </c>
      <c r="U100" s="13">
        <v>539.26499999999999</v>
      </c>
      <c r="V100" s="31" t="s">
        <v>77</v>
      </c>
      <c r="W100" s="59"/>
      <c r="X100" s="59"/>
      <c r="Y100" s="60"/>
      <c r="Z100" s="61"/>
      <c r="AA100" s="62"/>
      <c r="AB100" s="63">
        <v>798.11</v>
      </c>
      <c r="AC100" s="64">
        <v>36.180169721115426</v>
      </c>
      <c r="AD100" s="65">
        <v>45602</v>
      </c>
      <c r="AE100" s="66">
        <v>67083.552098756205</v>
      </c>
      <c r="AF100" s="67">
        <v>-6829.4840666666532</v>
      </c>
      <c r="AG100" s="68">
        <v>92372.405933333444</v>
      </c>
      <c r="AH100" s="59">
        <v>0.5</v>
      </c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</row>
    <row r="101" spans="1:68" ht="15" customHeight="1" x14ac:dyDescent="0.25">
      <c r="A101" s="1">
        <f t="shared" si="7"/>
        <v>39</v>
      </c>
      <c r="B101" s="1" t="str">
        <f t="shared" si="4"/>
        <v xml:space="preserve">Pelicans </v>
      </c>
      <c r="C101" s="1">
        <f t="shared" si="5"/>
        <v>0</v>
      </c>
      <c r="D101" s="2" t="str">
        <f t="shared" si="6"/>
        <v>2024-11</v>
      </c>
      <c r="E101" s="28" t="s">
        <v>154</v>
      </c>
      <c r="F101" s="29" t="s">
        <v>97</v>
      </c>
      <c r="G101" s="5">
        <v>45602</v>
      </c>
      <c r="H101" s="6">
        <v>-127</v>
      </c>
      <c r="I101" s="6">
        <v>112</v>
      </c>
      <c r="J101" s="30">
        <v>-107</v>
      </c>
      <c r="K101" s="55">
        <v>4.962552036171828E-2</v>
      </c>
      <c r="L101" s="56">
        <v>2.5651839027554857E-2</v>
      </c>
      <c r="M101" s="57">
        <v>-118.60792951541849</v>
      </c>
      <c r="N101" s="69">
        <v>1.9345794392523366</v>
      </c>
      <c r="O101" s="58">
        <v>2581.0904385008639</v>
      </c>
      <c r="P101" s="13" t="s">
        <v>75</v>
      </c>
      <c r="Q101" s="13" t="s">
        <v>76</v>
      </c>
      <c r="R101" s="14"/>
      <c r="S101" s="13"/>
      <c r="T101" s="13">
        <v>995.54499999999996</v>
      </c>
      <c r="U101" s="13">
        <v>995.54499999999996</v>
      </c>
      <c r="V101" s="31" t="s">
        <v>82</v>
      </c>
      <c r="W101" s="59"/>
      <c r="X101" s="59"/>
      <c r="Y101" s="60"/>
      <c r="Z101" s="61"/>
      <c r="AA101" s="62"/>
      <c r="AB101" s="63">
        <v>-995.54499999999996</v>
      </c>
      <c r="AC101" s="64">
        <v>49.40443866850682</v>
      </c>
      <c r="AD101" s="65">
        <v>45602</v>
      </c>
      <c r="AE101" s="66">
        <v>66874.398499419491</v>
      </c>
      <c r="AF101" s="67">
        <v>-3778.0634666666529</v>
      </c>
      <c r="AG101" s="68">
        <v>97217.481533333441</v>
      </c>
      <c r="AH101" s="59">
        <v>0.5</v>
      </c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</row>
    <row r="102" spans="1:68" ht="15" customHeight="1" x14ac:dyDescent="0.25">
      <c r="A102" s="1">
        <f t="shared" si="7"/>
        <v>39</v>
      </c>
      <c r="B102" s="1" t="str">
        <f t="shared" si="4"/>
        <v xml:space="preserve">Pelicans </v>
      </c>
      <c r="C102" s="1">
        <f t="shared" si="5"/>
        <v>0</v>
      </c>
      <c r="D102" s="2" t="str">
        <f t="shared" si="6"/>
        <v>2024-11</v>
      </c>
      <c r="E102" s="28" t="s">
        <v>155</v>
      </c>
      <c r="F102" s="29" t="s">
        <v>97</v>
      </c>
      <c r="G102" s="5">
        <v>45602</v>
      </c>
      <c r="H102" s="6">
        <v>-137</v>
      </c>
      <c r="I102" s="6">
        <v>121</v>
      </c>
      <c r="J102" s="30">
        <v>-115</v>
      </c>
      <c r="K102" s="55">
        <v>4.8684181910008437E-2</v>
      </c>
      <c r="L102" s="56">
        <v>2.6040376370469631E-2</v>
      </c>
      <c r="M102" s="57">
        <v>-127.75105485232072</v>
      </c>
      <c r="N102" s="69">
        <v>1.8695652173913042</v>
      </c>
      <c r="O102" s="58">
        <v>2693.5796006052033</v>
      </c>
      <c r="P102" s="13" t="s">
        <v>75</v>
      </c>
      <c r="Q102" s="13" t="s">
        <v>76</v>
      </c>
      <c r="R102" s="14"/>
      <c r="S102" s="13"/>
      <c r="T102" s="13">
        <v>615.08000000000004</v>
      </c>
      <c r="U102" s="13">
        <v>615.08000000000004</v>
      </c>
      <c r="V102" s="31" t="s">
        <v>82</v>
      </c>
      <c r="W102" s="59"/>
      <c r="X102" s="59"/>
      <c r="Y102" s="60"/>
      <c r="Z102" s="61"/>
      <c r="AA102" s="62"/>
      <c r="AB102" s="63">
        <v>-615.08000000000004</v>
      </c>
      <c r="AC102" s="64">
        <v>29.944666609207992</v>
      </c>
      <c r="AD102" s="65">
        <v>45602</v>
      </c>
      <c r="AE102" s="66">
        <v>66904.343166028702</v>
      </c>
      <c r="AF102" s="67">
        <v>-4393.1434666666528</v>
      </c>
      <c r="AG102" s="68">
        <v>96221.936533333443</v>
      </c>
      <c r="AH102" s="59">
        <v>0.5</v>
      </c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</row>
    <row r="103" spans="1:68" ht="15" customHeight="1" x14ac:dyDescent="0.25">
      <c r="A103" s="1">
        <f t="shared" si="7"/>
        <v>39</v>
      </c>
      <c r="B103" s="1" t="str">
        <f t="shared" si="4"/>
        <v xml:space="preserve">Pelicans </v>
      </c>
      <c r="C103" s="1">
        <f t="shared" si="5"/>
        <v>0</v>
      </c>
      <c r="D103" s="2" t="str">
        <f t="shared" si="6"/>
        <v>2024-11</v>
      </c>
      <c r="E103" s="28" t="s">
        <v>154</v>
      </c>
      <c r="F103" s="29" t="s">
        <v>74</v>
      </c>
      <c r="G103" s="5">
        <v>45602</v>
      </c>
      <c r="H103" s="6">
        <v>-127</v>
      </c>
      <c r="I103" s="6">
        <v>112</v>
      </c>
      <c r="J103" s="30">
        <v>-107</v>
      </c>
      <c r="K103" s="55">
        <v>4.962552036171828E-2</v>
      </c>
      <c r="L103" s="56">
        <v>2.5651839027554857E-2</v>
      </c>
      <c r="M103" s="57">
        <v>-118.60792951541849</v>
      </c>
      <c r="N103" s="69">
        <v>1.9345794392523366</v>
      </c>
      <c r="O103" s="58">
        <v>2538.3289030039268</v>
      </c>
      <c r="P103" s="13" t="s">
        <v>75</v>
      </c>
      <c r="Q103" s="13" t="s">
        <v>76</v>
      </c>
      <c r="R103" s="14"/>
      <c r="S103" s="13"/>
      <c r="T103" s="13">
        <v>609.45060000000012</v>
      </c>
      <c r="U103" s="13">
        <v>3390.5493999999999</v>
      </c>
      <c r="V103" s="31" t="s">
        <v>82</v>
      </c>
      <c r="W103" s="59"/>
      <c r="X103" s="59"/>
      <c r="Y103" s="60"/>
      <c r="Z103" s="61"/>
      <c r="AA103" s="62"/>
      <c r="AB103" s="63">
        <v>-609.45060000000012</v>
      </c>
      <c r="AC103" s="64">
        <v>30.244303159761429</v>
      </c>
      <c r="AD103" s="65">
        <v>45602</v>
      </c>
      <c r="AE103" s="66">
        <v>66934.587469188467</v>
      </c>
      <c r="AF103" s="67">
        <v>-5002.5940666666529</v>
      </c>
      <c r="AG103" s="68">
        <v>95606.856533333441</v>
      </c>
      <c r="AH103" s="59">
        <v>0.5</v>
      </c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</row>
    <row r="104" spans="1:68" ht="15" customHeight="1" x14ac:dyDescent="0.25">
      <c r="A104" s="1">
        <f t="shared" si="7"/>
        <v>39</v>
      </c>
      <c r="B104" s="1" t="str">
        <f t="shared" si="4"/>
        <v xml:space="preserve">Pelicans </v>
      </c>
      <c r="C104" s="1">
        <f t="shared" si="5"/>
        <v>0</v>
      </c>
      <c r="D104" s="2" t="str">
        <f t="shared" si="6"/>
        <v>2024-11</v>
      </c>
      <c r="E104" s="28" t="s">
        <v>155</v>
      </c>
      <c r="F104" s="29" t="s">
        <v>74</v>
      </c>
      <c r="G104" s="5">
        <v>45602</v>
      </c>
      <c r="H104" s="6">
        <v>-137</v>
      </c>
      <c r="I104" s="6">
        <v>121</v>
      </c>
      <c r="J104" s="30">
        <v>-115</v>
      </c>
      <c r="K104" s="55">
        <v>4.8684181910008437E-2</v>
      </c>
      <c r="L104" s="56">
        <v>2.6040376370469631E-2</v>
      </c>
      <c r="M104" s="57">
        <v>-127.75105485232072</v>
      </c>
      <c r="N104" s="69">
        <v>1.8695652173913042</v>
      </c>
      <c r="O104" s="58">
        <v>2659.3008200764593</v>
      </c>
      <c r="P104" s="13" t="s">
        <v>75</v>
      </c>
      <c r="Q104" s="13" t="s">
        <v>76</v>
      </c>
      <c r="R104" s="14"/>
      <c r="S104" s="13"/>
      <c r="T104" s="13">
        <v>1125</v>
      </c>
      <c r="U104" s="13">
        <v>2875</v>
      </c>
      <c r="V104" s="31" t="s">
        <v>82</v>
      </c>
      <c r="W104" s="59"/>
      <c r="X104" s="59"/>
      <c r="Y104" s="60"/>
      <c r="Z104" s="61"/>
      <c r="AA104" s="62"/>
      <c r="AB104" s="63">
        <v>-1125</v>
      </c>
      <c r="AC104" s="64">
        <v>54.769704648759493</v>
      </c>
      <c r="AD104" s="65">
        <v>45602</v>
      </c>
      <c r="AE104" s="66">
        <v>66989.357173837227</v>
      </c>
      <c r="AF104" s="67">
        <v>-6127.5940666666529</v>
      </c>
      <c r="AG104" s="68">
        <v>94997.405933333444</v>
      </c>
      <c r="AH104" s="59">
        <v>0.5</v>
      </c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</row>
    <row r="105" spans="1:68" ht="15" customHeight="1" x14ac:dyDescent="0.25">
      <c r="A105" s="1">
        <f t="shared" si="7"/>
        <v>39</v>
      </c>
      <c r="B105" s="1" t="str">
        <f t="shared" si="4"/>
        <v xml:space="preserve">Pelicans </v>
      </c>
      <c r="C105" s="1">
        <f t="shared" si="5"/>
        <v>0</v>
      </c>
      <c r="D105" s="2" t="str">
        <f t="shared" si="6"/>
        <v>2024-11</v>
      </c>
      <c r="E105" s="28" t="s">
        <v>156</v>
      </c>
      <c r="F105" s="29" t="s">
        <v>74</v>
      </c>
      <c r="G105" s="5">
        <v>45602</v>
      </c>
      <c r="H105" s="6">
        <v>-115</v>
      </c>
      <c r="I105" s="6">
        <v>102</v>
      </c>
      <c r="J105" s="30">
        <v>100</v>
      </c>
      <c r="K105" s="55">
        <v>3.8676503465235879E-2</v>
      </c>
      <c r="L105" s="56">
        <v>1.9338251732617939E-2</v>
      </c>
      <c r="M105" s="57">
        <v>-108.04651162790698</v>
      </c>
      <c r="N105" s="69">
        <v>2</v>
      </c>
      <c r="O105" s="58">
        <v>1815.3282166853</v>
      </c>
      <c r="P105" s="13" t="s">
        <v>75</v>
      </c>
      <c r="Q105" s="13" t="s">
        <v>76</v>
      </c>
      <c r="R105" s="14"/>
      <c r="S105" s="13"/>
      <c r="T105" s="13">
        <v>1500</v>
      </c>
      <c r="U105" s="13">
        <v>2500</v>
      </c>
      <c r="V105" s="31" t="s">
        <v>82</v>
      </c>
      <c r="W105" s="59"/>
      <c r="X105" s="59"/>
      <c r="Y105" s="60"/>
      <c r="Z105" s="61"/>
      <c r="AA105" s="62"/>
      <c r="AB105" s="63">
        <v>-1500</v>
      </c>
      <c r="AC105" s="64">
        <v>58.014755197853816</v>
      </c>
      <c r="AD105" s="65">
        <v>45602</v>
      </c>
      <c r="AE105" s="66">
        <v>67047.371929035085</v>
      </c>
      <c r="AF105" s="67">
        <v>-7627.5940666666529</v>
      </c>
      <c r="AG105" s="68">
        <v>93872.405933333444</v>
      </c>
      <c r="AH105" s="59">
        <v>0.5</v>
      </c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</row>
    <row r="106" spans="1:68" ht="15" customHeight="1" x14ac:dyDescent="0.25">
      <c r="A106" s="1">
        <f t="shared" si="7"/>
        <v>40</v>
      </c>
      <c r="B106" s="1" t="str">
        <f t="shared" si="4"/>
        <v xml:space="preserve">Pelicans </v>
      </c>
      <c r="C106" s="1">
        <f t="shared" si="5"/>
        <v>1</v>
      </c>
      <c r="D106" s="2" t="str">
        <f t="shared" si="6"/>
        <v>2024-11</v>
      </c>
      <c r="E106" s="28" t="s">
        <v>157</v>
      </c>
      <c r="F106" s="29" t="s">
        <v>74</v>
      </c>
      <c r="G106" s="5">
        <v>45602</v>
      </c>
      <c r="H106" s="6">
        <v>-108</v>
      </c>
      <c r="I106" s="6">
        <v>-106</v>
      </c>
      <c r="J106" s="30">
        <v>107</v>
      </c>
      <c r="K106" s="55">
        <v>3.9673108181325627E-2</v>
      </c>
      <c r="L106" s="56">
        <v>1.9165752744601749E-2</v>
      </c>
      <c r="M106" s="57">
        <v>-100.90711175616832</v>
      </c>
      <c r="N106" s="69">
        <v>2.0700000000000003</v>
      </c>
      <c r="O106" s="58">
        <v>1727.272877538813</v>
      </c>
      <c r="P106" s="13" t="s">
        <v>75</v>
      </c>
      <c r="Q106" s="13" t="s">
        <v>92</v>
      </c>
      <c r="R106" s="14"/>
      <c r="S106" s="13"/>
      <c r="T106" s="13">
        <v>596.72</v>
      </c>
      <c r="U106" s="13">
        <v>596.72</v>
      </c>
      <c r="V106" s="31" t="s">
        <v>77</v>
      </c>
      <c r="W106" s="59"/>
      <c r="X106" s="59"/>
      <c r="Y106" s="60"/>
      <c r="Z106" s="61"/>
      <c r="AA106" s="62"/>
      <c r="AB106" s="63">
        <v>638.49</v>
      </c>
      <c r="AC106" s="64">
        <v>23.67373711396063</v>
      </c>
      <c r="AD106" s="65">
        <v>45602</v>
      </c>
      <c r="AE106" s="66">
        <v>67107.225835870166</v>
      </c>
      <c r="AF106" s="67">
        <v>-6190.9940666666535</v>
      </c>
      <c r="AG106" s="68">
        <v>93170.515933333445</v>
      </c>
      <c r="AH106" s="59">
        <v>0.5</v>
      </c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</row>
    <row r="107" spans="1:68" ht="15" customHeight="1" x14ac:dyDescent="0.25">
      <c r="A107" s="1">
        <f t="shared" si="7"/>
        <v>41</v>
      </c>
      <c r="B107" s="1" t="str">
        <f t="shared" si="4"/>
        <v xml:space="preserve">Pistons </v>
      </c>
      <c r="C107" s="1">
        <f t="shared" si="5"/>
        <v>1</v>
      </c>
      <c r="D107" s="2" t="str">
        <f t="shared" si="6"/>
        <v>2024-11</v>
      </c>
      <c r="E107" s="3" t="s">
        <v>158</v>
      </c>
      <c r="F107" s="4" t="s">
        <v>74</v>
      </c>
      <c r="G107" s="5">
        <v>45602</v>
      </c>
      <c r="H107" s="40">
        <v>-115</v>
      </c>
      <c r="I107" s="40">
        <v>-104</v>
      </c>
      <c r="J107" s="7">
        <v>102</v>
      </c>
      <c r="K107" s="55">
        <v>3.4247053688345824E-2</v>
      </c>
      <c r="L107" s="56">
        <v>1.6953986974428625E-2</v>
      </c>
      <c r="M107" s="57">
        <v>-104.91949910554564</v>
      </c>
      <c r="N107" s="69">
        <v>2.02</v>
      </c>
      <c r="O107" s="58">
        <v>1522.0446766608832</v>
      </c>
      <c r="P107" s="13" t="s">
        <v>75</v>
      </c>
      <c r="Q107" s="13" t="s">
        <v>92</v>
      </c>
      <c r="R107" s="14"/>
      <c r="S107" s="13"/>
      <c r="T107" s="13">
        <v>298.83</v>
      </c>
      <c r="U107" s="32">
        <v>298.83</v>
      </c>
      <c r="V107" s="31" t="s">
        <v>77</v>
      </c>
      <c r="W107" s="59"/>
      <c r="X107" s="59"/>
      <c r="Y107" s="60"/>
      <c r="Z107" s="61"/>
      <c r="AA107" s="62"/>
      <c r="AB107" s="63">
        <v>304.81</v>
      </c>
      <c r="AC107" s="64">
        <v>10.234047053688382</v>
      </c>
      <c r="AD107" s="65">
        <v>45602</v>
      </c>
      <c r="AE107" s="66">
        <v>67377.567609014164</v>
      </c>
      <c r="AF107" s="67">
        <v>-9031.2990666666556</v>
      </c>
      <c r="AG107" s="68">
        <v>90663.89093333346</v>
      </c>
      <c r="AH107" s="59">
        <v>0.5</v>
      </c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</row>
    <row r="108" spans="1:68" ht="15" customHeight="1" x14ac:dyDescent="0.25">
      <c r="A108" s="1">
        <f t="shared" si="7"/>
        <v>42</v>
      </c>
      <c r="B108" s="1" t="str">
        <f t="shared" si="4"/>
        <v xml:space="preserve">Bulls </v>
      </c>
      <c r="C108" s="1">
        <f t="shared" si="5"/>
        <v>1</v>
      </c>
      <c r="D108" s="2" t="str">
        <f t="shared" si="6"/>
        <v>2024-11</v>
      </c>
      <c r="E108" s="3" t="s">
        <v>159</v>
      </c>
      <c r="F108" s="4" t="s">
        <v>97</v>
      </c>
      <c r="G108" s="5">
        <v>45603</v>
      </c>
      <c r="H108" s="40">
        <v>-120</v>
      </c>
      <c r="I108" s="40">
        <v>103</v>
      </c>
      <c r="J108" s="7">
        <v>102</v>
      </c>
      <c r="K108" s="55">
        <v>6.1415012942191774E-2</v>
      </c>
      <c r="L108" s="56">
        <v>3.0403471753560285E-2</v>
      </c>
      <c r="M108" s="57">
        <v>-110.72727272727278</v>
      </c>
      <c r="N108" s="69">
        <v>2.02</v>
      </c>
      <c r="O108" s="58">
        <v>2770.3444078459711</v>
      </c>
      <c r="P108" s="13" t="s">
        <v>75</v>
      </c>
      <c r="Q108" s="13" t="s">
        <v>92</v>
      </c>
      <c r="R108" s="14"/>
      <c r="S108" s="13"/>
      <c r="T108" s="13">
        <v>222.04</v>
      </c>
      <c r="U108" s="32">
        <v>222.04</v>
      </c>
      <c r="V108" s="31" t="s">
        <v>77</v>
      </c>
      <c r="W108" s="59"/>
      <c r="X108" s="59"/>
      <c r="Y108" s="60"/>
      <c r="Z108" s="61"/>
      <c r="AA108" s="62"/>
      <c r="AB108" s="63">
        <v>226.48</v>
      </c>
      <c r="AC108" s="64">
        <v>13.636589473684261</v>
      </c>
      <c r="AD108" s="65">
        <v>45603</v>
      </c>
      <c r="AE108" s="66">
        <v>67346.474635935927</v>
      </c>
      <c r="AF108" s="67">
        <v>-7752.0040666666555</v>
      </c>
      <c r="AG108" s="68">
        <v>92021.51593333346</v>
      </c>
      <c r="AH108" s="59">
        <v>0.5</v>
      </c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</row>
    <row r="109" spans="1:68" ht="15" customHeight="1" x14ac:dyDescent="0.25">
      <c r="A109" s="1">
        <f t="shared" si="7"/>
        <v>43</v>
      </c>
      <c r="B109" s="1" t="str">
        <f t="shared" si="4"/>
        <v xml:space="preserve">Jacksonville </v>
      </c>
      <c r="C109" s="1">
        <f t="shared" si="5"/>
        <v>1</v>
      </c>
      <c r="D109" s="2" t="str">
        <f t="shared" si="6"/>
        <v>2024-11</v>
      </c>
      <c r="E109" s="3" t="s">
        <v>160</v>
      </c>
      <c r="F109" s="4" t="s">
        <v>97</v>
      </c>
      <c r="G109" s="5">
        <v>45603</v>
      </c>
      <c r="H109" s="40">
        <v>-114</v>
      </c>
      <c r="I109" s="40">
        <v>-118</v>
      </c>
      <c r="J109" s="7">
        <v>104</v>
      </c>
      <c r="K109" s="55">
        <v>1.1856937569854847E-2</v>
      </c>
      <c r="L109" s="56">
        <v>5.812224298948454E-3</v>
      </c>
      <c r="M109" s="57">
        <v>101.60952840817639</v>
      </c>
      <c r="N109" s="69">
        <v>2.04</v>
      </c>
      <c r="O109" s="58">
        <v>527.28027072991449</v>
      </c>
      <c r="P109" s="13" t="s">
        <v>143</v>
      </c>
      <c r="Q109" s="13" t="s">
        <v>92</v>
      </c>
      <c r="R109" s="14"/>
      <c r="S109" s="13"/>
      <c r="T109" s="13">
        <v>362.95499999999998</v>
      </c>
      <c r="U109" s="32">
        <v>362.95499999999998</v>
      </c>
      <c r="V109" s="31" t="s">
        <v>82</v>
      </c>
      <c r="W109" s="59"/>
      <c r="X109" s="59"/>
      <c r="Y109" s="60"/>
      <c r="Z109" s="61"/>
      <c r="AA109" s="62"/>
      <c r="AB109" s="63">
        <v>-362.95499999999998</v>
      </c>
      <c r="AC109" s="64">
        <v>4.303534775666666</v>
      </c>
      <c r="AD109" s="65">
        <v>45603</v>
      </c>
      <c r="AE109" s="66">
        <v>67342.948989216937</v>
      </c>
      <c r="AF109" s="67">
        <v>-7864.9590666666554</v>
      </c>
      <c r="AG109" s="68">
        <v>92497.995933333455</v>
      </c>
      <c r="AH109" s="59">
        <v>0.5</v>
      </c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</row>
    <row r="110" spans="1:68" ht="15" customHeight="1" x14ac:dyDescent="0.25">
      <c r="A110" s="1">
        <f t="shared" si="7"/>
        <v>43</v>
      </c>
      <c r="B110" s="1" t="str">
        <f t="shared" si="4"/>
        <v xml:space="preserve">Jacksonville </v>
      </c>
      <c r="C110" s="1">
        <f t="shared" si="5"/>
        <v>1</v>
      </c>
      <c r="D110" s="2" t="str">
        <f t="shared" si="6"/>
        <v>2024-11</v>
      </c>
      <c r="E110" s="3" t="s">
        <v>161</v>
      </c>
      <c r="F110" s="4" t="s">
        <v>97</v>
      </c>
      <c r="G110" s="5">
        <v>45603</v>
      </c>
      <c r="H110" s="40">
        <v>-108</v>
      </c>
      <c r="I110" s="40">
        <v>-117</v>
      </c>
      <c r="J110" s="7">
        <v>110</v>
      </c>
      <c r="K110" s="55">
        <v>3.0218538055764917E-2</v>
      </c>
      <c r="L110" s="56">
        <v>1.4389780026554722E-2</v>
      </c>
      <c r="M110" s="57">
        <v>103.84024577572966</v>
      </c>
      <c r="N110" s="69">
        <v>2.1</v>
      </c>
      <c r="O110" s="58">
        <v>1265.5392003242705</v>
      </c>
      <c r="P110" s="13" t="s">
        <v>143</v>
      </c>
      <c r="Q110" s="13" t="s">
        <v>92</v>
      </c>
      <c r="R110" s="14"/>
      <c r="S110" s="13"/>
      <c r="T110" s="13">
        <v>257.5</v>
      </c>
      <c r="U110" s="32">
        <v>257.5</v>
      </c>
      <c r="V110" s="31" t="s">
        <v>82</v>
      </c>
      <c r="W110" s="59"/>
      <c r="X110" s="59"/>
      <c r="Y110" s="60"/>
      <c r="Z110" s="61"/>
      <c r="AA110" s="62"/>
      <c r="AB110" s="63">
        <v>-257.5</v>
      </c>
      <c r="AC110" s="64">
        <v>7.781273549359466</v>
      </c>
      <c r="AD110" s="65">
        <v>45603</v>
      </c>
      <c r="AE110" s="66">
        <v>67350.730262766301</v>
      </c>
      <c r="AF110" s="67">
        <v>-8122.4590666666554</v>
      </c>
      <c r="AG110" s="68">
        <v>92135.040933333454</v>
      </c>
      <c r="AH110" s="59">
        <v>0.5</v>
      </c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</row>
    <row r="111" spans="1:68" ht="15" customHeight="1" x14ac:dyDescent="0.25">
      <c r="A111" s="1">
        <f t="shared" si="7"/>
        <v>43</v>
      </c>
      <c r="B111" s="1" t="str">
        <f t="shared" si="4"/>
        <v xml:space="preserve">Jacksonville </v>
      </c>
      <c r="C111" s="1">
        <f t="shared" si="5"/>
        <v>1</v>
      </c>
      <c r="D111" s="2" t="str">
        <f t="shared" si="6"/>
        <v>2024-11</v>
      </c>
      <c r="E111" s="3" t="s">
        <v>162</v>
      </c>
      <c r="F111" s="4" t="s">
        <v>74</v>
      </c>
      <c r="G111" s="5">
        <v>45603</v>
      </c>
      <c r="H111" s="40">
        <v>-127</v>
      </c>
      <c r="I111" s="40">
        <v>-105</v>
      </c>
      <c r="J111" s="7">
        <v>-108</v>
      </c>
      <c r="K111" s="55">
        <v>5.4437834666428431E-3</v>
      </c>
      <c r="L111" s="56">
        <v>2.8265798769107064E-3</v>
      </c>
      <c r="M111" s="57">
        <v>-109.23012376756866</v>
      </c>
      <c r="N111" s="69">
        <v>1.925925925925926</v>
      </c>
      <c r="O111" s="58">
        <v>270.08717667588809</v>
      </c>
      <c r="P111" s="13" t="s">
        <v>143</v>
      </c>
      <c r="Q111" s="13" t="s">
        <v>92</v>
      </c>
      <c r="R111" s="14"/>
      <c r="S111" s="13"/>
      <c r="T111" s="13">
        <v>1153.875</v>
      </c>
      <c r="U111" s="32">
        <v>1153.875</v>
      </c>
      <c r="V111" s="31" t="s">
        <v>82</v>
      </c>
      <c r="W111" s="59"/>
      <c r="X111" s="59"/>
      <c r="Y111" s="60"/>
      <c r="Z111" s="61"/>
      <c r="AA111" s="62"/>
      <c r="AB111" s="63">
        <v>-1153.875</v>
      </c>
      <c r="AC111" s="64">
        <v>6.2814456475725109</v>
      </c>
      <c r="AD111" s="65">
        <v>45603</v>
      </c>
      <c r="AE111" s="66">
        <v>67357.011708413876</v>
      </c>
      <c r="AF111" s="67">
        <v>-9276.3340666666554</v>
      </c>
      <c r="AG111" s="68">
        <v>91877.540933333454</v>
      </c>
      <c r="AH111" s="59">
        <v>0.5</v>
      </c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</row>
    <row r="112" spans="1:68" ht="15" customHeight="1" x14ac:dyDescent="0.25">
      <c r="A112" s="1">
        <f t="shared" si="7"/>
        <v>43</v>
      </c>
      <c r="B112" s="1" t="str">
        <f t="shared" si="4"/>
        <v xml:space="preserve">Jacksonville </v>
      </c>
      <c r="C112" s="1">
        <f t="shared" si="5"/>
        <v>1</v>
      </c>
      <c r="D112" s="2" t="str">
        <f t="shared" si="6"/>
        <v>2024-11</v>
      </c>
      <c r="E112" s="3" t="s">
        <v>163</v>
      </c>
      <c r="F112" s="4" t="s">
        <v>74</v>
      </c>
      <c r="G112" s="5">
        <v>45603</v>
      </c>
      <c r="H112" s="40">
        <v>-111</v>
      </c>
      <c r="I112" s="40">
        <v>-119</v>
      </c>
      <c r="J112" s="7">
        <v>-103</v>
      </c>
      <c r="K112" s="42">
        <v>-3.0515786276530631E-2</v>
      </c>
      <c r="L112" s="43">
        <v>-1.5483379243756923E-2</v>
      </c>
      <c r="M112" s="44">
        <v>103.29096219507176</v>
      </c>
      <c r="N112" s="70">
        <v>1.970873786407767</v>
      </c>
      <c r="O112" s="45">
        <v>-1425.7795599201577</v>
      </c>
      <c r="P112" s="13" t="s">
        <v>143</v>
      </c>
      <c r="Q112" s="13" t="s">
        <v>92</v>
      </c>
      <c r="R112" s="14"/>
      <c r="S112" s="13"/>
      <c r="T112" s="13">
        <v>1095.0050000000001</v>
      </c>
      <c r="U112" s="32">
        <v>1095.0050000000001</v>
      </c>
      <c r="V112" s="31" t="s">
        <v>82</v>
      </c>
      <c r="W112" s="59"/>
      <c r="X112" s="59"/>
      <c r="Y112" s="60"/>
      <c r="Z112" s="61"/>
      <c r="AA112" s="62"/>
      <c r="AB112" s="63">
        <v>-1095.0050000000001</v>
      </c>
      <c r="AC112" s="64">
        <v>-33.414938551732426</v>
      </c>
      <c r="AD112" s="65">
        <v>45603</v>
      </c>
      <c r="AE112" s="66">
        <v>67323.596769862139</v>
      </c>
      <c r="AF112" s="67">
        <v>-10371.339066666656</v>
      </c>
      <c r="AG112" s="68">
        <v>90723.665933333454</v>
      </c>
      <c r="AH112" s="59">
        <v>0.5</v>
      </c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</row>
    <row r="113" spans="1:68" ht="15" customHeight="1" x14ac:dyDescent="0.25">
      <c r="A113" s="1">
        <f t="shared" si="7"/>
        <v>43</v>
      </c>
      <c r="B113" s="1" t="str">
        <f t="shared" si="4"/>
        <v xml:space="preserve">Jacksonville </v>
      </c>
      <c r="C113" s="1">
        <f t="shared" si="5"/>
        <v>1</v>
      </c>
      <c r="D113" s="2" t="str">
        <f t="shared" si="6"/>
        <v>2024-11</v>
      </c>
      <c r="E113" s="3" t="s">
        <v>160</v>
      </c>
      <c r="F113" s="4" t="s">
        <v>74</v>
      </c>
      <c r="G113" s="5">
        <v>45603</v>
      </c>
      <c r="H113" s="40">
        <v>-112</v>
      </c>
      <c r="I113" s="40">
        <v>-110</v>
      </c>
      <c r="J113" s="7">
        <v>104</v>
      </c>
      <c r="K113" s="55">
        <v>2.4355251921434791E-2</v>
      </c>
      <c r="L113" s="56">
        <v>1.1938848981095485E-2</v>
      </c>
      <c r="M113" s="57">
        <v>-100.85763293310465</v>
      </c>
      <c r="N113" s="69">
        <v>2.04</v>
      </c>
      <c r="O113" s="58">
        <v>1049.4849117366332</v>
      </c>
      <c r="P113" s="13" t="s">
        <v>143</v>
      </c>
      <c r="Q113" s="13" t="s">
        <v>92</v>
      </c>
      <c r="R113" s="14"/>
      <c r="S113" s="13"/>
      <c r="T113" s="13">
        <v>1031.83</v>
      </c>
      <c r="U113" s="32">
        <v>1031.83</v>
      </c>
      <c r="V113" s="31" t="s">
        <v>82</v>
      </c>
      <c r="W113" s="59"/>
      <c r="X113" s="59"/>
      <c r="Y113" s="60"/>
      <c r="Z113" s="61"/>
      <c r="AA113" s="62"/>
      <c r="AB113" s="63">
        <v>-1031.83</v>
      </c>
      <c r="AC113" s="64">
        <v>25.130479590094058</v>
      </c>
      <c r="AD113" s="65">
        <v>45603</v>
      </c>
      <c r="AE113" s="66">
        <v>67348.727249452233</v>
      </c>
      <c r="AF113" s="67">
        <v>-11403.169066666656</v>
      </c>
      <c r="AG113" s="68">
        <v>89628.660933333449</v>
      </c>
      <c r="AH113" s="59">
        <v>0.5</v>
      </c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</row>
    <row r="114" spans="1:68" ht="15" customHeight="1" x14ac:dyDescent="0.25">
      <c r="A114" s="1">
        <f t="shared" si="7"/>
        <v>43</v>
      </c>
      <c r="B114" s="1" t="str">
        <f t="shared" si="4"/>
        <v xml:space="preserve">Jacksonville </v>
      </c>
      <c r="C114" s="1">
        <f t="shared" si="5"/>
        <v>1</v>
      </c>
      <c r="D114" s="2" t="str">
        <f t="shared" si="6"/>
        <v>2024-11</v>
      </c>
      <c r="E114" s="3" t="s">
        <v>161</v>
      </c>
      <c r="F114" s="4" t="s">
        <v>74</v>
      </c>
      <c r="G114" s="5">
        <v>45603</v>
      </c>
      <c r="H114" s="40">
        <v>-108</v>
      </c>
      <c r="I114" s="40">
        <v>-117</v>
      </c>
      <c r="J114" s="7">
        <v>110</v>
      </c>
      <c r="K114" s="42">
        <v>3.0218538055764917E-2</v>
      </c>
      <c r="L114" s="43">
        <v>1.4389780026554722E-2</v>
      </c>
      <c r="M114" s="44">
        <v>103.84024577572966</v>
      </c>
      <c r="N114" s="70">
        <v>2.1</v>
      </c>
      <c r="O114" s="45">
        <v>1216.9394123541394</v>
      </c>
      <c r="P114" s="13" t="s">
        <v>143</v>
      </c>
      <c r="Q114" s="13" t="s">
        <v>92</v>
      </c>
      <c r="R114" s="14"/>
      <c r="S114" s="13"/>
      <c r="T114" s="13">
        <v>975.55</v>
      </c>
      <c r="U114" s="32">
        <v>975.55</v>
      </c>
      <c r="V114" s="31" t="s">
        <v>82</v>
      </c>
      <c r="W114" s="59"/>
      <c r="X114" s="59"/>
      <c r="Y114" s="60"/>
      <c r="Z114" s="61"/>
      <c r="AA114" s="62"/>
      <c r="AB114" s="63">
        <v>-975.55</v>
      </c>
      <c r="AC114" s="64">
        <v>29.479694800301463</v>
      </c>
      <c r="AD114" s="65">
        <v>45603</v>
      </c>
      <c r="AE114" s="66">
        <v>67378.206944252539</v>
      </c>
      <c r="AF114" s="67">
        <v>-12378.719066666656</v>
      </c>
      <c r="AG114" s="68">
        <v>88596.830933333447</v>
      </c>
      <c r="AH114" s="59">
        <v>0.5</v>
      </c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</row>
    <row r="115" spans="1:68" ht="15" customHeight="1" x14ac:dyDescent="0.25">
      <c r="A115" s="1">
        <f t="shared" si="7"/>
        <v>43</v>
      </c>
      <c r="B115" s="1" t="str">
        <f t="shared" si="4"/>
        <v xml:space="preserve">Jacksonville </v>
      </c>
      <c r="C115" s="1">
        <f t="shared" si="5"/>
        <v>1</v>
      </c>
      <c r="D115" s="2" t="str">
        <f t="shared" si="6"/>
        <v>2024-11</v>
      </c>
      <c r="E115" s="3" t="s">
        <v>164</v>
      </c>
      <c r="F115" s="4" t="s">
        <v>74</v>
      </c>
      <c r="G115" s="5">
        <v>45603</v>
      </c>
      <c r="H115" s="40">
        <v>100</v>
      </c>
      <c r="I115" s="40">
        <v>-122</v>
      </c>
      <c r="J115" s="7">
        <v>114</v>
      </c>
      <c r="K115" s="55">
        <v>1.9484978540772229E-2</v>
      </c>
      <c r="L115" s="56">
        <v>9.1051301592393608E-3</v>
      </c>
      <c r="M115" s="57">
        <v>109.90990990990991</v>
      </c>
      <c r="N115" s="69">
        <v>2.1399999999999997</v>
      </c>
      <c r="O115" s="58">
        <v>748.81525381621827</v>
      </c>
      <c r="P115" s="13" t="s">
        <v>143</v>
      </c>
      <c r="Q115" s="13" t="s">
        <v>92</v>
      </c>
      <c r="R115" s="14"/>
      <c r="S115" s="13"/>
      <c r="T115" s="13">
        <v>941.32</v>
      </c>
      <c r="U115" s="32">
        <v>941.32</v>
      </c>
      <c r="V115" s="31" t="s">
        <v>82</v>
      </c>
      <c r="W115" s="59"/>
      <c r="X115" s="59"/>
      <c r="Y115" s="60"/>
      <c r="Z115" s="61"/>
      <c r="AA115" s="62"/>
      <c r="AB115" s="63">
        <v>-941.32</v>
      </c>
      <c r="AC115" s="64">
        <v>18.341599999999715</v>
      </c>
      <c r="AD115" s="65">
        <v>45603</v>
      </c>
      <c r="AE115" s="66">
        <v>67396.548544252539</v>
      </c>
      <c r="AF115" s="67">
        <v>-13320.039066666655</v>
      </c>
      <c r="AG115" s="68">
        <v>87621.280933333444</v>
      </c>
      <c r="AH115" s="59">
        <v>0.5</v>
      </c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</row>
    <row r="116" spans="1:68" ht="15" customHeight="1" x14ac:dyDescent="0.25">
      <c r="A116" s="1">
        <f t="shared" si="7"/>
        <v>44</v>
      </c>
      <c r="B116" s="1" t="str">
        <f t="shared" si="4"/>
        <v xml:space="preserve">Jazz </v>
      </c>
      <c r="C116" s="1">
        <f t="shared" si="5"/>
        <v>0</v>
      </c>
      <c r="D116" s="2" t="str">
        <f t="shared" si="6"/>
        <v>2024-11</v>
      </c>
      <c r="E116" s="3" t="s">
        <v>165</v>
      </c>
      <c r="F116" s="4" t="s">
        <v>97</v>
      </c>
      <c r="G116" s="5">
        <v>45603</v>
      </c>
      <c r="H116" s="40">
        <v>152</v>
      </c>
      <c r="I116" s="40">
        <v>-175</v>
      </c>
      <c r="J116" s="7">
        <v>163</v>
      </c>
      <c r="K116" s="42">
        <v>1.012569832402233E-2</v>
      </c>
      <c r="L116" s="43">
        <v>3.85007540837351E-3</v>
      </c>
      <c r="M116" s="44">
        <v>160.36363636363637</v>
      </c>
      <c r="N116" s="70">
        <v>2.63</v>
      </c>
      <c r="O116" s="45">
        <v>282.44357628297399</v>
      </c>
      <c r="P116" s="13" t="s">
        <v>75</v>
      </c>
      <c r="Q116" s="13" t="s">
        <v>81</v>
      </c>
      <c r="R116" s="14"/>
      <c r="S116" s="13"/>
      <c r="T116" s="13">
        <v>173.68</v>
      </c>
      <c r="U116" s="32">
        <v>173.68</v>
      </c>
      <c r="V116" s="31" t="s">
        <v>77</v>
      </c>
      <c r="W116" s="59"/>
      <c r="X116" s="59"/>
      <c r="Y116" s="60"/>
      <c r="Z116" s="61"/>
      <c r="AA116" s="62"/>
      <c r="AB116" s="63">
        <v>283.10000000000002</v>
      </c>
      <c r="AC116" s="64">
        <v>1.7586312849161985</v>
      </c>
      <c r="AD116" s="65">
        <v>45603</v>
      </c>
      <c r="AE116" s="66">
        <v>67327.83838165777</v>
      </c>
      <c r="AF116" s="67">
        <v>-8783.314066666655</v>
      </c>
      <c r="AG116" s="68">
        <v>90933.585933333452</v>
      </c>
      <c r="AH116" s="59">
        <v>0.5</v>
      </c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</row>
    <row r="117" spans="1:68" ht="15" customHeight="1" x14ac:dyDescent="0.25">
      <c r="A117" s="1">
        <f t="shared" si="7"/>
        <v>44</v>
      </c>
      <c r="B117" s="1" t="str">
        <f t="shared" si="4"/>
        <v xml:space="preserve">Jazz </v>
      </c>
      <c r="C117" s="1">
        <f t="shared" si="5"/>
        <v>0</v>
      </c>
      <c r="D117" s="2" t="str">
        <f t="shared" si="6"/>
        <v>2024-11</v>
      </c>
      <c r="E117" s="3" t="s">
        <v>165</v>
      </c>
      <c r="F117" s="4" t="s">
        <v>74</v>
      </c>
      <c r="G117" s="5">
        <v>45603</v>
      </c>
      <c r="H117" s="40">
        <v>152</v>
      </c>
      <c r="I117" s="40">
        <v>-175</v>
      </c>
      <c r="J117" s="7">
        <v>163</v>
      </c>
      <c r="K117" s="55">
        <v>1.012569832402233E-2</v>
      </c>
      <c r="L117" s="56">
        <v>3.85007540837351E-3</v>
      </c>
      <c r="M117" s="57">
        <v>160.36363636363637</v>
      </c>
      <c r="N117" s="69">
        <v>2.63</v>
      </c>
      <c r="O117" s="58">
        <v>283.32289689509997</v>
      </c>
      <c r="P117" s="13" t="s">
        <v>75</v>
      </c>
      <c r="Q117" s="13" t="s">
        <v>81</v>
      </c>
      <c r="R117" s="14"/>
      <c r="S117" s="13"/>
      <c r="T117" s="13">
        <v>493.76</v>
      </c>
      <c r="U117" s="32">
        <v>493.76</v>
      </c>
      <c r="V117" s="31" t="s">
        <v>77</v>
      </c>
      <c r="W117" s="59"/>
      <c r="X117" s="59"/>
      <c r="Y117" s="60"/>
      <c r="Z117" s="61"/>
      <c r="AA117" s="62"/>
      <c r="AB117" s="63">
        <v>804.83</v>
      </c>
      <c r="AC117" s="64">
        <v>4.9996648044692655</v>
      </c>
      <c r="AD117" s="65">
        <v>45603</v>
      </c>
      <c r="AE117" s="66">
        <v>67332.838046462246</v>
      </c>
      <c r="AF117" s="67">
        <v>-7978.4840666666551</v>
      </c>
      <c r="AG117" s="68">
        <v>91216.685933333458</v>
      </c>
      <c r="AH117" s="59">
        <v>0.5</v>
      </c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</row>
    <row r="118" spans="1:68" ht="15" customHeight="1" x14ac:dyDescent="0.25">
      <c r="A118" s="1">
        <f t="shared" si="7"/>
        <v>45</v>
      </c>
      <c r="B118" s="1" t="str">
        <f t="shared" si="4"/>
        <v xml:space="preserve">Belmont </v>
      </c>
      <c r="C118" s="1">
        <f t="shared" si="5"/>
        <v>0</v>
      </c>
      <c r="D118" s="2" t="str">
        <f t="shared" si="6"/>
        <v>2024-11</v>
      </c>
      <c r="E118" s="3" t="s">
        <v>166</v>
      </c>
      <c r="F118" s="4" t="s">
        <v>97</v>
      </c>
      <c r="G118" s="71">
        <v>45604</v>
      </c>
      <c r="H118" s="40">
        <v>-145</v>
      </c>
      <c r="I118" s="40">
        <v>120</v>
      </c>
      <c r="J118" s="7">
        <v>-114</v>
      </c>
      <c r="K118" s="42">
        <v>6.1745676247355996E-2</v>
      </c>
      <c r="L118" s="43">
        <v>3.2892556505600856E-2</v>
      </c>
      <c r="M118" s="44">
        <v>-130.20408163265304</v>
      </c>
      <c r="N118" s="70">
        <v>1.8771929824561404</v>
      </c>
      <c r="O118" s="45">
        <v>3456.4833484515407</v>
      </c>
      <c r="P118" s="32" t="s">
        <v>143</v>
      </c>
      <c r="Q118" s="72" t="s">
        <v>81</v>
      </c>
      <c r="R118" s="73"/>
      <c r="S118" s="32"/>
      <c r="T118" s="32">
        <v>249.81</v>
      </c>
      <c r="U118" s="32">
        <v>249.81</v>
      </c>
      <c r="V118" s="74" t="s">
        <v>82</v>
      </c>
      <c r="W118" s="15"/>
      <c r="X118" s="15"/>
      <c r="Y118" s="16"/>
      <c r="Z118" s="17"/>
      <c r="AA118" s="18"/>
      <c r="AB118" s="75">
        <v>-249.81</v>
      </c>
      <c r="AC118" s="20">
        <v>15.424687383352001</v>
      </c>
      <c r="AD118" s="21">
        <v>45604</v>
      </c>
      <c r="AE118" s="22">
        <v>69044.331452213053</v>
      </c>
      <c r="AF118" s="23">
        <v>-2040.4090666666543</v>
      </c>
      <c r="AG118" s="24">
        <v>98209.400933333425</v>
      </c>
      <c r="AH118" s="15">
        <v>0.5</v>
      </c>
      <c r="AI118" s="76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</row>
    <row r="119" spans="1:68" ht="15" customHeight="1" x14ac:dyDescent="0.25">
      <c r="A119" s="1">
        <f t="shared" si="7"/>
        <v>45</v>
      </c>
      <c r="B119" s="1" t="str">
        <f t="shared" si="4"/>
        <v xml:space="preserve">Belmont </v>
      </c>
      <c r="C119" s="1">
        <f t="shared" si="5"/>
        <v>0</v>
      </c>
      <c r="D119" s="2" t="str">
        <f t="shared" si="6"/>
        <v>2024-11</v>
      </c>
      <c r="E119" s="3" t="s">
        <v>166</v>
      </c>
      <c r="F119" s="4" t="s">
        <v>74</v>
      </c>
      <c r="G119" s="71">
        <v>45604</v>
      </c>
      <c r="H119" s="40">
        <v>-145</v>
      </c>
      <c r="I119" s="40">
        <v>120</v>
      </c>
      <c r="J119" s="7">
        <v>-113</v>
      </c>
      <c r="K119" s="42">
        <v>6.6136320843532215E-2</v>
      </c>
      <c r="L119" s="43">
        <v>3.5086404954549955E-2</v>
      </c>
      <c r="M119" s="44">
        <v>-130.20408163265304</v>
      </c>
      <c r="N119" s="70">
        <v>1.8849557522123894</v>
      </c>
      <c r="O119" s="45">
        <v>3660.4581186524811</v>
      </c>
      <c r="P119" s="32" t="s">
        <v>143</v>
      </c>
      <c r="Q119" s="72" t="s">
        <v>81</v>
      </c>
      <c r="R119" s="73"/>
      <c r="S119" s="32"/>
      <c r="T119" s="32">
        <v>602.14</v>
      </c>
      <c r="U119" s="32">
        <v>602.14</v>
      </c>
      <c r="V119" s="74" t="s">
        <v>82</v>
      </c>
      <c r="W119" s="15"/>
      <c r="X119" s="15"/>
      <c r="Y119" s="16"/>
      <c r="Z119" s="17"/>
      <c r="AA119" s="18"/>
      <c r="AB119" s="75">
        <v>-602.14</v>
      </c>
      <c r="AC119" s="20">
        <v>39.823324232724488</v>
      </c>
      <c r="AD119" s="21">
        <v>45604</v>
      </c>
      <c r="AE119" s="22">
        <v>69084.154776445779</v>
      </c>
      <c r="AF119" s="23">
        <v>-2642.5490666666542</v>
      </c>
      <c r="AG119" s="24">
        <v>97959.590933333428</v>
      </c>
      <c r="AH119" s="15">
        <v>0.5</v>
      </c>
      <c r="AI119" s="76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</row>
    <row r="120" spans="1:68" ht="15" customHeight="1" x14ac:dyDescent="0.25">
      <c r="A120" s="1">
        <f t="shared" si="7"/>
        <v>46</v>
      </c>
      <c r="B120" s="1" t="str">
        <f t="shared" si="4"/>
        <v xml:space="preserve">Charleston </v>
      </c>
      <c r="C120" s="1">
        <f t="shared" si="5"/>
        <v>0</v>
      </c>
      <c r="D120" s="2" t="str">
        <f t="shared" si="6"/>
        <v>2024-11</v>
      </c>
      <c r="E120" s="3" t="s">
        <v>167</v>
      </c>
      <c r="F120" s="4" t="s">
        <v>74</v>
      </c>
      <c r="G120" s="71">
        <v>45604</v>
      </c>
      <c r="H120" s="40">
        <v>-222</v>
      </c>
      <c r="I120" s="40">
        <v>175</v>
      </c>
      <c r="J120" s="7">
        <v>-182</v>
      </c>
      <c r="K120" s="42">
        <v>1.4412397254220371E-2</v>
      </c>
      <c r="L120" s="43">
        <v>9.3016180860571174E-3</v>
      </c>
      <c r="M120" s="44">
        <v>-189.59627329192546</v>
      </c>
      <c r="N120" s="70">
        <v>1.5494505494505495</v>
      </c>
      <c r="O120" s="45">
        <v>1258.4895705251181</v>
      </c>
      <c r="P120" s="32" t="s">
        <v>143</v>
      </c>
      <c r="Q120" s="78" t="s">
        <v>81</v>
      </c>
      <c r="R120" s="79"/>
      <c r="S120" s="32"/>
      <c r="T120" s="32">
        <v>2727.2750000000001</v>
      </c>
      <c r="U120" s="32">
        <v>2727.2750000000001</v>
      </c>
      <c r="V120" s="74" t="s">
        <v>77</v>
      </c>
      <c r="W120" s="15"/>
      <c r="X120" s="15"/>
      <c r="Y120" s="16"/>
      <c r="Z120" s="17"/>
      <c r="AA120" s="18"/>
      <c r="AB120" s="75">
        <v>1498.5</v>
      </c>
      <c r="AC120" s="20">
        <v>39.30657072150386</v>
      </c>
      <c r="AD120" s="21">
        <v>45604</v>
      </c>
      <c r="AE120" s="22">
        <v>68978.342919933595</v>
      </c>
      <c r="AF120" s="23">
        <v>-2545.5290666666542</v>
      </c>
      <c r="AG120" s="24">
        <v>95955.970933333432</v>
      </c>
      <c r="AH120" s="15">
        <v>0.5</v>
      </c>
      <c r="AI120" s="76"/>
      <c r="AJ120" s="76"/>
      <c r="AK120" s="76"/>
      <c r="AL120" s="76"/>
      <c r="AM120" s="76"/>
      <c r="AN120" s="76"/>
      <c r="AO120" s="76"/>
      <c r="AP120" s="77"/>
      <c r="AQ120" s="77"/>
      <c r="AR120" s="77"/>
      <c r="AS120" s="77"/>
      <c r="AT120" s="77"/>
      <c r="AU120" s="77"/>
      <c r="AV120" s="77"/>
      <c r="AW120" s="77"/>
      <c r="AX120" s="76"/>
      <c r="AY120" s="76"/>
      <c r="AZ120" s="76"/>
      <c r="BA120" s="76"/>
      <c r="BB120" s="76"/>
      <c r="BC120" s="76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6"/>
    </row>
    <row r="121" spans="1:68" ht="15" customHeight="1" x14ac:dyDescent="0.25">
      <c r="A121" s="1">
        <f t="shared" si="7"/>
        <v>47</v>
      </c>
      <c r="B121" s="1" t="str">
        <f t="shared" si="4"/>
        <v xml:space="preserve">East </v>
      </c>
      <c r="C121" s="1">
        <f t="shared" si="5"/>
        <v>0</v>
      </c>
      <c r="D121" s="2" t="str">
        <f t="shared" si="6"/>
        <v>2024-11</v>
      </c>
      <c r="E121" s="3" t="s">
        <v>168</v>
      </c>
      <c r="F121" s="4" t="s">
        <v>74</v>
      </c>
      <c r="G121" s="71">
        <v>45604</v>
      </c>
      <c r="H121" s="40">
        <v>-136</v>
      </c>
      <c r="I121" s="40">
        <v>115</v>
      </c>
      <c r="J121" s="7">
        <v>-109</v>
      </c>
      <c r="K121" s="42">
        <v>6.1046329927980883E-2</v>
      </c>
      <c r="L121" s="43">
        <v>3.1837559627511558E-2</v>
      </c>
      <c r="M121" s="44">
        <v>-123.89830508474581</v>
      </c>
      <c r="N121" s="70">
        <v>1.9174311926605505</v>
      </c>
      <c r="O121" s="45">
        <v>3288.8530564118269</v>
      </c>
      <c r="P121" s="32" t="s">
        <v>143</v>
      </c>
      <c r="Q121" s="78" t="s">
        <v>76</v>
      </c>
      <c r="R121" s="79"/>
      <c r="S121" s="32"/>
      <c r="T121" s="32">
        <v>1635</v>
      </c>
      <c r="U121" s="32">
        <v>2712.83</v>
      </c>
      <c r="V121" s="74" t="s">
        <v>82</v>
      </c>
      <c r="W121" s="15"/>
      <c r="X121" s="15"/>
      <c r="Y121" s="16"/>
      <c r="Z121" s="17"/>
      <c r="AA121" s="18"/>
      <c r="AB121" s="75">
        <v>-1635</v>
      </c>
      <c r="AC121" s="20">
        <v>99.810749432248741</v>
      </c>
      <c r="AD121" s="21">
        <v>45604</v>
      </c>
      <c r="AE121" s="22">
        <v>69269.678539774963</v>
      </c>
      <c r="AF121" s="23">
        <v>-2782.3290666666544</v>
      </c>
      <c r="AG121" s="24">
        <v>98852.670933333429</v>
      </c>
      <c r="AH121" s="15">
        <v>0.5</v>
      </c>
      <c r="AI121" s="76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7"/>
      <c r="BN121" s="77"/>
      <c r="BO121" s="77"/>
      <c r="BP121" s="77"/>
    </row>
    <row r="122" spans="1:68" ht="15" customHeight="1" x14ac:dyDescent="0.25">
      <c r="A122" s="1">
        <f t="shared" si="7"/>
        <v>48</v>
      </c>
      <c r="B122" s="1" t="str">
        <f t="shared" si="4"/>
        <v xml:space="preserve">Florida </v>
      </c>
      <c r="C122" s="1">
        <f t="shared" si="5"/>
        <v>1</v>
      </c>
      <c r="D122" s="2" t="str">
        <f t="shared" si="6"/>
        <v>2024-11</v>
      </c>
      <c r="E122" s="3" t="s">
        <v>169</v>
      </c>
      <c r="F122" s="4" t="s">
        <v>83</v>
      </c>
      <c r="G122" s="5">
        <v>45604</v>
      </c>
      <c r="H122" s="40">
        <v>-133</v>
      </c>
      <c r="I122" s="40">
        <v>-102</v>
      </c>
      <c r="J122" s="7">
        <v>112</v>
      </c>
      <c r="K122" s="55">
        <v>0.1248996681940276</v>
      </c>
      <c r="L122" s="56">
        <v>5.8914937827371505E-2</v>
      </c>
      <c r="M122" s="57">
        <v>-113.0438441471009</v>
      </c>
      <c r="N122" s="69">
        <v>2.12</v>
      </c>
      <c r="O122" s="58">
        <v>5377.2017554673785</v>
      </c>
      <c r="P122" s="13" t="s">
        <v>143</v>
      </c>
      <c r="Q122" s="13" t="s">
        <v>92</v>
      </c>
      <c r="R122" s="14"/>
      <c r="S122" s="13"/>
      <c r="T122" s="13">
        <v>480.89</v>
      </c>
      <c r="U122" s="32">
        <v>2419.11</v>
      </c>
      <c r="V122" s="31" t="s">
        <v>82</v>
      </c>
      <c r="W122" s="15"/>
      <c r="X122" s="15"/>
      <c r="Y122" s="16"/>
      <c r="Z122" s="17"/>
      <c r="AA122" s="18"/>
      <c r="AB122" s="19">
        <v>-480.89</v>
      </c>
      <c r="AC122" s="20">
        <v>60.063001437825932</v>
      </c>
      <c r="AD122" s="21">
        <v>45604</v>
      </c>
      <c r="AE122" s="22">
        <v>68939.036349212096</v>
      </c>
      <c r="AF122" s="23">
        <v>-4044.0290666666542</v>
      </c>
      <c r="AG122" s="24">
        <v>96436.860933333432</v>
      </c>
      <c r="AH122" s="15">
        <v>0.5</v>
      </c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</row>
    <row r="123" spans="1:68" ht="15" customHeight="1" x14ac:dyDescent="0.25">
      <c r="A123" s="1">
        <f t="shared" si="7"/>
        <v>49</v>
      </c>
      <c r="B123" s="1" t="str">
        <f t="shared" si="4"/>
        <v xml:space="preserve">Fresno </v>
      </c>
      <c r="C123" s="1">
        <f t="shared" si="5"/>
        <v>0</v>
      </c>
      <c r="D123" s="2" t="str">
        <f t="shared" si="6"/>
        <v>2024-11</v>
      </c>
      <c r="E123" s="3" t="s">
        <v>170</v>
      </c>
      <c r="F123" s="4" t="s">
        <v>97</v>
      </c>
      <c r="G123" s="5">
        <v>45604</v>
      </c>
      <c r="H123" s="40">
        <v>-312</v>
      </c>
      <c r="I123" s="40">
        <v>235</v>
      </c>
      <c r="J123" s="7">
        <v>-230</v>
      </c>
      <c r="K123" s="55">
        <v>2.9120767642530448E-2</v>
      </c>
      <c r="L123" s="56">
        <v>2.0296292599339405E-2</v>
      </c>
      <c r="M123" s="57">
        <v>-253.68932038834942</v>
      </c>
      <c r="N123" s="69">
        <v>1.4347826086956521</v>
      </c>
      <c r="O123" s="58">
        <v>3204.6101657608019</v>
      </c>
      <c r="P123" s="13" t="s">
        <v>143</v>
      </c>
      <c r="Q123" s="13" t="s">
        <v>81</v>
      </c>
      <c r="R123" s="14"/>
      <c r="S123" s="13"/>
      <c r="T123" s="13">
        <v>1713.7249999999999</v>
      </c>
      <c r="U123" s="32">
        <v>1186.2750000000001</v>
      </c>
      <c r="V123" s="31" t="s">
        <v>77</v>
      </c>
      <c r="W123" s="15"/>
      <c r="X123" s="15"/>
      <c r="Y123" s="16"/>
      <c r="Z123" s="17"/>
      <c r="AA123" s="18"/>
      <c r="AB123" s="19">
        <v>745.1</v>
      </c>
      <c r="AC123" s="20">
        <v>49.904987528195491</v>
      </c>
      <c r="AD123" s="21">
        <v>45604</v>
      </c>
      <c r="AE123" s="22">
        <v>68878.97334777427</v>
      </c>
      <c r="AF123" s="23">
        <v>-3563.1390666666543</v>
      </c>
      <c r="AG123" s="24">
        <v>95691.760933333426</v>
      </c>
      <c r="AH123" s="15">
        <v>0.5</v>
      </c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</row>
    <row r="124" spans="1:68" ht="15" customHeight="1" x14ac:dyDescent="0.25">
      <c r="A124" s="1">
        <f t="shared" si="7"/>
        <v>49</v>
      </c>
      <c r="B124" s="1" t="str">
        <f t="shared" si="4"/>
        <v xml:space="preserve">Fresno </v>
      </c>
      <c r="C124" s="1">
        <f t="shared" si="5"/>
        <v>0</v>
      </c>
      <c r="D124" s="2" t="str">
        <f t="shared" si="6"/>
        <v>2024-11</v>
      </c>
      <c r="E124" s="3" t="s">
        <v>170</v>
      </c>
      <c r="F124" s="4" t="s">
        <v>74</v>
      </c>
      <c r="G124" s="71">
        <v>45604</v>
      </c>
      <c r="H124" s="40">
        <v>-312</v>
      </c>
      <c r="I124" s="40">
        <v>235</v>
      </c>
      <c r="J124" s="7">
        <v>-230</v>
      </c>
      <c r="K124" s="55">
        <v>2.9120767642530448E-2</v>
      </c>
      <c r="L124" s="56">
        <v>2.0296292599339405E-2</v>
      </c>
      <c r="M124" s="57">
        <v>-253.68932038834942</v>
      </c>
      <c r="N124" s="69">
        <v>1.4347826086956521</v>
      </c>
      <c r="O124" s="58">
        <v>3263.6413543416415</v>
      </c>
      <c r="P124" s="32" t="s">
        <v>143</v>
      </c>
      <c r="Q124" s="72" t="s">
        <v>81</v>
      </c>
      <c r="R124" s="73"/>
      <c r="S124" s="32"/>
      <c r="T124" s="32">
        <v>1736.35</v>
      </c>
      <c r="U124" s="32">
        <v>5081.6499999999996</v>
      </c>
      <c r="V124" s="74" t="s">
        <v>77</v>
      </c>
      <c r="W124" s="15"/>
      <c r="X124" s="15"/>
      <c r="Y124" s="16"/>
      <c r="Z124" s="17"/>
      <c r="AA124" s="18"/>
      <c r="AB124" s="75">
        <v>754.93</v>
      </c>
      <c r="AC124" s="20">
        <v>50.563844896107739</v>
      </c>
      <c r="AD124" s="21">
        <v>45604</v>
      </c>
      <c r="AE124" s="22">
        <v>69028.906764829706</v>
      </c>
      <c r="AF124" s="23">
        <v>-1790.5990666666544</v>
      </c>
      <c r="AG124" s="24">
        <v>97454.470933333432</v>
      </c>
      <c r="AH124" s="15">
        <v>0.5</v>
      </c>
      <c r="AI124" s="76"/>
      <c r="AJ124" s="76"/>
      <c r="AK124" s="76"/>
      <c r="AL124" s="76"/>
      <c r="AM124" s="76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6"/>
      <c r="AY124" s="76"/>
      <c r="AZ124" s="76"/>
      <c r="BA124" s="76"/>
      <c r="BB124" s="76"/>
      <c r="BC124" s="76"/>
      <c r="BD124" s="77"/>
      <c r="BE124" s="77"/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76"/>
    </row>
    <row r="125" spans="1:68" ht="15" customHeight="1" x14ac:dyDescent="0.25">
      <c r="A125" s="1">
        <f t="shared" si="7"/>
        <v>50</v>
      </c>
      <c r="B125" s="1" t="str">
        <f t="shared" si="4"/>
        <v xml:space="preserve">New </v>
      </c>
      <c r="C125" s="1">
        <f t="shared" si="5"/>
        <v>0</v>
      </c>
      <c r="D125" s="2" t="str">
        <f t="shared" si="6"/>
        <v>2024-11</v>
      </c>
      <c r="E125" s="3" t="s">
        <v>171</v>
      </c>
      <c r="F125" s="4" t="s">
        <v>74</v>
      </c>
      <c r="G125" s="71">
        <v>45604</v>
      </c>
      <c r="H125" s="40">
        <v>-159</v>
      </c>
      <c r="I125" s="40">
        <v>138</v>
      </c>
      <c r="J125" s="7">
        <v>-132</v>
      </c>
      <c r="K125" s="55">
        <v>4.3427909669947869E-2</v>
      </c>
      <c r="L125" s="56">
        <v>2.4708983088073788E-2</v>
      </c>
      <c r="M125" s="57">
        <v>-146.10810810810813</v>
      </c>
      <c r="N125" s="69">
        <v>1.7575757575757576</v>
      </c>
      <c r="O125" s="58">
        <v>2790.5001859872627</v>
      </c>
      <c r="P125" s="32" t="s">
        <v>143</v>
      </c>
      <c r="Q125" s="72" t="s">
        <v>76</v>
      </c>
      <c r="R125" s="73"/>
      <c r="S125" s="32"/>
      <c r="T125" s="32">
        <v>1973.6849999999999</v>
      </c>
      <c r="U125" s="32">
        <v>1973.6849999999999</v>
      </c>
      <c r="V125" s="74" t="s">
        <v>77</v>
      </c>
      <c r="W125" s="15"/>
      <c r="X125" s="15"/>
      <c r="Y125" s="16"/>
      <c r="Z125" s="17"/>
      <c r="AA125" s="18"/>
      <c r="AB125" s="75">
        <v>1495.22</v>
      </c>
      <c r="AC125" s="20">
        <v>85.713013896931059</v>
      </c>
      <c r="AD125" s="21">
        <v>45604</v>
      </c>
      <c r="AE125" s="22">
        <v>69169.867790342716</v>
      </c>
      <c r="AF125" s="23">
        <v>-1147.3290666666542</v>
      </c>
      <c r="AG125" s="24">
        <v>97357.450933333428</v>
      </c>
      <c r="AH125" s="15">
        <v>0.5</v>
      </c>
      <c r="AI125" s="76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</row>
    <row r="126" spans="1:68" ht="15" customHeight="1" x14ac:dyDescent="0.25">
      <c r="A126" s="1">
        <f t="shared" si="7"/>
        <v>51</v>
      </c>
      <c r="B126" s="1" t="str">
        <f t="shared" si="4"/>
        <v xml:space="preserve">UC </v>
      </c>
      <c r="C126" s="1">
        <f t="shared" si="5"/>
        <v>1</v>
      </c>
      <c r="D126" s="2" t="str">
        <f t="shared" si="6"/>
        <v>2024-11</v>
      </c>
      <c r="E126" s="3" t="s">
        <v>172</v>
      </c>
      <c r="F126" s="4" t="s">
        <v>74</v>
      </c>
      <c r="G126" s="5">
        <v>45604</v>
      </c>
      <c r="H126" s="40">
        <v>-132</v>
      </c>
      <c r="I126" s="40">
        <v>106</v>
      </c>
      <c r="J126" s="7">
        <v>100</v>
      </c>
      <c r="K126" s="55">
        <v>7.9218923638672889E-2</v>
      </c>
      <c r="L126" s="56">
        <v>3.9609461819336444E-2</v>
      </c>
      <c r="M126" s="57">
        <v>-117.20689655172416</v>
      </c>
      <c r="N126" s="69">
        <v>2</v>
      </c>
      <c r="O126" s="58">
        <v>3737.1270134730457</v>
      </c>
      <c r="P126" s="13" t="s">
        <v>143</v>
      </c>
      <c r="Q126" s="13" t="s">
        <v>92</v>
      </c>
      <c r="R126" s="14"/>
      <c r="S126" s="13"/>
      <c r="T126" s="13">
        <v>1073.105</v>
      </c>
      <c r="U126" s="32">
        <v>1073.105</v>
      </c>
      <c r="V126" s="31" t="s">
        <v>77</v>
      </c>
      <c r="W126" s="15"/>
      <c r="X126" s="15"/>
      <c r="Y126" s="16"/>
      <c r="Z126" s="17"/>
      <c r="AA126" s="18"/>
      <c r="AB126" s="19">
        <v>1073.1099999999999</v>
      </c>
      <c r="AC126" s="20">
        <v>85.010223051278075</v>
      </c>
      <c r="AD126" s="21">
        <v>45604</v>
      </c>
      <c r="AE126" s="22">
        <v>68809.495712231495</v>
      </c>
      <c r="AF126" s="23">
        <v>-4577.5390666666544</v>
      </c>
      <c r="AG126" s="24">
        <v>94349.350933333422</v>
      </c>
      <c r="AH126" s="15">
        <v>0.5</v>
      </c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</row>
    <row r="127" spans="1:68" ht="15" customHeight="1" x14ac:dyDescent="0.25">
      <c r="A127" s="1">
        <f t="shared" si="7"/>
        <v>52</v>
      </c>
      <c r="B127" s="1" t="str">
        <f t="shared" si="4"/>
        <v xml:space="preserve">Wolves </v>
      </c>
      <c r="C127" s="1">
        <f t="shared" si="5"/>
        <v>0</v>
      </c>
      <c r="D127" s="2" t="str">
        <f t="shared" si="6"/>
        <v>2024-11</v>
      </c>
      <c r="E127" s="3" t="s">
        <v>173</v>
      </c>
      <c r="F127" s="4" t="s">
        <v>83</v>
      </c>
      <c r="G127" s="5">
        <v>45604</v>
      </c>
      <c r="H127" s="40">
        <v>-134</v>
      </c>
      <c r="I127" s="40">
        <v>102</v>
      </c>
      <c r="J127" s="7">
        <v>100</v>
      </c>
      <c r="K127" s="8">
        <v>7.2679717841008129E-2</v>
      </c>
      <c r="L127" s="9">
        <v>3.6339858920504065E-2</v>
      </c>
      <c r="M127" s="10">
        <v>-115.67521367521367</v>
      </c>
      <c r="N127" s="11">
        <v>2</v>
      </c>
      <c r="O127" s="12">
        <v>3467.638768164647</v>
      </c>
      <c r="P127" s="13" t="s">
        <v>75</v>
      </c>
      <c r="Q127" s="13"/>
      <c r="R127" s="14"/>
      <c r="S127" s="13"/>
      <c r="T127" s="13">
        <v>269.3</v>
      </c>
      <c r="U127" s="32">
        <v>2630.7</v>
      </c>
      <c r="V127" s="31" t="s">
        <v>77</v>
      </c>
      <c r="W127" s="15"/>
      <c r="X127" s="15"/>
      <c r="Y127" s="16"/>
      <c r="Z127" s="17"/>
      <c r="AA127" s="18"/>
      <c r="AB127" s="19">
        <v>269.3</v>
      </c>
      <c r="AC127" s="20">
        <v>19.572648014583489</v>
      </c>
      <c r="AD127" s="21">
        <v>45604</v>
      </c>
      <c r="AE127" s="22">
        <v>68829.068360246078</v>
      </c>
      <c r="AF127" s="23">
        <v>-4308.2390666666543</v>
      </c>
      <c r="AG127" s="24">
        <v>95422.460933333423</v>
      </c>
      <c r="AH127" s="15">
        <v>0.5</v>
      </c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</row>
    <row r="128" spans="1:68" ht="15" customHeight="1" x14ac:dyDescent="0.25">
      <c r="A128" s="1">
        <f t="shared" si="7"/>
        <v>53</v>
      </c>
      <c r="B128" s="1" t="str">
        <f t="shared" si="4"/>
        <v xml:space="preserve">Columbia </v>
      </c>
      <c r="C128" s="1">
        <f t="shared" si="5"/>
        <v>0</v>
      </c>
      <c r="D128" s="2" t="str">
        <f t="shared" si="6"/>
        <v>2024-11</v>
      </c>
      <c r="E128" s="3" t="s">
        <v>174</v>
      </c>
      <c r="F128" s="4" t="s">
        <v>97</v>
      </c>
      <c r="G128" s="39">
        <v>45605</v>
      </c>
      <c r="H128" s="40">
        <v>-123</v>
      </c>
      <c r="I128" s="40">
        <v>100</v>
      </c>
      <c r="J128" s="7">
        <v>-104</v>
      </c>
      <c r="K128" s="8">
        <v>2.8866655732327457E-2</v>
      </c>
      <c r="L128" s="9">
        <v>1.4716334294912037E-2</v>
      </c>
      <c r="M128" s="10">
        <v>-110.31390134529148</v>
      </c>
      <c r="N128" s="11">
        <v>1.9615384615384617</v>
      </c>
      <c r="O128" s="12">
        <v>1434.9755227519597</v>
      </c>
      <c r="P128" s="32" t="s">
        <v>143</v>
      </c>
      <c r="Q128" s="78" t="s">
        <v>76</v>
      </c>
      <c r="R128" s="79"/>
      <c r="S128" s="32"/>
      <c r="T128" s="32">
        <v>777.36</v>
      </c>
      <c r="U128" s="32">
        <v>777.36</v>
      </c>
      <c r="V128" s="74" t="s">
        <v>77</v>
      </c>
      <c r="W128" s="15"/>
      <c r="X128" s="15"/>
      <c r="Y128" s="16"/>
      <c r="Z128" s="17"/>
      <c r="AA128" s="18"/>
      <c r="AB128" s="75">
        <v>747.46</v>
      </c>
      <c r="AC128" s="20">
        <v>22.439783500082072</v>
      </c>
      <c r="AD128" s="21">
        <v>45605</v>
      </c>
      <c r="AE128" s="22">
        <v>69401.733278366126</v>
      </c>
      <c r="AF128" s="23">
        <v>-3655.4490666666543</v>
      </c>
      <c r="AG128" s="24">
        <v>95597.090933333428</v>
      </c>
      <c r="AH128" s="15">
        <v>0.5</v>
      </c>
      <c r="AI128" s="76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</row>
    <row r="129" spans="1:68" ht="15" customHeight="1" x14ac:dyDescent="0.25">
      <c r="A129" s="1">
        <f t="shared" si="7"/>
        <v>54</v>
      </c>
      <c r="B129" s="1" t="str">
        <f t="shared" si="4"/>
        <v xml:space="preserve">Delaware </v>
      </c>
      <c r="C129" s="1">
        <f t="shared" si="5"/>
        <v>0</v>
      </c>
      <c r="D129" s="2" t="str">
        <f t="shared" si="6"/>
        <v>2024-11</v>
      </c>
      <c r="E129" s="3" t="s">
        <v>175</v>
      </c>
      <c r="F129" s="4" t="s">
        <v>83</v>
      </c>
      <c r="G129" s="39">
        <v>45605</v>
      </c>
      <c r="H129" s="40">
        <v>514</v>
      </c>
      <c r="I129" s="40">
        <v>-826</v>
      </c>
      <c r="J129" s="7">
        <v>650</v>
      </c>
      <c r="K129" s="8">
        <v>0.15795546248190928</v>
      </c>
      <c r="L129" s="9">
        <v>2.1060728330921236E-2</v>
      </c>
      <c r="M129" s="10">
        <v>547.69330453563725</v>
      </c>
      <c r="N129" s="11">
        <v>7.5</v>
      </c>
      <c r="O129" s="12">
        <v>1170.626776945119</v>
      </c>
      <c r="P129" s="32" t="s">
        <v>143</v>
      </c>
      <c r="Q129" s="78" t="s">
        <v>81</v>
      </c>
      <c r="R129" s="79"/>
      <c r="S129" s="32"/>
      <c r="T129" s="32">
        <v>165.72</v>
      </c>
      <c r="U129" s="32">
        <v>165.72</v>
      </c>
      <c r="V129" s="74" t="s">
        <v>82</v>
      </c>
      <c r="W129" s="15"/>
      <c r="X129" s="15"/>
      <c r="Y129" s="16"/>
      <c r="Z129" s="17"/>
      <c r="AA129" s="18"/>
      <c r="AB129" s="75">
        <v>-165.72</v>
      </c>
      <c r="AC129" s="20">
        <v>26.176379242502005</v>
      </c>
      <c r="AD129" s="21">
        <v>45605</v>
      </c>
      <c r="AE129" s="22">
        <v>69427.90965760863</v>
      </c>
      <c r="AF129" s="23">
        <v>-3821.1690666666541</v>
      </c>
      <c r="AG129" s="24">
        <v>96344.550933333434</v>
      </c>
      <c r="AH129" s="15">
        <v>0.5</v>
      </c>
      <c r="AI129" s="76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77"/>
    </row>
    <row r="130" spans="1:68" ht="15" customHeight="1" x14ac:dyDescent="0.25">
      <c r="A130" s="1">
        <f t="shared" si="7"/>
        <v>54</v>
      </c>
      <c r="B130" s="1" t="str">
        <f t="shared" ref="B130:B193" si="8">LEFT(E130, FIND(" ", E130))</f>
        <v xml:space="preserve">Delaware </v>
      </c>
      <c r="C130" s="1">
        <f t="shared" ref="C130:C193" si="9">IF(Q130="total", 1, 0)</f>
        <v>0</v>
      </c>
      <c r="D130" s="2" t="str">
        <f t="shared" ref="D130:D193" si="10">YEAR(G130)&amp;"-"&amp;IF(MONTH(G130)&lt;10, "0", "")&amp;MONTH(G130)</f>
        <v>2024-11</v>
      </c>
      <c r="E130" s="3" t="s">
        <v>176</v>
      </c>
      <c r="F130" s="4" t="s">
        <v>83</v>
      </c>
      <c r="G130" s="39">
        <v>45605</v>
      </c>
      <c r="H130" s="40">
        <v>286</v>
      </c>
      <c r="I130" s="40">
        <v>-403</v>
      </c>
      <c r="J130" s="7">
        <v>450</v>
      </c>
      <c r="K130" s="8">
        <v>0.34388753412546513</v>
      </c>
      <c r="L130" s="9">
        <v>6.2525006204630029E-2</v>
      </c>
      <c r="M130" s="10">
        <v>309.26043737574548</v>
      </c>
      <c r="N130" s="11">
        <v>5.5</v>
      </c>
      <c r="O130" s="12">
        <v>3674.9667783037826</v>
      </c>
      <c r="P130" s="32" t="s">
        <v>143</v>
      </c>
      <c r="Q130" s="78" t="s">
        <v>81</v>
      </c>
      <c r="R130" s="79"/>
      <c r="S130" s="32"/>
      <c r="T130" s="32">
        <v>59.84</v>
      </c>
      <c r="U130" s="32">
        <v>59.84</v>
      </c>
      <c r="V130" s="74" t="s">
        <v>82</v>
      </c>
      <c r="W130" s="15"/>
      <c r="X130" s="15"/>
      <c r="Y130" s="16"/>
      <c r="Z130" s="17"/>
      <c r="AA130" s="18"/>
      <c r="AB130" s="75">
        <v>-59.84</v>
      </c>
      <c r="AC130" s="20">
        <v>20.578230042067833</v>
      </c>
      <c r="AD130" s="21">
        <v>45605</v>
      </c>
      <c r="AE130" s="22">
        <v>69448.487887650699</v>
      </c>
      <c r="AF130" s="23">
        <v>-3881.0090666666542</v>
      </c>
      <c r="AG130" s="24">
        <v>96178.830933333433</v>
      </c>
      <c r="AH130" s="15">
        <v>0.5</v>
      </c>
      <c r="AI130" s="76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</row>
    <row r="131" spans="1:68" ht="15" customHeight="1" x14ac:dyDescent="0.25">
      <c r="A131" s="1">
        <f t="shared" si="7"/>
        <v>54</v>
      </c>
      <c r="B131" s="1" t="str">
        <f t="shared" si="8"/>
        <v xml:space="preserve">Delaware </v>
      </c>
      <c r="C131" s="1">
        <f t="shared" si="9"/>
        <v>0</v>
      </c>
      <c r="D131" s="2" t="str">
        <f t="shared" si="10"/>
        <v>2024-11</v>
      </c>
      <c r="E131" s="3" t="s">
        <v>176</v>
      </c>
      <c r="F131" s="4" t="s">
        <v>97</v>
      </c>
      <c r="G131" s="39">
        <v>45605</v>
      </c>
      <c r="H131" s="40">
        <v>286</v>
      </c>
      <c r="I131" s="40">
        <v>-403</v>
      </c>
      <c r="J131" s="7">
        <v>450</v>
      </c>
      <c r="K131" s="8">
        <v>0.34388753412546513</v>
      </c>
      <c r="L131" s="9">
        <v>6.2525006204630029E-2</v>
      </c>
      <c r="M131" s="10">
        <v>309.26043737574548</v>
      </c>
      <c r="N131" s="11">
        <v>5.5</v>
      </c>
      <c r="O131" s="12">
        <v>3672.6803082991082</v>
      </c>
      <c r="P131" s="32" t="s">
        <v>143</v>
      </c>
      <c r="Q131" s="78" t="s">
        <v>81</v>
      </c>
      <c r="R131" s="79"/>
      <c r="S131" s="32"/>
      <c r="T131" s="32">
        <v>41.89</v>
      </c>
      <c r="U131" s="32">
        <v>41.89</v>
      </c>
      <c r="V131" s="74" t="s">
        <v>82</v>
      </c>
      <c r="W131" s="15"/>
      <c r="X131" s="15"/>
      <c r="Y131" s="16"/>
      <c r="Z131" s="17"/>
      <c r="AA131" s="18"/>
      <c r="AB131" s="75">
        <v>-41.89</v>
      </c>
      <c r="AC131" s="20">
        <v>14.405448804515734</v>
      </c>
      <c r="AD131" s="21">
        <v>45605</v>
      </c>
      <c r="AE131" s="22">
        <v>69462.893336455221</v>
      </c>
      <c r="AF131" s="23">
        <v>-3922.8990666666541</v>
      </c>
      <c r="AG131" s="24">
        <v>96118.990933333436</v>
      </c>
      <c r="AH131" s="15">
        <v>0.5</v>
      </c>
      <c r="AI131" s="76"/>
      <c r="AJ131" s="76"/>
      <c r="AK131" s="76"/>
      <c r="AL131" s="76"/>
      <c r="AM131" s="76"/>
      <c r="AN131" s="76"/>
      <c r="AO131" s="76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6"/>
      <c r="BC131" s="76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6"/>
    </row>
    <row r="132" spans="1:68" ht="15" customHeight="1" x14ac:dyDescent="0.25">
      <c r="A132" s="1">
        <f t="shared" ref="A132:A195" si="11">IF(AND(B132=B131, C132=C131, G132=G131), A131, A131+1)</f>
        <v>55</v>
      </c>
      <c r="B132" s="1" t="str">
        <f t="shared" si="8"/>
        <v xml:space="preserve">LSU </v>
      </c>
      <c r="C132" s="1">
        <f t="shared" si="9"/>
        <v>0</v>
      </c>
      <c r="D132" s="2" t="str">
        <f t="shared" si="10"/>
        <v>2024-11</v>
      </c>
      <c r="E132" s="3" t="s">
        <v>177</v>
      </c>
      <c r="F132" s="4" t="s">
        <v>97</v>
      </c>
      <c r="G132" s="39">
        <v>45605</v>
      </c>
      <c r="H132" s="40">
        <v>-150</v>
      </c>
      <c r="I132" s="40">
        <v>119</v>
      </c>
      <c r="J132" s="7">
        <v>-108</v>
      </c>
      <c r="K132" s="8">
        <v>9.3632958801498273E-2</v>
      </c>
      <c r="L132" s="9">
        <v>4.8617113223854869E-2</v>
      </c>
      <c r="M132" s="10">
        <v>-131.4</v>
      </c>
      <c r="N132" s="11">
        <v>1.925925925925926</v>
      </c>
      <c r="O132" s="12">
        <v>4857.8309460674282</v>
      </c>
      <c r="P132" s="32" t="s">
        <v>143</v>
      </c>
      <c r="Q132" s="78"/>
      <c r="R132" s="79"/>
      <c r="S132" s="32"/>
      <c r="T132" s="32">
        <v>202.69499999999999</v>
      </c>
      <c r="U132" s="32">
        <v>202.69499999999999</v>
      </c>
      <c r="V132" s="74" t="s">
        <v>82</v>
      </c>
      <c r="W132" s="15"/>
      <c r="X132" s="15"/>
      <c r="Y132" s="16"/>
      <c r="Z132" s="17"/>
      <c r="AA132" s="18"/>
      <c r="AB132" s="75">
        <v>-202.69499999999999</v>
      </c>
      <c r="AC132" s="20">
        <v>18.978932584269693</v>
      </c>
      <c r="AD132" s="21">
        <v>45605</v>
      </c>
      <c r="AE132" s="22">
        <v>69481.872269039493</v>
      </c>
      <c r="AF132" s="23">
        <v>-4125.5940666666538</v>
      </c>
      <c r="AG132" s="24">
        <v>96077.100933333437</v>
      </c>
      <c r="AH132" s="15">
        <v>0.5</v>
      </c>
      <c r="AI132" s="76"/>
      <c r="AJ132" s="77"/>
      <c r="AK132" s="77"/>
      <c r="AL132" s="77"/>
      <c r="AM132" s="77"/>
      <c r="AN132" s="76"/>
      <c r="AO132" s="76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6"/>
      <c r="BC132" s="76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6"/>
    </row>
    <row r="133" spans="1:68" ht="15" customHeight="1" x14ac:dyDescent="0.25">
      <c r="A133" s="1">
        <f t="shared" si="11"/>
        <v>56</v>
      </c>
      <c r="B133" s="1" t="str">
        <f t="shared" si="8"/>
        <v xml:space="preserve">Wofford </v>
      </c>
      <c r="C133" s="1">
        <f t="shared" si="9"/>
        <v>1</v>
      </c>
      <c r="D133" s="2" t="str">
        <f t="shared" si="10"/>
        <v>2024-11</v>
      </c>
      <c r="E133" s="3" t="s">
        <v>178</v>
      </c>
      <c r="F133" s="4" t="s">
        <v>97</v>
      </c>
      <c r="G133" s="71">
        <v>45605</v>
      </c>
      <c r="H133" s="40">
        <v>-112</v>
      </c>
      <c r="I133" s="40">
        <v>-120</v>
      </c>
      <c r="J133" s="7">
        <v>117</v>
      </c>
      <c r="K133" s="8">
        <v>6.7667731629393227E-2</v>
      </c>
      <c r="L133" s="9">
        <v>3.1183286465158166E-2</v>
      </c>
      <c r="M133" s="10">
        <v>103.24675324675322</v>
      </c>
      <c r="N133" s="11">
        <v>2.17</v>
      </c>
      <c r="O133" s="12">
        <v>2811.324472799773</v>
      </c>
      <c r="P133" s="32" t="s">
        <v>143</v>
      </c>
      <c r="Q133" s="78" t="s">
        <v>92</v>
      </c>
      <c r="R133" s="79"/>
      <c r="S133" s="32"/>
      <c r="T133" s="32">
        <v>322.23500000000001</v>
      </c>
      <c r="U133" s="32">
        <v>322.23500000000001</v>
      </c>
      <c r="V133" s="74" t="s">
        <v>82</v>
      </c>
      <c r="W133" s="15"/>
      <c r="X133" s="15"/>
      <c r="Y133" s="16"/>
      <c r="Z133" s="17"/>
      <c r="AA133" s="18"/>
      <c r="AB133" s="75">
        <v>-322.23500000000001</v>
      </c>
      <c r="AC133" s="20">
        <v>21.804911501597527</v>
      </c>
      <c r="AD133" s="21">
        <v>45605</v>
      </c>
      <c r="AE133" s="22">
        <v>69291.483451276566</v>
      </c>
      <c r="AF133" s="23">
        <v>-3104.5640666666545</v>
      </c>
      <c r="AG133" s="24">
        <v>97217.670933333429</v>
      </c>
      <c r="AH133" s="15">
        <v>0.5</v>
      </c>
      <c r="AI133" s="76"/>
      <c r="AJ133" s="76"/>
      <c r="AK133" s="76"/>
      <c r="AL133" s="76"/>
      <c r="AM133" s="76"/>
      <c r="AN133" s="76"/>
      <c r="AO133" s="76"/>
      <c r="AP133" s="77"/>
      <c r="AQ133" s="77"/>
      <c r="AR133" s="77"/>
      <c r="AS133" s="77"/>
      <c r="AT133" s="77"/>
      <c r="AU133" s="77"/>
      <c r="AV133" s="77"/>
      <c r="AW133" s="77"/>
      <c r="AX133" s="76"/>
      <c r="AY133" s="76"/>
      <c r="AZ133" s="76"/>
      <c r="BA133" s="76"/>
      <c r="BB133" s="76"/>
      <c r="BC133" s="76"/>
      <c r="BD133" s="77"/>
      <c r="BE133" s="77"/>
      <c r="BF133" s="77"/>
      <c r="BG133" s="77"/>
      <c r="BH133" s="77"/>
      <c r="BI133" s="77"/>
      <c r="BJ133" s="77"/>
      <c r="BK133" s="77"/>
      <c r="BL133" s="76"/>
      <c r="BM133" s="76"/>
      <c r="BN133" s="76"/>
      <c r="BO133" s="76"/>
      <c r="BP133" s="76"/>
    </row>
    <row r="134" spans="1:68" ht="15" customHeight="1" x14ac:dyDescent="0.25">
      <c r="A134" s="1">
        <f t="shared" si="11"/>
        <v>56</v>
      </c>
      <c r="B134" s="1" t="str">
        <f t="shared" si="8"/>
        <v xml:space="preserve">Wofford </v>
      </c>
      <c r="C134" s="1">
        <f t="shared" si="9"/>
        <v>1</v>
      </c>
      <c r="D134" s="2" t="str">
        <f t="shared" si="10"/>
        <v>2024-11</v>
      </c>
      <c r="E134" s="3" t="s">
        <v>179</v>
      </c>
      <c r="F134" s="4" t="s">
        <v>97</v>
      </c>
      <c r="G134" s="71">
        <v>45605</v>
      </c>
      <c r="H134" s="40">
        <v>-106</v>
      </c>
      <c r="I134" s="40">
        <v>-127</v>
      </c>
      <c r="J134" s="7">
        <v>123</v>
      </c>
      <c r="K134" s="8">
        <v>6.8378862695126039E-2</v>
      </c>
      <c r="L134" s="9">
        <v>3.0663167127859214E-2</v>
      </c>
      <c r="M134" s="10">
        <v>108.7274540769678</v>
      </c>
      <c r="N134" s="11">
        <v>2.23</v>
      </c>
      <c r="O134" s="12">
        <v>2693.3332152316216</v>
      </c>
      <c r="P134" s="32" t="s">
        <v>143</v>
      </c>
      <c r="Q134" s="80" t="s">
        <v>92</v>
      </c>
      <c r="R134" s="79"/>
      <c r="S134" s="32"/>
      <c r="T134" s="32">
        <v>306.52</v>
      </c>
      <c r="U134" s="32">
        <v>306.52</v>
      </c>
      <c r="V134" s="74" t="s">
        <v>82</v>
      </c>
      <c r="W134" s="15"/>
      <c r="X134" s="15"/>
      <c r="Y134" s="16"/>
      <c r="Z134" s="17"/>
      <c r="AA134" s="18"/>
      <c r="AB134" s="75">
        <v>-306.52</v>
      </c>
      <c r="AC134" s="20">
        <v>20.959488993310032</v>
      </c>
      <c r="AD134" s="21">
        <v>45605</v>
      </c>
      <c r="AE134" s="22">
        <v>69312.442940269873</v>
      </c>
      <c r="AF134" s="23">
        <v>-3411.0840666666545</v>
      </c>
      <c r="AG134" s="24">
        <v>96895.435933333429</v>
      </c>
      <c r="AH134" s="15">
        <v>0.5</v>
      </c>
      <c r="AI134" s="76"/>
      <c r="AJ134" s="76"/>
      <c r="AK134" s="76"/>
      <c r="AL134" s="76"/>
      <c r="AM134" s="76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76"/>
    </row>
    <row r="135" spans="1:68" ht="15" customHeight="1" x14ac:dyDescent="0.25">
      <c r="A135" s="1">
        <f t="shared" si="11"/>
        <v>56</v>
      </c>
      <c r="B135" s="1" t="str">
        <f t="shared" si="8"/>
        <v xml:space="preserve">Wofford </v>
      </c>
      <c r="C135" s="1">
        <f t="shared" si="9"/>
        <v>1</v>
      </c>
      <c r="D135" s="2" t="str">
        <f t="shared" si="10"/>
        <v>2024-11</v>
      </c>
      <c r="E135" s="3" t="s">
        <v>180</v>
      </c>
      <c r="F135" s="4" t="s">
        <v>97</v>
      </c>
      <c r="G135" s="71">
        <v>45605</v>
      </c>
      <c r="H135" s="40">
        <v>-101</v>
      </c>
      <c r="I135" s="40">
        <v>-133</v>
      </c>
      <c r="J135" s="7">
        <v>130</v>
      </c>
      <c r="K135" s="8">
        <v>7.6789479966577742E-2</v>
      </c>
      <c r="L135" s="9">
        <v>3.3386730420251198E-2</v>
      </c>
      <c r="M135" s="10">
        <v>113.59792631623677</v>
      </c>
      <c r="N135" s="11">
        <v>2.2999999999999998</v>
      </c>
      <c r="O135" s="12">
        <v>2852.6971634831425</v>
      </c>
      <c r="P135" s="32" t="s">
        <v>143</v>
      </c>
      <c r="Q135" s="80" t="s">
        <v>92</v>
      </c>
      <c r="R135" s="80"/>
      <c r="S135" s="32"/>
      <c r="T135" s="32">
        <v>290.01499999999999</v>
      </c>
      <c r="U135" s="32">
        <v>290.01499999999999</v>
      </c>
      <c r="V135" s="74" t="s">
        <v>82</v>
      </c>
      <c r="W135" s="15"/>
      <c r="X135" s="15"/>
      <c r="Y135" s="16"/>
      <c r="Z135" s="17"/>
      <c r="AA135" s="18"/>
      <c r="AB135" s="75">
        <v>-290.01499999999999</v>
      </c>
      <c r="AC135" s="20">
        <v>22.270101032507043</v>
      </c>
      <c r="AD135" s="21">
        <v>45605</v>
      </c>
      <c r="AE135" s="22">
        <v>69334.713041302384</v>
      </c>
      <c r="AF135" s="23">
        <v>-3701.0990666666544</v>
      </c>
      <c r="AG135" s="24">
        <v>96588.915933333425</v>
      </c>
      <c r="AH135" s="15">
        <v>0.5</v>
      </c>
      <c r="AI135" s="76"/>
      <c r="AJ135" s="76"/>
      <c r="AK135" s="76"/>
      <c r="AL135" s="76"/>
      <c r="AM135" s="76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6"/>
      <c r="AY135" s="76"/>
      <c r="AZ135" s="76"/>
      <c r="BA135" s="76"/>
      <c r="BB135" s="76"/>
      <c r="BC135" s="76"/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76"/>
    </row>
    <row r="136" spans="1:68" ht="15" customHeight="1" x14ac:dyDescent="0.25">
      <c r="A136" s="1">
        <f t="shared" si="11"/>
        <v>56</v>
      </c>
      <c r="B136" s="1" t="str">
        <f t="shared" si="8"/>
        <v xml:space="preserve">Wofford </v>
      </c>
      <c r="C136" s="1">
        <f t="shared" si="9"/>
        <v>1</v>
      </c>
      <c r="D136" s="2" t="str">
        <f t="shared" si="10"/>
        <v>2024-11</v>
      </c>
      <c r="E136" s="3" t="s">
        <v>181</v>
      </c>
      <c r="F136" s="4" t="s">
        <v>97</v>
      </c>
      <c r="G136" s="71">
        <v>45605</v>
      </c>
      <c r="H136" s="40">
        <v>-118</v>
      </c>
      <c r="I136" s="40">
        <v>-112</v>
      </c>
      <c r="J136" s="7">
        <v>110</v>
      </c>
      <c r="K136" s="8">
        <v>6.2744780708852518E-2</v>
      </c>
      <c r="L136" s="9">
        <v>2.9878467004215481E-2</v>
      </c>
      <c r="M136" s="10">
        <v>-102.45740498034074</v>
      </c>
      <c r="N136" s="11">
        <v>2.1</v>
      </c>
      <c r="O136" s="12">
        <v>2746.4788279843265</v>
      </c>
      <c r="P136" s="32" t="s">
        <v>143</v>
      </c>
      <c r="Q136" s="80" t="s">
        <v>92</v>
      </c>
      <c r="R136" s="79"/>
      <c r="S136" s="32"/>
      <c r="T136" s="32">
        <v>342.745</v>
      </c>
      <c r="U136" s="32">
        <v>342.745</v>
      </c>
      <c r="V136" s="74" t="s">
        <v>82</v>
      </c>
      <c r="W136" s="15"/>
      <c r="X136" s="15"/>
      <c r="Y136" s="16"/>
      <c r="Z136" s="17"/>
      <c r="AA136" s="18"/>
      <c r="AB136" s="75">
        <v>-342.745</v>
      </c>
      <c r="AC136" s="20">
        <v>21.505459864055656</v>
      </c>
      <c r="AD136" s="21">
        <v>45605</v>
      </c>
      <c r="AE136" s="22">
        <v>69356.218501166441</v>
      </c>
      <c r="AF136" s="23">
        <v>-4043.8440666666543</v>
      </c>
      <c r="AG136" s="24">
        <v>96298.900933333425</v>
      </c>
      <c r="AH136" s="15">
        <v>0.5</v>
      </c>
      <c r="AI136" s="76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77"/>
    </row>
    <row r="137" spans="1:68" ht="15" customHeight="1" x14ac:dyDescent="0.25">
      <c r="A137" s="1">
        <f t="shared" si="11"/>
        <v>56</v>
      </c>
      <c r="B137" s="1" t="str">
        <f t="shared" si="8"/>
        <v xml:space="preserve">Wofford </v>
      </c>
      <c r="C137" s="1">
        <f t="shared" si="9"/>
        <v>1</v>
      </c>
      <c r="D137" s="2" t="str">
        <f t="shared" si="10"/>
        <v>2024-11</v>
      </c>
      <c r="E137" s="3" t="s">
        <v>182</v>
      </c>
      <c r="F137" s="4" t="s">
        <v>97</v>
      </c>
      <c r="G137" s="71">
        <v>45605</v>
      </c>
      <c r="H137" s="40">
        <v>-125</v>
      </c>
      <c r="I137" s="40">
        <v>-106</v>
      </c>
      <c r="J137" s="7">
        <v>105</v>
      </c>
      <c r="K137" s="8">
        <v>6.4264112903225729E-2</v>
      </c>
      <c r="L137" s="9">
        <v>3.1348347757671091E-2</v>
      </c>
      <c r="M137" s="10">
        <v>-107.9664570230608</v>
      </c>
      <c r="N137" s="11">
        <v>2.0499999999999998</v>
      </c>
      <c r="O137" s="12">
        <v>2936.4463041234635</v>
      </c>
      <c r="P137" s="32" t="s">
        <v>143</v>
      </c>
      <c r="Q137" s="80" t="s">
        <v>92</v>
      </c>
      <c r="R137" s="79"/>
      <c r="S137" s="32"/>
      <c r="T137" s="32">
        <v>359.065</v>
      </c>
      <c r="U137" s="32">
        <v>359.065</v>
      </c>
      <c r="V137" s="74" t="s">
        <v>82</v>
      </c>
      <c r="W137" s="15"/>
      <c r="X137" s="15"/>
      <c r="Y137" s="16"/>
      <c r="Z137" s="17"/>
      <c r="AA137" s="18"/>
      <c r="AB137" s="75">
        <v>-359.065</v>
      </c>
      <c r="AC137" s="20">
        <v>23.074993699596746</v>
      </c>
      <c r="AD137" s="21">
        <v>45605</v>
      </c>
      <c r="AE137" s="22">
        <v>69379.29349486604</v>
      </c>
      <c r="AF137" s="23">
        <v>-4402.9090666666543</v>
      </c>
      <c r="AG137" s="24">
        <v>95956.15593333343</v>
      </c>
      <c r="AH137" s="15">
        <v>0.5</v>
      </c>
      <c r="AI137" s="76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</row>
    <row r="138" spans="1:68" ht="15" customHeight="1" x14ac:dyDescent="0.25">
      <c r="A138" s="1">
        <f t="shared" si="11"/>
        <v>57</v>
      </c>
      <c r="B138" s="1" t="str">
        <f t="shared" si="8"/>
        <v xml:space="preserve">Mavericks </v>
      </c>
      <c r="C138" s="1">
        <f t="shared" si="9"/>
        <v>1</v>
      </c>
      <c r="D138" s="2" t="str">
        <f t="shared" si="10"/>
        <v>2024-11</v>
      </c>
      <c r="E138" s="3" t="s">
        <v>183</v>
      </c>
      <c r="F138" s="4" t="s">
        <v>74</v>
      </c>
      <c r="G138" s="39">
        <v>45606</v>
      </c>
      <c r="H138" s="40">
        <v>-150</v>
      </c>
      <c r="I138" s="40">
        <v>126</v>
      </c>
      <c r="J138" s="7">
        <v>-118</v>
      </c>
      <c r="K138" s="8">
        <v>6.3307530718540506E-2</v>
      </c>
      <c r="L138" s="9">
        <v>3.426737901278798E-2</v>
      </c>
      <c r="M138" s="10">
        <v>-135.6</v>
      </c>
      <c r="N138" s="11">
        <v>1.847457627118644</v>
      </c>
      <c r="O138" s="12">
        <v>3123.5088633842747</v>
      </c>
      <c r="P138" s="32" t="s">
        <v>75</v>
      </c>
      <c r="Q138" s="72" t="s">
        <v>92</v>
      </c>
      <c r="R138" s="73"/>
      <c r="S138" s="32"/>
      <c r="T138" s="32">
        <v>451.47</v>
      </c>
      <c r="U138" s="32">
        <v>451.47</v>
      </c>
      <c r="V138" s="74" t="s">
        <v>77</v>
      </c>
      <c r="W138" s="15"/>
      <c r="X138" s="15"/>
      <c r="Y138" s="16"/>
      <c r="Z138" s="17"/>
      <c r="AA138" s="18"/>
      <c r="AB138" s="75">
        <v>382.6</v>
      </c>
      <c r="AC138" s="20">
        <v>28.581450893499483</v>
      </c>
      <c r="AD138" s="21">
        <v>45606</v>
      </c>
      <c r="AE138" s="22">
        <v>77460.72980066271</v>
      </c>
      <c r="AF138" s="23">
        <v>-15992.549066666652</v>
      </c>
      <c r="AG138" s="24">
        <v>83624.850933333495</v>
      </c>
      <c r="AH138" s="15">
        <v>0.5</v>
      </c>
      <c r="AI138" s="76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</row>
    <row r="139" spans="1:68" ht="15" customHeight="1" x14ac:dyDescent="0.25">
      <c r="A139" s="1">
        <f t="shared" si="11"/>
        <v>57</v>
      </c>
      <c r="B139" s="1" t="str">
        <f t="shared" si="8"/>
        <v xml:space="preserve">Mavericks </v>
      </c>
      <c r="C139" s="1">
        <f t="shared" si="9"/>
        <v>1</v>
      </c>
      <c r="D139" s="2" t="str">
        <f t="shared" si="10"/>
        <v>2024-11</v>
      </c>
      <c r="E139" s="3" t="s">
        <v>184</v>
      </c>
      <c r="F139" s="4" t="s">
        <v>74</v>
      </c>
      <c r="G139" s="39">
        <v>45606</v>
      </c>
      <c r="H139" s="40">
        <v>-136</v>
      </c>
      <c r="I139" s="40">
        <v>116</v>
      </c>
      <c r="J139" s="7">
        <v>-114</v>
      </c>
      <c r="K139" s="8">
        <v>4.0932140075347026E-2</v>
      </c>
      <c r="L139" s="9">
        <v>2.1804971815839069E-2</v>
      </c>
      <c r="M139" s="10">
        <v>-124.47457627118644</v>
      </c>
      <c r="N139" s="11">
        <v>1.8771929824561404</v>
      </c>
      <c r="O139" s="12">
        <v>1960.0047069163477</v>
      </c>
      <c r="P139" s="32" t="s">
        <v>75</v>
      </c>
      <c r="Q139" s="78" t="s">
        <v>92</v>
      </c>
      <c r="R139" s="79"/>
      <c r="S139" s="32"/>
      <c r="T139" s="32">
        <v>436.08</v>
      </c>
      <c r="U139" s="32">
        <v>436.08</v>
      </c>
      <c r="V139" s="74" t="s">
        <v>77</v>
      </c>
      <c r="W139" s="15"/>
      <c r="X139" s="15"/>
      <c r="Y139" s="16"/>
      <c r="Z139" s="17"/>
      <c r="AA139" s="18"/>
      <c r="AB139" s="75">
        <v>382.53</v>
      </c>
      <c r="AC139" s="20">
        <v>17.84968764405733</v>
      </c>
      <c r="AD139" s="21">
        <v>45606</v>
      </c>
      <c r="AE139" s="22">
        <v>77478.579488306772</v>
      </c>
      <c r="AF139" s="23">
        <v>-15610.019066666651</v>
      </c>
      <c r="AG139" s="24">
        <v>84007.450933333501</v>
      </c>
      <c r="AH139" s="15">
        <v>0.5</v>
      </c>
      <c r="AI139" s="76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</row>
    <row r="140" spans="1:68" ht="15" customHeight="1" x14ac:dyDescent="0.25">
      <c r="A140" s="1">
        <f t="shared" si="11"/>
        <v>58</v>
      </c>
      <c r="B140" s="1" t="str">
        <f t="shared" si="8"/>
        <v xml:space="preserve">Raptors </v>
      </c>
      <c r="C140" s="1">
        <f t="shared" si="9"/>
        <v>1</v>
      </c>
      <c r="D140" s="2" t="str">
        <f t="shared" si="10"/>
        <v>2024-11</v>
      </c>
      <c r="E140" s="3" t="s">
        <v>185</v>
      </c>
      <c r="F140" s="4" t="s">
        <v>74</v>
      </c>
      <c r="G140" s="39">
        <v>45606</v>
      </c>
      <c r="H140" s="40">
        <v>-121</v>
      </c>
      <c r="I140" s="40">
        <v>104</v>
      </c>
      <c r="J140" s="7">
        <v>110</v>
      </c>
      <c r="K140" s="8">
        <v>0.10799418604651179</v>
      </c>
      <c r="L140" s="9">
        <v>5.1425802879291327E-2</v>
      </c>
      <c r="M140" s="10">
        <v>-111.69230769230771</v>
      </c>
      <c r="N140" s="11">
        <v>2.1</v>
      </c>
      <c r="O140" s="12">
        <v>4246.4583343331715</v>
      </c>
      <c r="P140" s="32" t="s">
        <v>75</v>
      </c>
      <c r="Q140" s="78" t="s">
        <v>92</v>
      </c>
      <c r="R140" s="73"/>
      <c r="S140" s="32"/>
      <c r="T140" s="32">
        <v>348.86500000000001</v>
      </c>
      <c r="U140" s="32">
        <v>348.86500000000001</v>
      </c>
      <c r="V140" s="74" t="s">
        <v>77</v>
      </c>
      <c r="W140" s="15"/>
      <c r="X140" s="15"/>
      <c r="Y140" s="16"/>
      <c r="Z140" s="17"/>
      <c r="AA140" s="18"/>
      <c r="AB140" s="75">
        <v>383.75</v>
      </c>
      <c r="AC140" s="20">
        <v>37.675391715116334</v>
      </c>
      <c r="AD140" s="21">
        <v>45606</v>
      </c>
      <c r="AE140" s="22">
        <v>77930.026536054807</v>
      </c>
      <c r="AF140" s="23">
        <v>-13109.664066666652</v>
      </c>
      <c r="AG140" s="24">
        <v>86506.58593333351</v>
      </c>
      <c r="AH140" s="15">
        <v>0.5</v>
      </c>
      <c r="AI140" s="76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77"/>
      <c r="BI140" s="77"/>
      <c r="BJ140" s="77"/>
      <c r="BK140" s="77"/>
      <c r="BL140" s="77"/>
      <c r="BM140" s="77"/>
      <c r="BN140" s="77"/>
      <c r="BO140" s="77"/>
      <c r="BP140" s="77"/>
    </row>
    <row r="141" spans="1:68" ht="15" customHeight="1" x14ac:dyDescent="0.25">
      <c r="A141" s="1">
        <f t="shared" si="11"/>
        <v>58</v>
      </c>
      <c r="B141" s="1" t="str">
        <f t="shared" si="8"/>
        <v xml:space="preserve">Raptors </v>
      </c>
      <c r="C141" s="1">
        <f t="shared" si="9"/>
        <v>1</v>
      </c>
      <c r="D141" s="2" t="str">
        <f t="shared" si="10"/>
        <v>2024-11</v>
      </c>
      <c r="E141" s="3" t="s">
        <v>185</v>
      </c>
      <c r="F141" s="4" t="s">
        <v>74</v>
      </c>
      <c r="G141" s="39">
        <v>45606</v>
      </c>
      <c r="H141" s="40">
        <v>-121</v>
      </c>
      <c r="I141" s="40">
        <v>104</v>
      </c>
      <c r="J141" s="7">
        <v>108</v>
      </c>
      <c r="K141" s="8">
        <v>9.7441860465116478E-2</v>
      </c>
      <c r="L141" s="9">
        <v>4.6847048300536764E-2</v>
      </c>
      <c r="M141" s="10">
        <v>-111.69230769230771</v>
      </c>
      <c r="N141" s="11">
        <v>2.08</v>
      </c>
      <c r="O141" s="12">
        <v>3919.7944397143424</v>
      </c>
      <c r="P141" s="32" t="s">
        <v>75</v>
      </c>
      <c r="Q141" s="81" t="s">
        <v>92</v>
      </c>
      <c r="R141" s="82"/>
      <c r="S141" s="80"/>
      <c r="T141" s="32">
        <v>277.77999999999997</v>
      </c>
      <c r="U141" s="32">
        <v>277.77999999999997</v>
      </c>
      <c r="V141" s="74" t="s">
        <v>77</v>
      </c>
      <c r="W141" s="15"/>
      <c r="X141" s="15"/>
      <c r="Y141" s="16"/>
      <c r="Z141" s="17"/>
      <c r="AA141" s="18"/>
      <c r="AB141" s="75">
        <v>300</v>
      </c>
      <c r="AC141" s="20">
        <v>27.067400000000053</v>
      </c>
      <c r="AD141" s="21">
        <v>45606</v>
      </c>
      <c r="AE141" s="22">
        <v>77957.093936054807</v>
      </c>
      <c r="AF141" s="23">
        <v>-12809.664066666652</v>
      </c>
      <c r="AG141" s="24">
        <v>86890.33593333351</v>
      </c>
      <c r="AH141" s="15">
        <v>0.5</v>
      </c>
      <c r="AI141" s="76"/>
      <c r="AJ141" s="77"/>
      <c r="AK141" s="77"/>
      <c r="AL141" s="77"/>
      <c r="AM141" s="77"/>
      <c r="AN141" s="76"/>
      <c r="AO141" s="76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  <c r="BI141" s="77"/>
      <c r="BJ141" s="77"/>
      <c r="BK141" s="77"/>
      <c r="BL141" s="77"/>
      <c r="BM141" s="77"/>
      <c r="BN141" s="77"/>
      <c r="BO141" s="77"/>
      <c r="BP141" s="77"/>
    </row>
    <row r="142" spans="1:68" ht="15" customHeight="1" x14ac:dyDescent="0.25">
      <c r="A142" s="1">
        <f t="shared" si="11"/>
        <v>58</v>
      </c>
      <c r="B142" s="1" t="str">
        <f t="shared" si="8"/>
        <v xml:space="preserve">Raptors </v>
      </c>
      <c r="C142" s="1">
        <f t="shared" si="9"/>
        <v>1</v>
      </c>
      <c r="D142" s="2" t="str">
        <f t="shared" si="10"/>
        <v>2024-11</v>
      </c>
      <c r="E142" s="3" t="s">
        <v>186</v>
      </c>
      <c r="F142" s="4" t="s">
        <v>74</v>
      </c>
      <c r="G142" s="39">
        <v>45606</v>
      </c>
      <c r="H142" s="40">
        <v>-101</v>
      </c>
      <c r="I142" s="40">
        <v>-114</v>
      </c>
      <c r="J142" s="7">
        <v>115</v>
      </c>
      <c r="K142" s="8">
        <v>4.3615253323751511E-2</v>
      </c>
      <c r="L142" s="9">
        <v>2.0286164336628609E-2</v>
      </c>
      <c r="M142" s="10">
        <v>106.01462015360411</v>
      </c>
      <c r="N142" s="11">
        <v>2.15</v>
      </c>
      <c r="O142" s="12">
        <v>1653.4037343979721</v>
      </c>
      <c r="P142" s="32" t="s">
        <v>75</v>
      </c>
      <c r="Q142" s="81" t="s">
        <v>92</v>
      </c>
      <c r="R142" s="82"/>
      <c r="S142" s="80"/>
      <c r="T142" s="32">
        <v>304.35000000000002</v>
      </c>
      <c r="U142" s="32">
        <v>304.35000000000002</v>
      </c>
      <c r="V142" s="74" t="s">
        <v>77</v>
      </c>
      <c r="W142" s="15"/>
      <c r="X142" s="15"/>
      <c r="Y142" s="16"/>
      <c r="Z142" s="17"/>
      <c r="AA142" s="18"/>
      <c r="AB142" s="75">
        <v>350</v>
      </c>
      <c r="AC142" s="20">
        <v>13.274302349083774</v>
      </c>
      <c r="AD142" s="21">
        <v>45606</v>
      </c>
      <c r="AE142" s="22">
        <v>77970.368238403884</v>
      </c>
      <c r="AF142" s="23">
        <v>-12459.664066666652</v>
      </c>
      <c r="AG142" s="24">
        <v>87190.33593333351</v>
      </c>
      <c r="AH142" s="15">
        <v>0.5</v>
      </c>
      <c r="AI142" s="76"/>
      <c r="AJ142" s="77"/>
      <c r="AK142" s="77"/>
      <c r="AL142" s="77"/>
      <c r="AM142" s="77"/>
      <c r="AN142" s="76"/>
      <c r="AO142" s="76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6"/>
      <c r="BC142" s="76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/>
      <c r="BP142" s="77"/>
    </row>
    <row r="143" spans="1:68" ht="15" customHeight="1" x14ac:dyDescent="0.25">
      <c r="A143" s="1">
        <f t="shared" si="11"/>
        <v>59</v>
      </c>
      <c r="B143" s="1" t="str">
        <f t="shared" si="8"/>
        <v xml:space="preserve">Warriors </v>
      </c>
      <c r="C143" s="1">
        <f t="shared" si="9"/>
        <v>1</v>
      </c>
      <c r="D143" s="2" t="str">
        <f t="shared" si="10"/>
        <v>2024-11</v>
      </c>
      <c r="E143" s="3" t="s">
        <v>187</v>
      </c>
      <c r="F143" s="4" t="s">
        <v>74</v>
      </c>
      <c r="G143" s="39">
        <v>45606</v>
      </c>
      <c r="H143" s="40">
        <v>-158</v>
      </c>
      <c r="I143" s="40">
        <v>116</v>
      </c>
      <c r="J143" s="7">
        <v>-107</v>
      </c>
      <c r="K143" s="8">
        <v>0.10171083805239185</v>
      </c>
      <c r="L143" s="9">
        <v>5.2575167495680808E-2</v>
      </c>
      <c r="M143" s="10">
        <v>-132.27906976744183</v>
      </c>
      <c r="N143" s="11">
        <v>1.9345794392523366</v>
      </c>
      <c r="O143" s="12">
        <v>4506.0373135028785</v>
      </c>
      <c r="P143" s="32" t="s">
        <v>75</v>
      </c>
      <c r="Q143" s="78" t="s">
        <v>92</v>
      </c>
      <c r="R143" s="79"/>
      <c r="S143" s="32"/>
      <c r="T143" s="32">
        <v>403.245</v>
      </c>
      <c r="U143" s="32">
        <v>403.245</v>
      </c>
      <c r="V143" s="74" t="s">
        <v>77</v>
      </c>
      <c r="W143" s="15"/>
      <c r="X143" s="15"/>
      <c r="Y143" s="16"/>
      <c r="Z143" s="17"/>
      <c r="AA143" s="18"/>
      <c r="AB143" s="75">
        <v>376.86</v>
      </c>
      <c r="AC143" s="20">
        <v>41.014386890436754</v>
      </c>
      <c r="AD143" s="21">
        <v>45606</v>
      </c>
      <c r="AE143" s="22">
        <v>77280.626612693159</v>
      </c>
      <c r="AF143" s="23">
        <v>-16814.859066666653</v>
      </c>
      <c r="AG143" s="24">
        <v>82808.280933333488</v>
      </c>
      <c r="AH143" s="15">
        <v>0.5</v>
      </c>
      <c r="AI143" s="76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/>
      <c r="BP143" s="77"/>
    </row>
    <row r="144" spans="1:68" ht="15" customHeight="1" x14ac:dyDescent="0.25">
      <c r="A144" s="1">
        <f t="shared" si="11"/>
        <v>59</v>
      </c>
      <c r="B144" s="1" t="str">
        <f t="shared" si="8"/>
        <v xml:space="preserve">Warriors </v>
      </c>
      <c r="C144" s="1">
        <f t="shared" si="9"/>
        <v>1</v>
      </c>
      <c r="D144" s="2" t="str">
        <f t="shared" si="10"/>
        <v>2024-11</v>
      </c>
      <c r="E144" s="3" t="s">
        <v>188</v>
      </c>
      <c r="F144" s="4" t="s">
        <v>74</v>
      </c>
      <c r="G144" s="39">
        <v>45606</v>
      </c>
      <c r="H144" s="40">
        <v>-171</v>
      </c>
      <c r="I144" s="40">
        <v>123</v>
      </c>
      <c r="J144" s="7">
        <v>-117</v>
      </c>
      <c r="K144" s="8">
        <v>8.4195233889406917E-2</v>
      </c>
      <c r="L144" s="9">
        <v>4.5395586935763177E-2</v>
      </c>
      <c r="M144" s="10">
        <v>-140.71217712177116</v>
      </c>
      <c r="N144" s="11">
        <v>1.8547008547008548</v>
      </c>
      <c r="O144" s="12">
        <v>4097.2185522480941</v>
      </c>
      <c r="P144" s="32" t="s">
        <v>75</v>
      </c>
      <c r="Q144" s="72" t="s">
        <v>92</v>
      </c>
      <c r="R144" s="73"/>
      <c r="S144" s="32"/>
      <c r="T144" s="32">
        <v>446.22</v>
      </c>
      <c r="U144" s="32">
        <v>446.22</v>
      </c>
      <c r="V144" s="74" t="s">
        <v>77</v>
      </c>
      <c r="W144" s="15"/>
      <c r="X144" s="15"/>
      <c r="Y144" s="16"/>
      <c r="Z144" s="17"/>
      <c r="AA144" s="18"/>
      <c r="AB144" s="75">
        <v>381.38</v>
      </c>
      <c r="AC144" s="20">
        <v>37.569597266131154</v>
      </c>
      <c r="AD144" s="21">
        <v>45606</v>
      </c>
      <c r="AE144" s="22">
        <v>77318.196209959293</v>
      </c>
      <c r="AF144" s="23">
        <v>-16433.479066666652</v>
      </c>
      <c r="AG144" s="24">
        <v>83185.140933333489</v>
      </c>
      <c r="AH144" s="15">
        <v>0.5</v>
      </c>
      <c r="AI144" s="76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77"/>
      <c r="BI144" s="77"/>
      <c r="BJ144" s="77"/>
      <c r="BK144" s="77"/>
      <c r="BL144" s="77"/>
      <c r="BM144" s="77"/>
      <c r="BN144" s="77"/>
      <c r="BO144" s="77"/>
      <c r="BP144" s="77"/>
    </row>
    <row r="145" spans="1:68" ht="15" customHeight="1" x14ac:dyDescent="0.25">
      <c r="A145" s="1">
        <f t="shared" si="11"/>
        <v>60</v>
      </c>
      <c r="B145" s="1" t="str">
        <f t="shared" si="8"/>
        <v xml:space="preserve">Pelicans </v>
      </c>
      <c r="C145" s="1">
        <f t="shared" si="9"/>
        <v>0</v>
      </c>
      <c r="D145" s="2" t="str">
        <f t="shared" si="10"/>
        <v>2024-11</v>
      </c>
      <c r="E145" s="3" t="s">
        <v>189</v>
      </c>
      <c r="F145" s="4" t="s">
        <v>74</v>
      </c>
      <c r="G145" s="39">
        <v>45607</v>
      </c>
      <c r="H145" s="40">
        <v>-126</v>
      </c>
      <c r="I145" s="40">
        <v>112</v>
      </c>
      <c r="J145" s="7">
        <v>-112</v>
      </c>
      <c r="K145" s="8">
        <v>2.5348799480856658E-2</v>
      </c>
      <c r="L145" s="9">
        <v>1.3391818593660121E-2</v>
      </c>
      <c r="M145" s="10">
        <v>-118.19469026548674</v>
      </c>
      <c r="N145" s="11">
        <v>1.8928571428571428</v>
      </c>
      <c r="O145" s="12">
        <v>1152.2460486967395</v>
      </c>
      <c r="P145" s="32" t="s">
        <v>75</v>
      </c>
      <c r="Q145" s="80" t="s">
        <v>81</v>
      </c>
      <c r="R145" s="82"/>
      <c r="S145" s="80"/>
      <c r="T145" s="32">
        <v>843.2</v>
      </c>
      <c r="U145" s="32">
        <v>843.2</v>
      </c>
      <c r="V145" s="74" t="s">
        <v>82</v>
      </c>
      <c r="W145" s="15"/>
      <c r="X145" s="15"/>
      <c r="Y145" s="16"/>
      <c r="Z145" s="17"/>
      <c r="AA145" s="18"/>
      <c r="AB145" s="75">
        <v>-843.2</v>
      </c>
      <c r="AC145" s="20">
        <v>21.374107722258337</v>
      </c>
      <c r="AD145" s="21">
        <v>45607</v>
      </c>
      <c r="AE145" s="22">
        <v>78850.221358538489</v>
      </c>
      <c r="AF145" s="23">
        <v>-19672.404066666651</v>
      </c>
      <c r="AG145" s="24">
        <v>81170.795933333502</v>
      </c>
      <c r="AH145" s="15">
        <v>0.5</v>
      </c>
      <c r="AI145" s="76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  <c r="BM145" s="77"/>
      <c r="BN145" s="77"/>
      <c r="BO145" s="77"/>
      <c r="BP145" s="77"/>
    </row>
    <row r="146" spans="1:68" ht="15" customHeight="1" x14ac:dyDescent="0.25">
      <c r="A146" s="1">
        <f t="shared" si="11"/>
        <v>61</v>
      </c>
      <c r="B146" s="1" t="str">
        <f t="shared" si="8"/>
        <v xml:space="preserve">Chattanooga </v>
      </c>
      <c r="C146" s="1">
        <f t="shared" si="9"/>
        <v>0</v>
      </c>
      <c r="D146" s="2" t="str">
        <f t="shared" si="10"/>
        <v>2024-11</v>
      </c>
      <c r="E146" s="3" t="s">
        <v>190</v>
      </c>
      <c r="F146" s="4" t="s">
        <v>74</v>
      </c>
      <c r="G146" s="39">
        <v>45610</v>
      </c>
      <c r="H146" s="40">
        <v>-383</v>
      </c>
      <c r="I146" s="40">
        <v>316</v>
      </c>
      <c r="J146" s="7">
        <v>-315</v>
      </c>
      <c r="K146" s="8">
        <v>1.098270686187543E-2</v>
      </c>
      <c r="L146" s="9">
        <v>8.3362714734717125E-3</v>
      </c>
      <c r="M146" s="10">
        <v>-329.87163561076613</v>
      </c>
      <c r="N146" s="11">
        <v>1.3174603174603174</v>
      </c>
      <c r="O146" s="12">
        <v>1448.9255373893152</v>
      </c>
      <c r="P146" s="32" t="s">
        <v>143</v>
      </c>
      <c r="Q146" s="80"/>
      <c r="R146" s="82"/>
      <c r="S146" s="80"/>
      <c r="T146" s="32">
        <v>469.04500000000002</v>
      </c>
      <c r="U146" s="32">
        <v>469.04500000000002</v>
      </c>
      <c r="V146" s="74" t="s">
        <v>77</v>
      </c>
      <c r="W146" s="15"/>
      <c r="X146" s="15"/>
      <c r="Y146" s="16"/>
      <c r="Z146" s="17"/>
      <c r="AA146" s="18"/>
      <c r="AB146" s="75">
        <v>148.9</v>
      </c>
      <c r="AC146" s="20">
        <v>5.1513837400283613</v>
      </c>
      <c r="AD146" s="21">
        <v>45610</v>
      </c>
      <c r="AE146" s="22">
        <v>79217.297948069696</v>
      </c>
      <c r="AF146" s="23">
        <v>-16087.349066666651</v>
      </c>
      <c r="AG146" s="24">
        <v>83763.750933333489</v>
      </c>
      <c r="AH146" s="15">
        <v>0.5</v>
      </c>
      <c r="AI146" s="76"/>
      <c r="AJ146" s="77"/>
      <c r="AK146" s="77"/>
      <c r="AL146" s="77"/>
      <c r="AM146" s="77"/>
      <c r="AN146" s="76"/>
      <c r="AO146" s="76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6"/>
      <c r="BC146" s="76"/>
      <c r="BD146" s="77"/>
      <c r="BE146" s="77"/>
      <c r="BF146" s="77"/>
      <c r="BG146" s="77"/>
      <c r="BH146" s="77"/>
      <c r="BI146" s="77"/>
      <c r="BJ146" s="77"/>
      <c r="BK146" s="77"/>
      <c r="BL146" s="77"/>
      <c r="BM146" s="77"/>
      <c r="BN146" s="77"/>
      <c r="BO146" s="77"/>
      <c r="BP146" s="77"/>
    </row>
    <row r="147" spans="1:68" ht="15" customHeight="1" x14ac:dyDescent="0.25">
      <c r="A147" s="1">
        <f t="shared" si="11"/>
        <v>62</v>
      </c>
      <c r="B147" s="1" t="str">
        <f t="shared" si="8"/>
        <v xml:space="preserve">Seattle </v>
      </c>
      <c r="C147" s="1">
        <f t="shared" si="9"/>
        <v>0</v>
      </c>
      <c r="D147" s="2" t="str">
        <f t="shared" si="10"/>
        <v>2024-11</v>
      </c>
      <c r="E147" s="3" t="s">
        <v>191</v>
      </c>
      <c r="F147" s="4" t="s">
        <v>74</v>
      </c>
      <c r="G147" s="39">
        <v>45610</v>
      </c>
      <c r="H147" s="40">
        <v>118</v>
      </c>
      <c r="I147" s="40">
        <v>-138</v>
      </c>
      <c r="J147" s="7">
        <v>140</v>
      </c>
      <c r="K147" s="8">
        <v>6.0054932818647662E-2</v>
      </c>
      <c r="L147" s="9">
        <v>2.5022888674436528E-2</v>
      </c>
      <c r="M147" s="10">
        <v>126.40336134453779</v>
      </c>
      <c r="N147" s="11">
        <v>2.4</v>
      </c>
      <c r="O147" s="12">
        <v>1832.8301343114581</v>
      </c>
      <c r="P147" s="32" t="s">
        <v>143</v>
      </c>
      <c r="Q147" s="81" t="s">
        <v>81</v>
      </c>
      <c r="R147" s="82"/>
      <c r="S147" s="80"/>
      <c r="T147" s="32">
        <v>107.21</v>
      </c>
      <c r="U147" s="32">
        <v>107.21</v>
      </c>
      <c r="V147" s="74" t="s">
        <v>82</v>
      </c>
      <c r="W147" s="15"/>
      <c r="X147" s="15"/>
      <c r="Y147" s="16"/>
      <c r="Z147" s="17"/>
      <c r="AA147" s="18"/>
      <c r="AB147" s="75">
        <v>-107.21</v>
      </c>
      <c r="AC147" s="20">
        <v>6.4384893474872156</v>
      </c>
      <c r="AD147" s="21">
        <v>45610</v>
      </c>
      <c r="AE147" s="22">
        <v>79794.481957621902</v>
      </c>
      <c r="AF147" s="23">
        <v>-14653.374066666651</v>
      </c>
      <c r="AG147" s="24">
        <v>85453.835933333496</v>
      </c>
      <c r="AH147" s="15">
        <v>0.5</v>
      </c>
      <c r="AI147" s="76"/>
      <c r="AJ147" s="76"/>
      <c r="AK147" s="76"/>
      <c r="AL147" s="76"/>
      <c r="AM147" s="76"/>
      <c r="AN147" s="76"/>
      <c r="AO147" s="76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76"/>
    </row>
    <row r="148" spans="1:68" ht="15" customHeight="1" x14ac:dyDescent="0.25">
      <c r="A148" s="1">
        <f t="shared" si="11"/>
        <v>63</v>
      </c>
      <c r="B148" s="1" t="str">
        <f t="shared" si="8"/>
        <v xml:space="preserve">Celtics </v>
      </c>
      <c r="C148" s="1">
        <f t="shared" si="9"/>
        <v>0</v>
      </c>
      <c r="D148" s="2" t="str">
        <f t="shared" si="10"/>
        <v>2024-11</v>
      </c>
      <c r="E148" s="3" t="s">
        <v>192</v>
      </c>
      <c r="F148" s="4" t="s">
        <v>97</v>
      </c>
      <c r="G148" s="39">
        <v>45612</v>
      </c>
      <c r="H148" s="40">
        <v>-147</v>
      </c>
      <c r="I148" s="40">
        <v>129</v>
      </c>
      <c r="J148" s="7">
        <v>-136</v>
      </c>
      <c r="K148" s="8">
        <v>8.9450306449191251E-4</v>
      </c>
      <c r="L148" s="9">
        <v>5.1547634224957672E-4</v>
      </c>
      <c r="M148" s="10">
        <v>-136.28744939271257</v>
      </c>
      <c r="N148" s="11">
        <v>1.7352941176470589</v>
      </c>
      <c r="O148" s="12">
        <v>55.703732855291179</v>
      </c>
      <c r="P148" s="32" t="s">
        <v>75</v>
      </c>
      <c r="Q148" s="81" t="s">
        <v>76</v>
      </c>
      <c r="R148" s="82"/>
      <c r="S148" s="80"/>
      <c r="T148" s="32">
        <v>303.75</v>
      </c>
      <c r="U148" s="32">
        <v>303.75</v>
      </c>
      <c r="V148" s="74" t="s">
        <v>82</v>
      </c>
      <c r="W148" s="15"/>
      <c r="X148" s="15"/>
      <c r="Y148" s="16"/>
      <c r="Z148" s="17"/>
      <c r="AA148" s="18"/>
      <c r="AB148" s="75">
        <v>-303.75</v>
      </c>
      <c r="AC148" s="20">
        <v>0.27170530583941843</v>
      </c>
      <c r="AD148" s="21">
        <v>45612</v>
      </c>
      <c r="AE148" s="22">
        <v>80131.776632088149</v>
      </c>
      <c r="AF148" s="23">
        <v>-8725.2440666666516</v>
      </c>
      <c r="AG148" s="24">
        <v>91578.505933333523</v>
      </c>
      <c r="AH148" s="15">
        <v>0.5</v>
      </c>
      <c r="AI148" s="76"/>
      <c r="AJ148" s="77"/>
      <c r="AK148" s="77"/>
      <c r="AL148" s="77"/>
      <c r="AM148" s="77"/>
      <c r="AN148" s="76"/>
      <c r="AO148" s="76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6"/>
      <c r="BC148" s="76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6"/>
    </row>
    <row r="149" spans="1:68" ht="15" customHeight="1" x14ac:dyDescent="0.25">
      <c r="A149" s="1">
        <f t="shared" si="11"/>
        <v>64</v>
      </c>
      <c r="B149" s="1" t="str">
        <f t="shared" si="8"/>
        <v xml:space="preserve">Raptors </v>
      </c>
      <c r="C149" s="1">
        <f t="shared" si="9"/>
        <v>1</v>
      </c>
      <c r="D149" s="2" t="str">
        <f t="shared" si="10"/>
        <v>2024-11</v>
      </c>
      <c r="E149" s="3" t="s">
        <v>193</v>
      </c>
      <c r="F149" s="4" t="s">
        <v>83</v>
      </c>
      <c r="G149" s="39">
        <v>45612</v>
      </c>
      <c r="H149" s="40">
        <v>-110</v>
      </c>
      <c r="I149" s="40">
        <v>-110</v>
      </c>
      <c r="J149" s="7">
        <v>110</v>
      </c>
      <c r="K149" s="8">
        <v>5.0000000000000058E-2</v>
      </c>
      <c r="L149" s="9">
        <v>2.3809523809523836E-2</v>
      </c>
      <c r="M149" s="10">
        <v>100</v>
      </c>
      <c r="N149" s="11">
        <v>2.1</v>
      </c>
      <c r="O149" s="12">
        <v>2074.4262712121276</v>
      </c>
      <c r="P149" s="32" t="s">
        <v>75</v>
      </c>
      <c r="Q149" s="81" t="s">
        <v>92</v>
      </c>
      <c r="R149" s="82"/>
      <c r="S149" s="80"/>
      <c r="T149" s="32">
        <v>288.625</v>
      </c>
      <c r="U149" s="32">
        <v>288.625</v>
      </c>
      <c r="V149" s="74" t="s">
        <v>77</v>
      </c>
      <c r="W149" s="15"/>
      <c r="X149" s="15"/>
      <c r="Y149" s="16"/>
      <c r="Z149" s="17"/>
      <c r="AA149" s="18"/>
      <c r="AB149" s="75">
        <v>317.49</v>
      </c>
      <c r="AC149" s="20">
        <v>14.431250000000016</v>
      </c>
      <c r="AD149" s="21">
        <v>45612</v>
      </c>
      <c r="AE149" s="22">
        <v>80146.207882088143</v>
      </c>
      <c r="AF149" s="23">
        <v>-8407.7540666666519</v>
      </c>
      <c r="AG149" s="24">
        <v>91274.755933333523</v>
      </c>
      <c r="AH149" s="15">
        <v>0.5</v>
      </c>
      <c r="AI149" s="76"/>
      <c r="AJ149" s="77"/>
      <c r="AK149" s="77"/>
      <c r="AL149" s="77"/>
      <c r="AM149" s="77"/>
      <c r="AN149" s="76"/>
      <c r="AO149" s="76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7"/>
      <c r="BN149" s="77"/>
      <c r="BO149" s="77"/>
      <c r="BP149" s="76"/>
    </row>
    <row r="150" spans="1:68" ht="15" customHeight="1" x14ac:dyDescent="0.25">
      <c r="A150" s="1">
        <f t="shared" si="11"/>
        <v>65</v>
      </c>
      <c r="B150" s="1" t="str">
        <f t="shared" si="8"/>
        <v xml:space="preserve">Clippers </v>
      </c>
      <c r="C150" s="1">
        <f t="shared" si="9"/>
        <v>0</v>
      </c>
      <c r="D150" s="2" t="str">
        <f t="shared" si="10"/>
        <v>2024-11</v>
      </c>
      <c r="E150" s="3" t="s">
        <v>194</v>
      </c>
      <c r="F150" s="4" t="s">
        <v>74</v>
      </c>
      <c r="G150" s="39">
        <v>45613</v>
      </c>
      <c r="H150" s="40">
        <v>-132</v>
      </c>
      <c r="I150" s="40">
        <v>107</v>
      </c>
      <c r="J150" s="7">
        <v>107</v>
      </c>
      <c r="K150" s="8">
        <v>0.11948143456575101</v>
      </c>
      <c r="L150" s="9">
        <v>5.7720499790217872E-2</v>
      </c>
      <c r="M150" s="10">
        <v>-117.77586206896549</v>
      </c>
      <c r="N150" s="11">
        <v>2.0700000000000003</v>
      </c>
      <c r="O150" s="12">
        <v>5157.6919874244677</v>
      </c>
      <c r="P150" s="32" t="s">
        <v>75</v>
      </c>
      <c r="Q150" s="81" t="s">
        <v>76</v>
      </c>
      <c r="R150" s="82"/>
      <c r="S150" s="80"/>
      <c r="T150" s="32">
        <v>469.80500000000001</v>
      </c>
      <c r="U150" s="32">
        <v>469.80500000000001</v>
      </c>
      <c r="V150" s="74" t="s">
        <v>88</v>
      </c>
      <c r="W150" s="15"/>
      <c r="X150" s="15"/>
      <c r="Y150" s="16"/>
      <c r="Z150" s="17"/>
      <c r="AA150" s="18"/>
      <c r="AB150" s="75" t="s">
        <v>89</v>
      </c>
      <c r="AC150" s="20">
        <v>56.132975366162654</v>
      </c>
      <c r="AD150" s="21">
        <v>45613</v>
      </c>
      <c r="AE150" s="22">
        <v>88355.176391729794</v>
      </c>
      <c r="AF150" s="23">
        <v>-7621.9590666666536</v>
      </c>
      <c r="AG150" s="24">
        <v>92378.04093333357</v>
      </c>
      <c r="AH150" s="15">
        <v>0.5</v>
      </c>
      <c r="AI150" s="76"/>
      <c r="AJ150" s="76"/>
      <c r="AK150" s="76"/>
      <c r="AL150" s="76"/>
      <c r="AM150" s="76"/>
      <c r="AN150" s="76"/>
      <c r="AO150" s="76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76"/>
    </row>
    <row r="151" spans="1:68" ht="15" customHeight="1" x14ac:dyDescent="0.25">
      <c r="A151" s="1">
        <f t="shared" si="11"/>
        <v>65</v>
      </c>
      <c r="B151" s="1" t="str">
        <f t="shared" si="8"/>
        <v xml:space="preserve">Clippers </v>
      </c>
      <c r="C151" s="1">
        <f t="shared" si="9"/>
        <v>0</v>
      </c>
      <c r="D151" s="2" t="str">
        <f t="shared" si="10"/>
        <v>2024-11</v>
      </c>
      <c r="E151" s="3" t="s">
        <v>195</v>
      </c>
      <c r="F151" s="4" t="s">
        <v>74</v>
      </c>
      <c r="G151" s="39">
        <v>45613</v>
      </c>
      <c r="H151" s="40">
        <v>-108</v>
      </c>
      <c r="I151" s="40">
        <v>-112</v>
      </c>
      <c r="J151" s="7">
        <v>125</v>
      </c>
      <c r="K151" s="8">
        <v>0.11525805334257032</v>
      </c>
      <c r="L151" s="9">
        <v>5.1225801485586808E-2</v>
      </c>
      <c r="M151" s="10">
        <v>101.74703004891684</v>
      </c>
      <c r="N151" s="11">
        <v>2.25</v>
      </c>
      <c r="O151" s="12">
        <v>4258.925267830522</v>
      </c>
      <c r="P151" s="32" t="s">
        <v>75</v>
      </c>
      <c r="Q151" s="81" t="s">
        <v>76</v>
      </c>
      <c r="R151" s="82"/>
      <c r="S151" s="80"/>
      <c r="T151" s="32">
        <v>402.15</v>
      </c>
      <c r="U151" s="32">
        <v>402.15</v>
      </c>
      <c r="V151" s="74" t="s">
        <v>82</v>
      </c>
      <c r="W151" s="15"/>
      <c r="X151" s="15"/>
      <c r="Y151" s="16"/>
      <c r="Z151" s="17"/>
      <c r="AA151" s="18"/>
      <c r="AB151" s="75">
        <v>-402.15</v>
      </c>
      <c r="AC151" s="20">
        <v>46.351026151714649</v>
      </c>
      <c r="AD151" s="21">
        <v>45613</v>
      </c>
      <c r="AE151" s="22">
        <v>88401.527417881502</v>
      </c>
      <c r="AF151" s="23">
        <v>-8024.1090666666532</v>
      </c>
      <c r="AG151" s="24">
        <v>92378.04093333357</v>
      </c>
      <c r="AH151" s="15">
        <v>0.5</v>
      </c>
      <c r="AI151" s="76"/>
      <c r="AJ151" s="76"/>
      <c r="AK151" s="76"/>
      <c r="AL151" s="76"/>
      <c r="AM151" s="76"/>
      <c r="AN151" s="76"/>
      <c r="AO151" s="76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76"/>
    </row>
    <row r="152" spans="1:68" ht="15" customHeight="1" x14ac:dyDescent="0.25">
      <c r="A152" s="1">
        <f t="shared" si="11"/>
        <v>65</v>
      </c>
      <c r="B152" s="1" t="str">
        <f t="shared" si="8"/>
        <v xml:space="preserve">Clippers </v>
      </c>
      <c r="C152" s="1">
        <f t="shared" si="9"/>
        <v>0</v>
      </c>
      <c r="D152" s="2" t="str">
        <f t="shared" si="10"/>
        <v>2024-11</v>
      </c>
      <c r="E152" s="3" t="s">
        <v>196</v>
      </c>
      <c r="F152" s="4" t="s">
        <v>74</v>
      </c>
      <c r="G152" s="39">
        <v>45613</v>
      </c>
      <c r="H152" s="40">
        <v>110</v>
      </c>
      <c r="I152" s="40">
        <v>-136</v>
      </c>
      <c r="J152" s="7">
        <v>155</v>
      </c>
      <c r="K152" s="8">
        <v>0.15375766871165641</v>
      </c>
      <c r="L152" s="9">
        <v>6.0297124984963313E-2</v>
      </c>
      <c r="M152" s="10">
        <v>121.01694915254235</v>
      </c>
      <c r="N152" s="11">
        <v>2.5499999999999998</v>
      </c>
      <c r="O152" s="12">
        <v>4561.935021802241</v>
      </c>
      <c r="P152" s="32" t="s">
        <v>75</v>
      </c>
      <c r="Q152" s="81" t="s">
        <v>76</v>
      </c>
      <c r="R152" s="82"/>
      <c r="S152" s="80"/>
      <c r="T152" s="32">
        <v>324.315</v>
      </c>
      <c r="U152" s="32">
        <v>324.315</v>
      </c>
      <c r="V152" s="74" t="s">
        <v>82</v>
      </c>
      <c r="W152" s="15"/>
      <c r="X152" s="15"/>
      <c r="Y152" s="16"/>
      <c r="Z152" s="17"/>
      <c r="AA152" s="18"/>
      <c r="AB152" s="75">
        <v>-324.315</v>
      </c>
      <c r="AC152" s="20">
        <v>49.86591832822085</v>
      </c>
      <c r="AD152" s="21">
        <v>45613</v>
      </c>
      <c r="AE152" s="22">
        <v>88451.393336209716</v>
      </c>
      <c r="AF152" s="23">
        <v>-8348.4240666666537</v>
      </c>
      <c r="AG152" s="24">
        <v>91975.890933333576</v>
      </c>
      <c r="AH152" s="15">
        <v>0.5</v>
      </c>
      <c r="AI152" s="76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  <c r="BG152" s="77"/>
      <c r="BH152" s="77"/>
      <c r="BI152" s="77"/>
      <c r="BJ152" s="77"/>
      <c r="BK152" s="77"/>
      <c r="BL152" s="77"/>
      <c r="BM152" s="77"/>
      <c r="BN152" s="77"/>
      <c r="BO152" s="77"/>
      <c r="BP152" s="77"/>
    </row>
    <row r="153" spans="1:68" ht="15" customHeight="1" x14ac:dyDescent="0.25">
      <c r="A153" s="1">
        <f t="shared" si="11"/>
        <v>66</v>
      </c>
      <c r="B153" s="1" t="str">
        <f t="shared" si="8"/>
        <v xml:space="preserve">76ers </v>
      </c>
      <c r="C153" s="1">
        <f t="shared" si="9"/>
        <v>0</v>
      </c>
      <c r="D153" s="2" t="str">
        <f t="shared" si="10"/>
        <v>2024-11</v>
      </c>
      <c r="E153" s="3" t="s">
        <v>197</v>
      </c>
      <c r="F153" s="4" t="s">
        <v>74</v>
      </c>
      <c r="G153" s="39">
        <v>45614</v>
      </c>
      <c r="H153" s="40">
        <v>-120</v>
      </c>
      <c r="I153" s="40">
        <v>108</v>
      </c>
      <c r="J153" s="7">
        <v>-106</v>
      </c>
      <c r="K153" s="8">
        <v>3.2946546237665089E-2</v>
      </c>
      <c r="L153" s="9">
        <v>1.695307719025485E-2</v>
      </c>
      <c r="M153" s="10">
        <v>-113.45454545454544</v>
      </c>
      <c r="N153" s="11">
        <v>1.9433962264150944</v>
      </c>
      <c r="O153" s="12">
        <v>1892.0786853776287</v>
      </c>
      <c r="P153" s="32" t="s">
        <v>75</v>
      </c>
      <c r="Q153" s="81" t="s">
        <v>76</v>
      </c>
      <c r="R153" s="82"/>
      <c r="S153" s="80"/>
      <c r="T153" s="32">
        <v>1600</v>
      </c>
      <c r="U153" s="32">
        <v>3925</v>
      </c>
      <c r="V153" s="74" t="s">
        <v>82</v>
      </c>
      <c r="W153" s="15"/>
      <c r="X153" s="15"/>
      <c r="Y153" s="16"/>
      <c r="Z153" s="17"/>
      <c r="AA153" s="18"/>
      <c r="AB153" s="75">
        <v>-1600</v>
      </c>
      <c r="AC153" s="20">
        <v>52.714473980264145</v>
      </c>
      <c r="AD153" s="21">
        <v>45614</v>
      </c>
      <c r="AE153" s="22">
        <v>89378.70676722833</v>
      </c>
      <c r="AF153" s="23">
        <v>6756.1159333333471</v>
      </c>
      <c r="AG153" s="24">
        <v>108356.11593333363</v>
      </c>
      <c r="AH153" s="15">
        <v>0.5</v>
      </c>
      <c r="AI153" s="76"/>
      <c r="AJ153" s="77"/>
      <c r="AK153" s="77"/>
      <c r="AL153" s="77"/>
      <c r="AM153" s="77"/>
      <c r="AN153" s="76"/>
      <c r="AO153" s="76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7"/>
      <c r="BN153" s="77"/>
      <c r="BO153" s="77"/>
      <c r="BP153" s="76"/>
    </row>
    <row r="154" spans="1:68" ht="15" customHeight="1" x14ac:dyDescent="0.25">
      <c r="A154" s="1">
        <f t="shared" si="11"/>
        <v>66</v>
      </c>
      <c r="B154" s="1" t="str">
        <f t="shared" si="8"/>
        <v xml:space="preserve">76ers </v>
      </c>
      <c r="C154" s="1">
        <f t="shared" si="9"/>
        <v>0</v>
      </c>
      <c r="D154" s="2" t="str">
        <f t="shared" si="10"/>
        <v>2024-11</v>
      </c>
      <c r="E154" s="3" t="s">
        <v>198</v>
      </c>
      <c r="F154" s="4" t="s">
        <v>74</v>
      </c>
      <c r="G154" s="39">
        <v>45614</v>
      </c>
      <c r="H154" s="40">
        <v>-133</v>
      </c>
      <c r="I154" s="40">
        <v>118</v>
      </c>
      <c r="J154" s="7">
        <v>-115</v>
      </c>
      <c r="K154" s="8">
        <v>3.6565837630387212E-2</v>
      </c>
      <c r="L154" s="9">
        <v>1.955847129067223E-2</v>
      </c>
      <c r="M154" s="10">
        <v>-124.43776824034332</v>
      </c>
      <c r="N154" s="11">
        <v>1.8695652173913042</v>
      </c>
      <c r="O154" s="12">
        <v>2244.5854107297159</v>
      </c>
      <c r="P154" s="32" t="s">
        <v>75</v>
      </c>
      <c r="Q154" s="81" t="s">
        <v>76</v>
      </c>
      <c r="R154" s="82"/>
      <c r="S154" s="80"/>
      <c r="T154" s="32">
        <v>1725</v>
      </c>
      <c r="U154" s="32">
        <v>4309.04</v>
      </c>
      <c r="V154" s="74" t="s">
        <v>82</v>
      </c>
      <c r="W154" s="15"/>
      <c r="X154" s="15"/>
      <c r="Y154" s="16"/>
      <c r="Z154" s="17"/>
      <c r="AA154" s="18"/>
      <c r="AB154" s="75">
        <v>-1725</v>
      </c>
      <c r="AC154" s="20">
        <v>63.076069912417942</v>
      </c>
      <c r="AD154" s="21">
        <v>45614</v>
      </c>
      <c r="AE154" s="22">
        <v>89441.782837140752</v>
      </c>
      <c r="AF154" s="23">
        <v>5031.1159333333471</v>
      </c>
      <c r="AG154" s="24">
        <v>106756.11593333363</v>
      </c>
      <c r="AH154" s="15">
        <v>0.5</v>
      </c>
      <c r="AI154" s="76"/>
      <c r="AJ154" s="76"/>
      <c r="AK154" s="76"/>
      <c r="AL154" s="76"/>
      <c r="AM154" s="76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6"/>
      <c r="BC154" s="76"/>
      <c r="BD154" s="77"/>
      <c r="BE154" s="77"/>
      <c r="BF154" s="77"/>
      <c r="BG154" s="77"/>
      <c r="BH154" s="77"/>
      <c r="BI154" s="77"/>
      <c r="BJ154" s="77"/>
      <c r="BK154" s="77"/>
      <c r="BL154" s="77"/>
      <c r="BM154" s="77"/>
      <c r="BN154" s="77"/>
      <c r="BO154" s="77"/>
      <c r="BP154" s="76"/>
    </row>
    <row r="155" spans="1:68" ht="15" customHeight="1" x14ac:dyDescent="0.25">
      <c r="A155" s="1">
        <f t="shared" si="11"/>
        <v>66</v>
      </c>
      <c r="B155" s="1" t="str">
        <f t="shared" si="8"/>
        <v xml:space="preserve">76ers </v>
      </c>
      <c r="C155" s="1">
        <f t="shared" si="9"/>
        <v>0</v>
      </c>
      <c r="D155" s="2" t="str">
        <f t="shared" si="10"/>
        <v>2024-11</v>
      </c>
      <c r="E155" s="3" t="s">
        <v>199</v>
      </c>
      <c r="F155" s="4" t="s">
        <v>74</v>
      </c>
      <c r="G155" s="39">
        <v>45614</v>
      </c>
      <c r="H155" s="40">
        <v>-109</v>
      </c>
      <c r="I155" s="40">
        <v>-101</v>
      </c>
      <c r="J155" s="7">
        <v>100</v>
      </c>
      <c r="K155" s="8">
        <v>1.8596866428006731E-2</v>
      </c>
      <c r="L155" s="9">
        <v>9.2984332140033654E-3</v>
      </c>
      <c r="M155" s="10">
        <v>-103.78985266947744</v>
      </c>
      <c r="N155" s="11">
        <v>2</v>
      </c>
      <c r="O155" s="12">
        <v>976.62481689834749</v>
      </c>
      <c r="P155" s="32" t="s">
        <v>75</v>
      </c>
      <c r="Q155" s="81" t="s">
        <v>76</v>
      </c>
      <c r="R155" s="82"/>
      <c r="S155" s="80"/>
      <c r="T155" s="32">
        <v>1500</v>
      </c>
      <c r="U155" s="32">
        <v>3749.62</v>
      </c>
      <c r="V155" s="74" t="s">
        <v>82</v>
      </c>
      <c r="W155" s="15"/>
      <c r="X155" s="15"/>
      <c r="Y155" s="16"/>
      <c r="Z155" s="17"/>
      <c r="AA155" s="18"/>
      <c r="AB155" s="75">
        <v>-1500</v>
      </c>
      <c r="AC155" s="20">
        <v>27.895299642010094</v>
      </c>
      <c r="AD155" s="21">
        <v>45614</v>
      </c>
      <c r="AE155" s="22">
        <v>89469.678136782764</v>
      </c>
      <c r="AF155" s="23">
        <v>3531.1159333333471</v>
      </c>
      <c r="AG155" s="24">
        <v>105031.11593333363</v>
      </c>
      <c r="AH155" s="15">
        <v>0.5</v>
      </c>
      <c r="AI155" s="76"/>
      <c r="AJ155" s="77"/>
      <c r="AK155" s="77"/>
      <c r="AL155" s="77"/>
      <c r="AM155" s="77"/>
      <c r="AN155" s="76"/>
      <c r="AO155" s="76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6"/>
      <c r="BC155" s="76"/>
      <c r="BD155" s="77"/>
      <c r="BE155" s="77"/>
      <c r="BF155" s="77"/>
      <c r="BG155" s="77"/>
      <c r="BH155" s="77"/>
      <c r="BI155" s="77"/>
      <c r="BJ155" s="77"/>
      <c r="BK155" s="77"/>
      <c r="BL155" s="77"/>
      <c r="BM155" s="77"/>
      <c r="BN155" s="77"/>
      <c r="BO155" s="77"/>
      <c r="BP155" s="77"/>
    </row>
    <row r="156" spans="1:68" ht="15" customHeight="1" x14ac:dyDescent="0.25">
      <c r="A156" s="1">
        <f t="shared" si="11"/>
        <v>66</v>
      </c>
      <c r="B156" s="1" t="str">
        <f t="shared" si="8"/>
        <v xml:space="preserve">76ers </v>
      </c>
      <c r="C156" s="1">
        <f t="shared" si="9"/>
        <v>0</v>
      </c>
      <c r="D156" s="2" t="str">
        <f t="shared" si="10"/>
        <v>2024-11</v>
      </c>
      <c r="E156" s="3" t="s">
        <v>200</v>
      </c>
      <c r="F156" s="4" t="s">
        <v>74</v>
      </c>
      <c r="G156" s="39">
        <v>45614</v>
      </c>
      <c r="H156" s="40">
        <v>-101</v>
      </c>
      <c r="I156" s="40">
        <v>-111</v>
      </c>
      <c r="J156" s="7">
        <v>107</v>
      </c>
      <c r="K156" s="8">
        <v>1.127344000733602E-2</v>
      </c>
      <c r="L156" s="9">
        <v>5.4461062837372065E-3</v>
      </c>
      <c r="M156" s="10">
        <v>104.692412369199</v>
      </c>
      <c r="N156" s="11">
        <v>2.0700000000000003</v>
      </c>
      <c r="O156" s="12">
        <v>545.39804876961989</v>
      </c>
      <c r="P156" s="32" t="s">
        <v>75</v>
      </c>
      <c r="Q156" s="81" t="s">
        <v>76</v>
      </c>
      <c r="R156" s="82"/>
      <c r="S156" s="80"/>
      <c r="T156" s="32">
        <v>1500</v>
      </c>
      <c r="U156" s="32">
        <v>3406</v>
      </c>
      <c r="V156" s="74" t="s">
        <v>82</v>
      </c>
      <c r="W156" s="15"/>
      <c r="X156" s="15"/>
      <c r="Y156" s="16"/>
      <c r="Z156" s="17"/>
      <c r="AA156" s="18"/>
      <c r="AB156" s="75">
        <v>-1500</v>
      </c>
      <c r="AC156" s="20">
        <v>16.910160011004031</v>
      </c>
      <c r="AD156" s="21">
        <v>45614</v>
      </c>
      <c r="AE156" s="22">
        <v>89486.588296793765</v>
      </c>
      <c r="AF156" s="23">
        <v>2031.1159333333471</v>
      </c>
      <c r="AG156" s="24">
        <v>103531.11593333363</v>
      </c>
      <c r="AH156" s="15">
        <v>0.5</v>
      </c>
      <c r="AI156" s="76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77"/>
    </row>
    <row r="157" spans="1:68" ht="15" customHeight="1" x14ac:dyDescent="0.25">
      <c r="A157" s="1">
        <f t="shared" si="11"/>
        <v>67</v>
      </c>
      <c r="B157" s="1" t="str">
        <f t="shared" si="8"/>
        <v xml:space="preserve">Haliburton </v>
      </c>
      <c r="C157" s="1">
        <f t="shared" si="9"/>
        <v>1</v>
      </c>
      <c r="D157" s="2" t="str">
        <f t="shared" si="10"/>
        <v>2024-11</v>
      </c>
      <c r="E157" s="3" t="s">
        <v>201</v>
      </c>
      <c r="F157" s="4" t="s">
        <v>74</v>
      </c>
      <c r="G157" s="39">
        <v>45614</v>
      </c>
      <c r="H157" s="40">
        <v>106</v>
      </c>
      <c r="I157" s="40">
        <v>-103</v>
      </c>
      <c r="J157" s="7">
        <v>138</v>
      </c>
      <c r="K157" s="8">
        <v>0.16368803892287676</v>
      </c>
      <c r="L157" s="9">
        <v>6.8776486942385195E-2</v>
      </c>
      <c r="M157" s="10">
        <v>104.52216748768473</v>
      </c>
      <c r="N157" s="11">
        <v>2.38</v>
      </c>
      <c r="O157" s="12">
        <v>6008.2475130651819</v>
      </c>
      <c r="P157" s="32" t="s">
        <v>75</v>
      </c>
      <c r="Q157" s="81" t="s">
        <v>92</v>
      </c>
      <c r="R157" s="82"/>
      <c r="S157" s="80"/>
      <c r="T157" s="32">
        <v>76.08</v>
      </c>
      <c r="U157" s="32">
        <v>76.08</v>
      </c>
      <c r="V157" s="74" t="s">
        <v>77</v>
      </c>
      <c r="W157" s="15"/>
      <c r="X157" s="15"/>
      <c r="Y157" s="16"/>
      <c r="Z157" s="17"/>
      <c r="AA157" s="18"/>
      <c r="AB157" s="75">
        <v>104.99</v>
      </c>
      <c r="AC157" s="20">
        <v>12.453386001252463</v>
      </c>
      <c r="AD157" s="21">
        <v>45614</v>
      </c>
      <c r="AE157" s="22">
        <v>89539.993609594239</v>
      </c>
      <c r="AF157" s="23">
        <v>1412.1059333333471</v>
      </c>
      <c r="AG157" s="24">
        <v>101307.11593333363</v>
      </c>
      <c r="AH157" s="15">
        <v>0.5</v>
      </c>
      <c r="AI157" s="76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  <c r="BM157" s="77"/>
      <c r="BN157" s="77"/>
      <c r="BO157" s="77"/>
      <c r="BP157" s="77"/>
    </row>
    <row r="158" spans="1:68" ht="15" customHeight="1" x14ac:dyDescent="0.25">
      <c r="A158" s="1">
        <f t="shared" si="11"/>
        <v>68</v>
      </c>
      <c r="B158" s="1" t="str">
        <f t="shared" si="8"/>
        <v xml:space="preserve">Magic </v>
      </c>
      <c r="C158" s="1">
        <f t="shared" si="9"/>
        <v>1</v>
      </c>
      <c r="D158" s="2" t="str">
        <f t="shared" si="10"/>
        <v>2024-11</v>
      </c>
      <c r="E158" s="3" t="s">
        <v>202</v>
      </c>
      <c r="F158" s="4" t="s">
        <v>74</v>
      </c>
      <c r="G158" s="39">
        <v>45614</v>
      </c>
      <c r="H158" s="40">
        <v>-128</v>
      </c>
      <c r="I158" s="40">
        <v>112</v>
      </c>
      <c r="J158" s="7">
        <v>-112</v>
      </c>
      <c r="K158" s="8">
        <v>2.8608046871424146E-2</v>
      </c>
      <c r="L158" s="9">
        <v>1.5113685139620303E-2</v>
      </c>
      <c r="M158" s="10">
        <v>-119.01754385964917</v>
      </c>
      <c r="N158" s="11">
        <v>1.8928571428571428</v>
      </c>
      <c r="O158" s="12">
        <v>1624.673276727558</v>
      </c>
      <c r="P158" s="32" t="s">
        <v>75</v>
      </c>
      <c r="Q158" s="82" t="s">
        <v>92</v>
      </c>
      <c r="R158" s="82"/>
      <c r="S158" s="80"/>
      <c r="T158" s="32">
        <v>699.94500000000005</v>
      </c>
      <c r="U158" s="32">
        <v>699.94500000000005</v>
      </c>
      <c r="V158" s="74" t="s">
        <v>77</v>
      </c>
      <c r="W158" s="15"/>
      <c r="X158" s="15"/>
      <c r="Y158" s="16"/>
      <c r="Z158" s="17"/>
      <c r="AA158" s="18"/>
      <c r="AB158" s="75">
        <v>624.95000000000005</v>
      </c>
      <c r="AC158" s="20">
        <v>20.024059367418975</v>
      </c>
      <c r="AD158" s="21">
        <v>45614</v>
      </c>
      <c r="AE158" s="22">
        <v>89560.017668961664</v>
      </c>
      <c r="AF158" s="23">
        <v>2037.0559333333472</v>
      </c>
      <c r="AG158" s="24">
        <v>101412.10593333363</v>
      </c>
      <c r="AH158" s="15">
        <v>0.5</v>
      </c>
      <c r="AI158" s="76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  <c r="BM158" s="77"/>
      <c r="BN158" s="77"/>
      <c r="BO158" s="77"/>
      <c r="BP158" s="77"/>
    </row>
    <row r="159" spans="1:68" ht="15" customHeight="1" x14ac:dyDescent="0.25">
      <c r="A159" s="1">
        <f t="shared" si="11"/>
        <v>69</v>
      </c>
      <c r="B159" s="1" t="str">
        <f t="shared" si="8"/>
        <v xml:space="preserve">Pacers </v>
      </c>
      <c r="C159" s="1">
        <f t="shared" si="9"/>
        <v>1</v>
      </c>
      <c r="D159" s="2" t="str">
        <f t="shared" si="10"/>
        <v>2024-11</v>
      </c>
      <c r="E159" s="3" t="s">
        <v>203</v>
      </c>
      <c r="F159" s="4" t="s">
        <v>74</v>
      </c>
      <c r="G159" s="39">
        <v>45614</v>
      </c>
      <c r="H159" s="40">
        <v>-140</v>
      </c>
      <c r="I159" s="40">
        <v>123</v>
      </c>
      <c r="J159" s="7">
        <v>100</v>
      </c>
      <c r="K159" s="8">
        <v>0.13074972835929</v>
      </c>
      <c r="L159" s="9">
        <v>6.5374864179644998E-2</v>
      </c>
      <c r="M159" s="10">
        <v>-130.08333333333331</v>
      </c>
      <c r="N159" s="11">
        <v>2</v>
      </c>
      <c r="O159" s="12">
        <v>6652.0804440299544</v>
      </c>
      <c r="P159" s="32" t="s">
        <v>75</v>
      </c>
      <c r="Q159" s="81" t="s">
        <v>92</v>
      </c>
      <c r="R159" s="82"/>
      <c r="S159" s="80"/>
      <c r="T159" s="32">
        <v>629.95000000000005</v>
      </c>
      <c r="U159" s="32">
        <v>629.95000000000005</v>
      </c>
      <c r="V159" s="74" t="s">
        <v>77</v>
      </c>
      <c r="W159" s="15"/>
      <c r="X159" s="15"/>
      <c r="Y159" s="16"/>
      <c r="Z159" s="17"/>
      <c r="AA159" s="18"/>
      <c r="AB159" s="75">
        <v>629.95000000000005</v>
      </c>
      <c r="AC159" s="20">
        <v>82.365791379934734</v>
      </c>
      <c r="AD159" s="21">
        <v>45614</v>
      </c>
      <c r="AE159" s="22">
        <v>88790.921394537232</v>
      </c>
      <c r="AF159" s="23">
        <v>2382.8259333333472</v>
      </c>
      <c r="AG159" s="24">
        <v>101752.87593333363</v>
      </c>
      <c r="AH159" s="15">
        <v>0.5</v>
      </c>
      <c r="AI159" s="76"/>
      <c r="AJ159" s="77"/>
      <c r="AK159" s="77"/>
      <c r="AL159" s="77"/>
      <c r="AM159" s="77"/>
      <c r="AN159" s="76"/>
      <c r="AO159" s="76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6"/>
      <c r="BC159" s="76"/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76"/>
    </row>
    <row r="160" spans="1:68" ht="15" customHeight="1" x14ac:dyDescent="0.25">
      <c r="A160" s="1">
        <f t="shared" si="11"/>
        <v>69</v>
      </c>
      <c r="B160" s="1" t="str">
        <f t="shared" si="8"/>
        <v xml:space="preserve">Pacers </v>
      </c>
      <c r="C160" s="1">
        <f t="shared" si="9"/>
        <v>1</v>
      </c>
      <c r="D160" s="2" t="str">
        <f t="shared" si="10"/>
        <v>2024-11</v>
      </c>
      <c r="E160" s="3" t="s">
        <v>204</v>
      </c>
      <c r="F160" s="4" t="s">
        <v>74</v>
      </c>
      <c r="G160" s="39">
        <v>45614</v>
      </c>
      <c r="H160" s="40">
        <v>-130</v>
      </c>
      <c r="I160" s="40">
        <v>112</v>
      </c>
      <c r="J160" s="7">
        <v>107</v>
      </c>
      <c r="K160" s="8">
        <v>0.12834651898734223</v>
      </c>
      <c r="L160" s="9">
        <v>6.2003149269247437E-2</v>
      </c>
      <c r="M160" s="10">
        <v>-119.82608695652179</v>
      </c>
      <c r="N160" s="11">
        <v>2.0700000000000003</v>
      </c>
      <c r="O160" s="12">
        <v>6140.4108937525025</v>
      </c>
      <c r="P160" s="32" t="s">
        <v>75</v>
      </c>
      <c r="Q160" s="81" t="s">
        <v>92</v>
      </c>
      <c r="R160" s="82"/>
      <c r="S160" s="80"/>
      <c r="T160" s="32">
        <v>588.74</v>
      </c>
      <c r="U160" s="32">
        <v>588.74</v>
      </c>
      <c r="V160" s="74" t="s">
        <v>77</v>
      </c>
      <c r="W160" s="15"/>
      <c r="X160" s="15"/>
      <c r="Y160" s="16"/>
      <c r="Z160" s="17"/>
      <c r="AA160" s="18"/>
      <c r="AB160" s="75">
        <v>629.95000000000005</v>
      </c>
      <c r="AC160" s="20">
        <v>75.562729588607866</v>
      </c>
      <c r="AD160" s="21">
        <v>45614</v>
      </c>
      <c r="AE160" s="22">
        <v>88866.48412412584</v>
      </c>
      <c r="AF160" s="23">
        <v>3012.775933333347</v>
      </c>
      <c r="AG160" s="24">
        <v>102382.82593333363</v>
      </c>
      <c r="AH160" s="15">
        <v>0.5</v>
      </c>
      <c r="AI160" s="76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77"/>
    </row>
    <row r="161" spans="1:68" ht="15" customHeight="1" x14ac:dyDescent="0.25">
      <c r="A161" s="1">
        <f t="shared" si="11"/>
        <v>69</v>
      </c>
      <c r="B161" s="1" t="str">
        <f t="shared" si="8"/>
        <v xml:space="preserve">Pacers </v>
      </c>
      <c r="C161" s="1">
        <f t="shared" si="9"/>
        <v>1</v>
      </c>
      <c r="D161" s="2" t="str">
        <f t="shared" si="10"/>
        <v>2024-11</v>
      </c>
      <c r="E161" s="3" t="s">
        <v>205</v>
      </c>
      <c r="F161" s="4" t="s">
        <v>74</v>
      </c>
      <c r="G161" s="39">
        <v>45614</v>
      </c>
      <c r="H161" s="40">
        <v>-135</v>
      </c>
      <c r="I161" s="40">
        <v>118</v>
      </c>
      <c r="J161" s="7">
        <v>-106</v>
      </c>
      <c r="K161" s="8">
        <v>8.0562080925679638E-2</v>
      </c>
      <c r="L161" s="9">
        <v>4.1454274651077871E-2</v>
      </c>
      <c r="M161" s="10">
        <v>-125.23404255319146</v>
      </c>
      <c r="N161" s="11">
        <v>1.9433962264150944</v>
      </c>
      <c r="O161" s="12">
        <v>4398.429503293667</v>
      </c>
      <c r="P161" s="32" t="s">
        <v>75</v>
      </c>
      <c r="Q161" s="81" t="s">
        <v>92</v>
      </c>
      <c r="R161" s="82"/>
      <c r="S161" s="80"/>
      <c r="T161" s="32">
        <v>663.10500000000002</v>
      </c>
      <c r="U161" s="32">
        <v>663.10500000000002</v>
      </c>
      <c r="V161" s="74" t="s">
        <v>77</v>
      </c>
      <c r="W161" s="15"/>
      <c r="X161" s="15"/>
      <c r="Y161" s="16"/>
      <c r="Z161" s="17"/>
      <c r="AA161" s="18"/>
      <c r="AB161" s="75">
        <v>625.57000000000005</v>
      </c>
      <c r="AC161" s="20">
        <v>53.421118672222796</v>
      </c>
      <c r="AD161" s="21">
        <v>45614</v>
      </c>
      <c r="AE161" s="22">
        <v>88919.905242798064</v>
      </c>
      <c r="AF161" s="23">
        <v>3638.3459333333471</v>
      </c>
      <c r="AG161" s="24">
        <v>103012.77593333363</v>
      </c>
      <c r="AH161" s="15">
        <v>0.5</v>
      </c>
      <c r="AI161" s="76"/>
      <c r="AJ161" s="76"/>
      <c r="AK161" s="76"/>
      <c r="AL161" s="76"/>
      <c r="AM161" s="76"/>
      <c r="AN161" s="76"/>
      <c r="AO161" s="76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7"/>
      <c r="BN161" s="77"/>
      <c r="BO161" s="77"/>
      <c r="BP161" s="77"/>
    </row>
    <row r="162" spans="1:68" ht="15" customHeight="1" x14ac:dyDescent="0.25">
      <c r="A162" s="1">
        <f t="shared" si="11"/>
        <v>70</v>
      </c>
      <c r="B162" s="1" t="str">
        <f t="shared" si="8"/>
        <v xml:space="preserve">Celtics </v>
      </c>
      <c r="C162" s="1">
        <f t="shared" si="9"/>
        <v>0</v>
      </c>
      <c r="D162" s="2" t="str">
        <f t="shared" si="10"/>
        <v>2024-11</v>
      </c>
      <c r="E162" s="3" t="s">
        <v>206</v>
      </c>
      <c r="F162" s="4" t="s">
        <v>74</v>
      </c>
      <c r="G162" s="39">
        <v>45615</v>
      </c>
      <c r="H162" s="40">
        <v>-250</v>
      </c>
      <c r="I162" s="40">
        <v>219</v>
      </c>
      <c r="J162" s="7">
        <v>-200</v>
      </c>
      <c r="K162" s="8">
        <v>4.2483660130719025E-2</v>
      </c>
      <c r="L162" s="9">
        <v>2.8322440087146017E-2</v>
      </c>
      <c r="M162" s="10">
        <v>-227.85714285714289</v>
      </c>
      <c r="N162" s="11">
        <v>1.5</v>
      </c>
      <c r="O162" s="12">
        <v>4278.1262814815027</v>
      </c>
      <c r="P162" s="32" t="s">
        <v>75</v>
      </c>
      <c r="Q162" s="80" t="s">
        <v>81</v>
      </c>
      <c r="R162" s="82"/>
      <c r="S162" s="80"/>
      <c r="T162" s="32">
        <v>3000</v>
      </c>
      <c r="U162" s="32">
        <v>7000</v>
      </c>
      <c r="V162" s="74" t="s">
        <v>77</v>
      </c>
      <c r="W162" s="15"/>
      <c r="X162" s="15"/>
      <c r="Y162" s="16"/>
      <c r="Z162" s="17"/>
      <c r="AA162" s="18"/>
      <c r="AB162" s="75">
        <v>1500</v>
      </c>
      <c r="AC162" s="20">
        <v>127.45098039215708</v>
      </c>
      <c r="AD162" s="21">
        <v>45615</v>
      </c>
      <c r="AE162" s="22">
        <v>91081.811720690413</v>
      </c>
      <c r="AF162" s="23">
        <v>2200.5109333333471</v>
      </c>
      <c r="AG162" s="24">
        <v>100700.51093333366</v>
      </c>
      <c r="AH162" s="15">
        <v>0.5</v>
      </c>
      <c r="AI162" s="76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7"/>
      <c r="BN162" s="77"/>
      <c r="BO162" s="77"/>
      <c r="BP162" s="77"/>
    </row>
    <row r="163" spans="1:68" ht="15" customHeight="1" x14ac:dyDescent="0.25">
      <c r="A163" s="1">
        <f t="shared" si="11"/>
        <v>71</v>
      </c>
      <c r="B163" s="1" t="str">
        <f t="shared" si="8"/>
        <v xml:space="preserve">Cincinnati </v>
      </c>
      <c r="C163" s="1">
        <f t="shared" si="9"/>
        <v>0</v>
      </c>
      <c r="D163" s="2" t="str">
        <f t="shared" si="10"/>
        <v>2024-11</v>
      </c>
      <c r="E163" s="3" t="s">
        <v>207</v>
      </c>
      <c r="F163" s="4" t="s">
        <v>97</v>
      </c>
      <c r="G163" s="39">
        <v>45615</v>
      </c>
      <c r="H163" s="40">
        <v>-135</v>
      </c>
      <c r="I163" s="40">
        <v>117</v>
      </c>
      <c r="J163" s="7">
        <v>-110</v>
      </c>
      <c r="K163" s="8">
        <v>5.9320355749941794E-2</v>
      </c>
      <c r="L163" s="9">
        <v>3.107256729758856E-2</v>
      </c>
      <c r="M163" s="10">
        <v>-124.6595744680851</v>
      </c>
      <c r="N163" s="11">
        <v>1.9090909090909092</v>
      </c>
      <c r="O163" s="12">
        <v>3278.5790265681781</v>
      </c>
      <c r="P163" s="32" t="s">
        <v>143</v>
      </c>
      <c r="Q163" s="80" t="s">
        <v>76</v>
      </c>
      <c r="R163" s="82"/>
      <c r="S163" s="80"/>
      <c r="T163" s="32">
        <v>232.48</v>
      </c>
      <c r="U163" s="32">
        <v>232.48</v>
      </c>
      <c r="V163" s="74" t="s">
        <v>77</v>
      </c>
      <c r="W163" s="15"/>
      <c r="X163" s="15"/>
      <c r="Y163" s="16"/>
      <c r="Z163" s="17"/>
      <c r="AA163" s="18"/>
      <c r="AB163" s="75">
        <v>211.35</v>
      </c>
      <c r="AC163" s="20">
        <v>13.790796304746468</v>
      </c>
      <c r="AD163" s="21">
        <v>45615</v>
      </c>
      <c r="AE163" s="22">
        <v>90954.36074029826</v>
      </c>
      <c r="AF163" s="23">
        <v>700.51093333334711</v>
      </c>
      <c r="AG163" s="24">
        <v>100489.16093333365</v>
      </c>
      <c r="AH163" s="15">
        <v>0.5</v>
      </c>
      <c r="AI163" s="76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</row>
    <row r="164" spans="1:68" ht="15" customHeight="1" x14ac:dyDescent="0.25">
      <c r="A164" s="1">
        <f t="shared" si="11"/>
        <v>72</v>
      </c>
      <c r="B164" s="1" t="str">
        <f t="shared" si="8"/>
        <v xml:space="preserve">Florida </v>
      </c>
      <c r="C164" s="1">
        <f t="shared" si="9"/>
        <v>0</v>
      </c>
      <c r="D164" s="2" t="str">
        <f t="shared" si="10"/>
        <v>2024-11</v>
      </c>
      <c r="E164" s="3" t="s">
        <v>208</v>
      </c>
      <c r="F164" s="4" t="s">
        <v>74</v>
      </c>
      <c r="G164" s="39">
        <v>45615</v>
      </c>
      <c r="H164" s="40">
        <v>-147</v>
      </c>
      <c r="I164" s="40">
        <v>121</v>
      </c>
      <c r="J164" s="7">
        <v>-114</v>
      </c>
      <c r="K164" s="8">
        <v>6.6402651320276215E-2</v>
      </c>
      <c r="L164" s="9">
        <v>3.5373375002390128E-2</v>
      </c>
      <c r="M164" s="10">
        <v>-131.52631578947367</v>
      </c>
      <c r="N164" s="11">
        <v>1.8771929824561404</v>
      </c>
      <c r="O164" s="12">
        <v>3890.423744123681</v>
      </c>
      <c r="P164" s="32" t="s">
        <v>143</v>
      </c>
      <c r="Q164" s="81" t="s">
        <v>76</v>
      </c>
      <c r="R164" s="82"/>
      <c r="S164" s="80"/>
      <c r="T164" s="32">
        <v>1725</v>
      </c>
      <c r="U164" s="32">
        <v>3059.1400000000003</v>
      </c>
      <c r="V164" s="74" t="s">
        <v>77</v>
      </c>
      <c r="W164" s="15"/>
      <c r="X164" s="15"/>
      <c r="Y164" s="16"/>
      <c r="Z164" s="17"/>
      <c r="AA164" s="18"/>
      <c r="AB164" s="75">
        <v>1513.16</v>
      </c>
      <c r="AC164" s="20">
        <v>114.54457352747647</v>
      </c>
      <c r="AD164" s="21">
        <v>45615</v>
      </c>
      <c r="AE164" s="22">
        <v>91593.200718482229</v>
      </c>
      <c r="AF164" s="23">
        <v>4299.7909333333473</v>
      </c>
      <c r="AG164" s="24">
        <v>102786.63093333365</v>
      </c>
      <c r="AH164" s="15">
        <v>0.5</v>
      </c>
      <c r="AI164" s="76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  <c r="BM164" s="77"/>
      <c r="BN164" s="77"/>
      <c r="BO164" s="77"/>
      <c r="BP164" s="77"/>
    </row>
    <row r="165" spans="1:68" ht="15" customHeight="1" x14ac:dyDescent="0.25">
      <c r="A165" s="1">
        <f t="shared" si="11"/>
        <v>72</v>
      </c>
      <c r="B165" s="1" t="str">
        <f t="shared" si="8"/>
        <v xml:space="preserve">Florida </v>
      </c>
      <c r="C165" s="1">
        <f t="shared" si="9"/>
        <v>0</v>
      </c>
      <c r="D165" s="2" t="str">
        <f t="shared" si="10"/>
        <v>2024-11</v>
      </c>
      <c r="E165" s="3" t="s">
        <v>209</v>
      </c>
      <c r="F165" s="4" t="s">
        <v>74</v>
      </c>
      <c r="G165" s="39">
        <v>45615</v>
      </c>
      <c r="H165" s="40">
        <v>-156</v>
      </c>
      <c r="I165" s="40">
        <v>129</v>
      </c>
      <c r="J165" s="7">
        <v>-122</v>
      </c>
      <c r="K165" s="8">
        <v>6.0041210832867238E-2</v>
      </c>
      <c r="L165" s="9">
        <v>3.2995620367611722E-2</v>
      </c>
      <c r="M165" s="10">
        <v>-139.54687499999994</v>
      </c>
      <c r="N165" s="11">
        <v>1.819672131147541</v>
      </c>
      <c r="O165" s="12">
        <v>3819.9942997238791</v>
      </c>
      <c r="P165" s="32" t="s">
        <v>143</v>
      </c>
      <c r="Q165" s="81" t="s">
        <v>76</v>
      </c>
      <c r="R165" s="82"/>
      <c r="S165" s="80"/>
      <c r="T165" s="32">
        <v>1825</v>
      </c>
      <c r="U165" s="32">
        <v>3175</v>
      </c>
      <c r="V165" s="74" t="s">
        <v>77</v>
      </c>
      <c r="W165" s="15"/>
      <c r="X165" s="15"/>
      <c r="Y165" s="16"/>
      <c r="Z165" s="17"/>
      <c r="AA165" s="18"/>
      <c r="AB165" s="75">
        <v>1495.9</v>
      </c>
      <c r="AC165" s="20">
        <v>109.57520976998271</v>
      </c>
      <c r="AD165" s="21">
        <v>45615</v>
      </c>
      <c r="AE165" s="22">
        <v>91702.775928252217</v>
      </c>
      <c r="AF165" s="23">
        <v>5795.6909333333479</v>
      </c>
      <c r="AG165" s="24">
        <v>104299.79093333366</v>
      </c>
      <c r="AH165" s="15">
        <v>0.5</v>
      </c>
      <c r="AI165" s="76"/>
      <c r="AJ165" s="76"/>
      <c r="AK165" s="76"/>
      <c r="AL165" s="76"/>
      <c r="AM165" s="76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6"/>
    </row>
    <row r="166" spans="1:68" ht="15" customHeight="1" x14ac:dyDescent="0.25">
      <c r="A166" s="1">
        <f t="shared" si="11"/>
        <v>72</v>
      </c>
      <c r="B166" s="1" t="str">
        <f t="shared" si="8"/>
        <v xml:space="preserve">Florida </v>
      </c>
      <c r="C166" s="1">
        <f t="shared" si="9"/>
        <v>0</v>
      </c>
      <c r="D166" s="2" t="str">
        <f t="shared" si="10"/>
        <v>2024-11</v>
      </c>
      <c r="E166" s="3" t="s">
        <v>210</v>
      </c>
      <c r="F166" s="4" t="s">
        <v>74</v>
      </c>
      <c r="G166" s="39">
        <v>45615</v>
      </c>
      <c r="H166" s="40">
        <v>-135</v>
      </c>
      <c r="I166" s="40">
        <v>112</v>
      </c>
      <c r="J166" s="7">
        <v>-107</v>
      </c>
      <c r="K166" s="8">
        <v>6.231127305068826E-2</v>
      </c>
      <c r="L166" s="9">
        <v>3.2209208774993447E-2</v>
      </c>
      <c r="M166" s="10">
        <v>-121.78723404255324</v>
      </c>
      <c r="N166" s="11">
        <v>1.9345794392523366</v>
      </c>
      <c r="O166" s="12">
        <v>3526.8613391532499</v>
      </c>
      <c r="P166" s="32" t="s">
        <v>143</v>
      </c>
      <c r="Q166" s="81" t="s">
        <v>76</v>
      </c>
      <c r="R166" s="82"/>
      <c r="S166" s="80"/>
      <c r="T166" s="32">
        <v>1600</v>
      </c>
      <c r="U166" s="32">
        <v>2878.7700000000004</v>
      </c>
      <c r="V166" s="74" t="s">
        <v>77</v>
      </c>
      <c r="W166" s="15"/>
      <c r="X166" s="15"/>
      <c r="Y166" s="16"/>
      <c r="Z166" s="17"/>
      <c r="AA166" s="18"/>
      <c r="AB166" s="75">
        <v>1495.33</v>
      </c>
      <c r="AC166" s="20">
        <v>99.698036881101217</v>
      </c>
      <c r="AD166" s="21">
        <v>45615</v>
      </c>
      <c r="AE166" s="22">
        <v>91802.473965133322</v>
      </c>
      <c r="AF166" s="23">
        <v>7291.0209333333478</v>
      </c>
      <c r="AG166" s="24">
        <v>105795.69093333365</v>
      </c>
      <c r="AH166" s="15">
        <v>0.5</v>
      </c>
      <c r="AI166" s="76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7"/>
      <c r="BN166" s="77"/>
      <c r="BO166" s="77"/>
      <c r="BP166" s="77"/>
    </row>
    <row r="167" spans="1:68" ht="15.75" customHeight="1" x14ac:dyDescent="0.25">
      <c r="A167" s="1">
        <f t="shared" si="11"/>
        <v>73</v>
      </c>
      <c r="B167" s="1" t="str">
        <f t="shared" si="8"/>
        <v xml:space="preserve">Mavericks </v>
      </c>
      <c r="C167" s="1">
        <f t="shared" si="9"/>
        <v>0</v>
      </c>
      <c r="D167" s="2" t="str">
        <f t="shared" si="10"/>
        <v>2024-11</v>
      </c>
      <c r="E167" s="3" t="s">
        <v>211</v>
      </c>
      <c r="F167" s="4" t="s">
        <v>74</v>
      </c>
      <c r="G167" s="39">
        <v>45615</v>
      </c>
      <c r="H167" s="40">
        <v>-147</v>
      </c>
      <c r="I167" s="40">
        <v>129</v>
      </c>
      <c r="J167" s="7">
        <v>-115</v>
      </c>
      <c r="K167" s="8">
        <v>7.8340282594168795E-2</v>
      </c>
      <c r="L167" s="9">
        <v>4.1902941852694942E-2</v>
      </c>
      <c r="M167" s="10">
        <v>-136.28744939271257</v>
      </c>
      <c r="N167" s="11">
        <v>1.8695652173913042</v>
      </c>
      <c r="O167" s="12">
        <v>4832.9951173471873</v>
      </c>
      <c r="P167" s="32" t="s">
        <v>75</v>
      </c>
      <c r="Q167" s="81" t="s">
        <v>76</v>
      </c>
      <c r="R167" s="82"/>
      <c r="S167" s="80"/>
      <c r="T167" s="32">
        <v>1725</v>
      </c>
      <c r="U167" s="32">
        <v>4323.91</v>
      </c>
      <c r="V167" s="74" t="s">
        <v>77</v>
      </c>
      <c r="W167" s="15"/>
      <c r="X167" s="15"/>
      <c r="Y167" s="16"/>
      <c r="Z167" s="17"/>
      <c r="AA167" s="18"/>
      <c r="AB167" s="75">
        <v>1500</v>
      </c>
      <c r="AC167" s="20">
        <v>135.13698747494118</v>
      </c>
      <c r="AD167" s="21">
        <v>45615</v>
      </c>
      <c r="AE167" s="22">
        <v>91937.610952608258</v>
      </c>
      <c r="AF167" s="23">
        <v>8791.0209333333478</v>
      </c>
      <c r="AG167" s="24">
        <v>107291.02093333365</v>
      </c>
      <c r="AH167" s="15">
        <v>0.5</v>
      </c>
      <c r="AI167" s="76"/>
      <c r="AJ167" s="77"/>
      <c r="AK167" s="77"/>
      <c r="AL167" s="77"/>
      <c r="AM167" s="77"/>
      <c r="AN167" s="76"/>
      <c r="AO167" s="76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6"/>
      <c r="BC167" s="76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76"/>
    </row>
    <row r="168" spans="1:68" ht="15" customHeight="1" x14ac:dyDescent="0.25">
      <c r="A168" s="1">
        <f t="shared" si="11"/>
        <v>73</v>
      </c>
      <c r="B168" s="1" t="str">
        <f t="shared" si="8"/>
        <v xml:space="preserve">Mavericks </v>
      </c>
      <c r="C168" s="1">
        <f t="shared" si="9"/>
        <v>0</v>
      </c>
      <c r="D168" s="2" t="str">
        <f t="shared" si="10"/>
        <v>2024-11</v>
      </c>
      <c r="E168" s="3" t="s">
        <v>212</v>
      </c>
      <c r="F168" s="4" t="s">
        <v>83</v>
      </c>
      <c r="G168" s="39">
        <v>45615</v>
      </c>
      <c r="H168" s="40">
        <v>-172</v>
      </c>
      <c r="I168" s="40">
        <v>150</v>
      </c>
      <c r="J168" s="7">
        <v>-134</v>
      </c>
      <c r="K168" s="8">
        <v>6.965174129353234E-2</v>
      </c>
      <c r="L168" s="9">
        <v>3.9886039886039892E-2</v>
      </c>
      <c r="M168" s="10">
        <v>-158.08823529411768</v>
      </c>
      <c r="N168" s="11">
        <v>1.7462686567164178</v>
      </c>
      <c r="O168" s="12">
        <v>5076.914310222237</v>
      </c>
      <c r="P168" s="32" t="s">
        <v>75</v>
      </c>
      <c r="Q168" s="81" t="s">
        <v>76</v>
      </c>
      <c r="R168" s="82"/>
      <c r="S168" s="80"/>
      <c r="T168" s="32">
        <v>1762.9949999999999</v>
      </c>
      <c r="U168" s="32">
        <v>1762.9949999999999</v>
      </c>
      <c r="V168" s="74" t="s">
        <v>77</v>
      </c>
      <c r="W168" s="15"/>
      <c r="X168" s="15"/>
      <c r="Y168" s="16"/>
      <c r="Z168" s="17"/>
      <c r="AA168" s="18"/>
      <c r="AB168" s="75">
        <v>1315.67</v>
      </c>
      <c r="AC168" s="20">
        <v>122.79567164179105</v>
      </c>
      <c r="AD168" s="21">
        <v>45615</v>
      </c>
      <c r="AE168" s="22">
        <v>92060.406624250056</v>
      </c>
      <c r="AF168" s="23">
        <v>10106.690933333348</v>
      </c>
      <c r="AG168" s="24">
        <v>108791.02093333365</v>
      </c>
      <c r="AH168" s="15">
        <v>0.5</v>
      </c>
      <c r="AI168" s="76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  <c r="BM168" s="77"/>
      <c r="BN168" s="77"/>
      <c r="BO168" s="77"/>
      <c r="BP168" s="77"/>
    </row>
    <row r="169" spans="1:68" ht="15" customHeight="1" x14ac:dyDescent="0.25">
      <c r="A169" s="1">
        <f t="shared" si="11"/>
        <v>73</v>
      </c>
      <c r="B169" s="1" t="str">
        <f t="shared" si="8"/>
        <v xml:space="preserve">Mavericks </v>
      </c>
      <c r="C169" s="1">
        <f t="shared" si="9"/>
        <v>0</v>
      </c>
      <c r="D169" s="2" t="str">
        <f t="shared" si="10"/>
        <v>2024-11</v>
      </c>
      <c r="E169" s="3" t="s">
        <v>213</v>
      </c>
      <c r="F169" s="4" t="s">
        <v>83</v>
      </c>
      <c r="G169" s="39">
        <v>45615</v>
      </c>
      <c r="H169" s="40">
        <v>-135</v>
      </c>
      <c r="I169" s="40">
        <v>118</v>
      </c>
      <c r="J169" s="7">
        <v>-115</v>
      </c>
      <c r="K169" s="8">
        <v>3.9510756618667611E-2</v>
      </c>
      <c r="L169" s="9">
        <v>2.113366051696175E-2</v>
      </c>
      <c r="M169" s="10">
        <v>-125.23404255319146</v>
      </c>
      <c r="N169" s="11">
        <v>1.8695652173913042</v>
      </c>
      <c r="O169" s="12">
        <v>2501.4792338434363</v>
      </c>
      <c r="P169" s="32" t="s">
        <v>75</v>
      </c>
      <c r="Q169" s="81" t="s">
        <v>76</v>
      </c>
      <c r="R169" s="82"/>
      <c r="S169" s="80"/>
      <c r="T169" s="32">
        <v>607.92999999999995</v>
      </c>
      <c r="U169" s="32">
        <v>607.92999999999995</v>
      </c>
      <c r="V169" s="74" t="s">
        <v>77</v>
      </c>
      <c r="W169" s="15"/>
      <c r="X169" s="15"/>
      <c r="Y169" s="16"/>
      <c r="Z169" s="17"/>
      <c r="AA169" s="18"/>
      <c r="AB169" s="75">
        <v>528.63</v>
      </c>
      <c r="AC169" s="20">
        <v>24.019774271186598</v>
      </c>
      <c r="AD169" s="21">
        <v>45615</v>
      </c>
      <c r="AE169" s="22">
        <v>92084.426398521246</v>
      </c>
      <c r="AF169" s="23">
        <v>10635.320933333347</v>
      </c>
      <c r="AG169" s="24">
        <v>110106.69093333365</v>
      </c>
      <c r="AH169" s="15">
        <v>0.5</v>
      </c>
      <c r="AI169" s="76"/>
      <c r="AJ169" s="77"/>
      <c r="AK169" s="77"/>
      <c r="AL169" s="77"/>
      <c r="AM169" s="77"/>
      <c r="AN169" s="76"/>
      <c r="AO169" s="76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6"/>
      <c r="BC169" s="76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6"/>
    </row>
    <row r="170" spans="1:68" ht="15" customHeight="1" x14ac:dyDescent="0.25">
      <c r="A170" s="1">
        <f t="shared" si="11"/>
        <v>74</v>
      </c>
      <c r="B170" s="1" t="str">
        <f t="shared" si="8"/>
        <v xml:space="preserve">Nuggets </v>
      </c>
      <c r="C170" s="1">
        <f t="shared" si="9"/>
        <v>1</v>
      </c>
      <c r="D170" s="2" t="str">
        <f t="shared" si="10"/>
        <v>2024-11</v>
      </c>
      <c r="E170" s="3" t="s">
        <v>214</v>
      </c>
      <c r="F170" s="4" t="s">
        <v>74</v>
      </c>
      <c r="G170" s="39">
        <v>45615</v>
      </c>
      <c r="H170" s="40">
        <v>-154</v>
      </c>
      <c r="I170" s="40">
        <v>133</v>
      </c>
      <c r="J170" s="7">
        <v>-125</v>
      </c>
      <c r="K170" s="8">
        <v>5.3940798276818698E-2</v>
      </c>
      <c r="L170" s="9">
        <v>2.9967110153788168E-2</v>
      </c>
      <c r="M170" s="10">
        <v>-141.26771653543312</v>
      </c>
      <c r="N170" s="11">
        <v>1.8</v>
      </c>
      <c r="O170" s="12">
        <v>3507.6268631615735</v>
      </c>
      <c r="P170" s="32" t="s">
        <v>75</v>
      </c>
      <c r="Q170" s="81" t="s">
        <v>92</v>
      </c>
      <c r="R170" s="82"/>
      <c r="S170" s="80"/>
      <c r="T170" s="32">
        <v>789.38</v>
      </c>
      <c r="U170" s="32">
        <v>789.38</v>
      </c>
      <c r="V170" s="74" t="s">
        <v>82</v>
      </c>
      <c r="W170" s="15"/>
      <c r="X170" s="15"/>
      <c r="Y170" s="16"/>
      <c r="Z170" s="17"/>
      <c r="AA170" s="18"/>
      <c r="AB170" s="75">
        <v>-789.38</v>
      </c>
      <c r="AC170" s="20">
        <v>42.579787343755143</v>
      </c>
      <c r="AD170" s="21">
        <v>45615</v>
      </c>
      <c r="AE170" s="22">
        <v>91448.783833943162</v>
      </c>
      <c r="AF170" s="23">
        <v>3254.3709333333472</v>
      </c>
      <c r="AG170" s="24">
        <v>104043.75093333366</v>
      </c>
      <c r="AH170" s="15">
        <v>0.5</v>
      </c>
      <c r="AI170" s="76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</row>
    <row r="171" spans="1:68" ht="15" customHeight="1" x14ac:dyDescent="0.25">
      <c r="A171" s="1">
        <f t="shared" si="11"/>
        <v>74</v>
      </c>
      <c r="B171" s="1" t="str">
        <f t="shared" si="8"/>
        <v xml:space="preserve">Nuggets </v>
      </c>
      <c r="C171" s="1">
        <f t="shared" si="9"/>
        <v>1</v>
      </c>
      <c r="D171" s="2" t="str">
        <f t="shared" si="10"/>
        <v>2024-11</v>
      </c>
      <c r="E171" s="3" t="s">
        <v>214</v>
      </c>
      <c r="F171" s="4" t="s">
        <v>83</v>
      </c>
      <c r="G171" s="39">
        <v>45615</v>
      </c>
      <c r="H171" s="40">
        <v>-154</v>
      </c>
      <c r="I171" s="40">
        <v>133</v>
      </c>
      <c r="J171" s="7">
        <v>-125</v>
      </c>
      <c r="K171" s="8">
        <v>5.3940798276818698E-2</v>
      </c>
      <c r="L171" s="9">
        <v>2.9967110153788168E-2</v>
      </c>
      <c r="M171" s="10">
        <v>-141.26771653543312</v>
      </c>
      <c r="N171" s="11">
        <v>1.8</v>
      </c>
      <c r="O171" s="12">
        <v>3481.0144960717262</v>
      </c>
      <c r="P171" s="32" t="s">
        <v>75</v>
      </c>
      <c r="Q171" s="81" t="s">
        <v>92</v>
      </c>
      <c r="R171" s="82"/>
      <c r="S171" s="80"/>
      <c r="T171" s="32">
        <v>396.625</v>
      </c>
      <c r="U171" s="32">
        <v>396.625</v>
      </c>
      <c r="V171" s="74" t="s">
        <v>82</v>
      </c>
      <c r="W171" s="15"/>
      <c r="X171" s="15"/>
      <c r="Y171" s="16"/>
      <c r="Z171" s="17"/>
      <c r="AA171" s="18"/>
      <c r="AB171" s="75">
        <v>-396.625</v>
      </c>
      <c r="AC171" s="20">
        <v>21.394269116543217</v>
      </c>
      <c r="AD171" s="21">
        <v>45615</v>
      </c>
      <c r="AE171" s="22">
        <v>91470.178103059705</v>
      </c>
      <c r="AF171" s="23">
        <v>2857.7459333333472</v>
      </c>
      <c r="AG171" s="24">
        <v>103254.37093333366</v>
      </c>
      <c r="AH171" s="15">
        <v>0.5</v>
      </c>
      <c r="AI171" s="76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</row>
    <row r="172" spans="1:68" ht="15" customHeight="1" x14ac:dyDescent="0.25">
      <c r="A172" s="1">
        <f t="shared" si="11"/>
        <v>75</v>
      </c>
      <c r="B172" s="1" t="str">
        <f t="shared" si="8"/>
        <v xml:space="preserve">Spurs </v>
      </c>
      <c r="C172" s="1">
        <f t="shared" si="9"/>
        <v>0</v>
      </c>
      <c r="D172" s="2" t="str">
        <f t="shared" si="10"/>
        <v>2024-11</v>
      </c>
      <c r="E172" s="3" t="s">
        <v>215</v>
      </c>
      <c r="F172" s="4" t="s">
        <v>74</v>
      </c>
      <c r="G172" s="39">
        <v>45615</v>
      </c>
      <c r="H172" s="40">
        <v>220</v>
      </c>
      <c r="I172" s="40">
        <v>-256</v>
      </c>
      <c r="J172" s="7">
        <v>265</v>
      </c>
      <c r="K172" s="8">
        <v>0.1056841388699796</v>
      </c>
      <c r="L172" s="9">
        <v>2.8954558594514956E-2</v>
      </c>
      <c r="M172" s="10">
        <v>230.11235955056182</v>
      </c>
      <c r="N172" s="11">
        <v>3.65</v>
      </c>
      <c r="O172" s="12">
        <v>2037.9194320870383</v>
      </c>
      <c r="P172" s="32" t="s">
        <v>75</v>
      </c>
      <c r="Q172" s="81" t="s">
        <v>81</v>
      </c>
      <c r="R172" s="82"/>
      <c r="S172" s="80"/>
      <c r="T172" s="32">
        <v>397.17500000000001</v>
      </c>
      <c r="U172" s="32">
        <v>397.17500000000001</v>
      </c>
      <c r="V172" s="74" t="s">
        <v>77</v>
      </c>
      <c r="W172" s="15"/>
      <c r="X172" s="15"/>
      <c r="Y172" s="16"/>
      <c r="Z172" s="17"/>
      <c r="AA172" s="18"/>
      <c r="AB172" s="75">
        <v>1052.51</v>
      </c>
      <c r="AC172" s="20">
        <v>41.975097855684147</v>
      </c>
      <c r="AD172" s="21">
        <v>45615</v>
      </c>
      <c r="AE172" s="22">
        <v>91123.786818546097</v>
      </c>
      <c r="AF172" s="23">
        <v>3253.0209333333469</v>
      </c>
      <c r="AG172" s="24">
        <v>102200.51093333366</v>
      </c>
      <c r="AH172" s="15">
        <v>0.5</v>
      </c>
      <c r="AI172" s="76"/>
      <c r="AJ172" s="77"/>
      <c r="AK172" s="77"/>
      <c r="AL172" s="77"/>
      <c r="AM172" s="77"/>
      <c r="AN172" s="76"/>
      <c r="AO172" s="76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7"/>
      <c r="BL172" s="77"/>
      <c r="BM172" s="77"/>
      <c r="BN172" s="77"/>
      <c r="BO172" s="77"/>
      <c r="BP172" s="76"/>
    </row>
    <row r="173" spans="1:68" ht="15" customHeight="1" x14ac:dyDescent="0.25">
      <c r="A173" s="1">
        <f t="shared" si="11"/>
        <v>75</v>
      </c>
      <c r="B173" s="1" t="str">
        <f t="shared" si="8"/>
        <v xml:space="preserve">Spurs </v>
      </c>
      <c r="C173" s="1">
        <f t="shared" si="9"/>
        <v>0</v>
      </c>
      <c r="D173" s="2" t="str">
        <f t="shared" si="10"/>
        <v>2024-11</v>
      </c>
      <c r="E173" s="3" t="s">
        <v>216</v>
      </c>
      <c r="F173" s="4" t="s">
        <v>74</v>
      </c>
      <c r="G173" s="39">
        <v>45615</v>
      </c>
      <c r="H173" s="40">
        <v>156</v>
      </c>
      <c r="I173" s="40">
        <v>-179</v>
      </c>
      <c r="J173" s="7">
        <v>180</v>
      </c>
      <c r="K173" s="8">
        <v>5.9627800987466846E-2</v>
      </c>
      <c r="L173" s="9">
        <v>2.1295643209809589E-2</v>
      </c>
      <c r="M173" s="10">
        <v>164.24372759856627</v>
      </c>
      <c r="N173" s="11">
        <v>2.8</v>
      </c>
      <c r="O173" s="12">
        <v>1710.2084954354357</v>
      </c>
      <c r="P173" s="32" t="s">
        <v>75</v>
      </c>
      <c r="Q173" s="81" t="s">
        <v>81</v>
      </c>
      <c r="R173" s="82"/>
      <c r="S173" s="80"/>
      <c r="T173" s="32">
        <v>438.54500000000002</v>
      </c>
      <c r="U173" s="32">
        <v>438.54500000000002</v>
      </c>
      <c r="V173" s="74" t="s">
        <v>77</v>
      </c>
      <c r="W173" s="15"/>
      <c r="X173" s="15"/>
      <c r="Y173" s="16"/>
      <c r="Z173" s="17"/>
      <c r="AA173" s="18"/>
      <c r="AB173" s="75">
        <v>789.38</v>
      </c>
      <c r="AC173" s="20">
        <v>26.149473984048647</v>
      </c>
      <c r="AD173" s="21">
        <v>45615</v>
      </c>
      <c r="AE173" s="22">
        <v>91149.936292530139</v>
      </c>
      <c r="AF173" s="23">
        <v>4042.400933333347</v>
      </c>
      <c r="AG173" s="24">
        <v>103253.02093333365</v>
      </c>
      <c r="AH173" s="15">
        <v>0.5</v>
      </c>
      <c r="AI173" s="76"/>
      <c r="AJ173" s="77"/>
      <c r="AK173" s="77"/>
      <c r="AL173" s="77"/>
      <c r="AM173" s="77"/>
      <c r="AN173" s="76"/>
      <c r="AO173" s="76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6"/>
      <c r="BC173" s="76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/>
      <c r="BN173" s="77"/>
      <c r="BO173" s="77"/>
      <c r="BP173" s="77"/>
    </row>
    <row r="174" spans="1:68" ht="15" customHeight="1" x14ac:dyDescent="0.25">
      <c r="A174" s="1">
        <f t="shared" si="11"/>
        <v>76</v>
      </c>
      <c r="B174" s="1" t="str">
        <f t="shared" si="8"/>
        <v xml:space="preserve">Uconn </v>
      </c>
      <c r="C174" s="1">
        <f t="shared" si="9"/>
        <v>0</v>
      </c>
      <c r="D174" s="2" t="str">
        <f t="shared" si="10"/>
        <v>2024-11</v>
      </c>
      <c r="E174" s="3" t="s">
        <v>217</v>
      </c>
      <c r="F174" s="4" t="s">
        <v>74</v>
      </c>
      <c r="G174" s="39">
        <v>45615</v>
      </c>
      <c r="H174" s="40">
        <v>-145</v>
      </c>
      <c r="I174" s="40">
        <v>114</v>
      </c>
      <c r="J174" s="7">
        <v>-106</v>
      </c>
      <c r="K174" s="8">
        <v>8.5964071774903159E-2</v>
      </c>
      <c r="L174" s="9">
        <v>4.4233939845338521E-2</v>
      </c>
      <c r="M174" s="10">
        <v>-126.65306122448976</v>
      </c>
      <c r="N174" s="11">
        <v>1.9433962264150944</v>
      </c>
      <c r="O174" s="12">
        <v>4747.9598750465311</v>
      </c>
      <c r="P174" s="32" t="s">
        <v>143</v>
      </c>
      <c r="Q174" s="81" t="s">
        <v>76</v>
      </c>
      <c r="R174" s="82"/>
      <c r="S174" s="80"/>
      <c r="T174" s="32">
        <v>1107.905</v>
      </c>
      <c r="U174" s="32">
        <v>1107.905</v>
      </c>
      <c r="V174" s="74" t="s">
        <v>77</v>
      </c>
      <c r="W174" s="15"/>
      <c r="X174" s="15"/>
      <c r="Y174" s="16"/>
      <c r="Z174" s="17"/>
      <c r="AA174" s="18"/>
      <c r="AB174" s="75">
        <v>1045.19</v>
      </c>
      <c r="AC174" s="20">
        <v>95.240024939774088</v>
      </c>
      <c r="AD174" s="21">
        <v>45615</v>
      </c>
      <c r="AE174" s="22">
        <v>91255.52896926408</v>
      </c>
      <c r="AF174" s="23">
        <v>5256.3409333333475</v>
      </c>
      <c r="AG174" s="24">
        <v>104211.15093333366</v>
      </c>
      <c r="AH174" s="15">
        <v>0.5</v>
      </c>
      <c r="AI174" s="76"/>
      <c r="AJ174" s="77"/>
      <c r="AK174" s="77"/>
      <c r="AL174" s="77"/>
      <c r="AM174" s="77"/>
      <c r="AN174" s="76"/>
      <c r="AO174" s="76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6"/>
      <c r="BC174" s="76"/>
      <c r="BD174" s="77"/>
      <c r="BE174" s="77"/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76"/>
    </row>
    <row r="175" spans="1:68" ht="15" customHeight="1" x14ac:dyDescent="0.25">
      <c r="A175" s="1">
        <f t="shared" si="11"/>
        <v>76</v>
      </c>
      <c r="B175" s="1" t="str">
        <f t="shared" si="8"/>
        <v xml:space="preserve">Uconn </v>
      </c>
      <c r="C175" s="1">
        <f t="shared" si="9"/>
        <v>0</v>
      </c>
      <c r="D175" s="2" t="str">
        <f t="shared" si="10"/>
        <v>2024-11</v>
      </c>
      <c r="E175" s="3" t="s">
        <v>217</v>
      </c>
      <c r="F175" s="4" t="s">
        <v>83</v>
      </c>
      <c r="G175" s="39">
        <v>45615</v>
      </c>
      <c r="H175" s="40">
        <v>-145</v>
      </c>
      <c r="I175" s="40">
        <v>114</v>
      </c>
      <c r="J175" s="7">
        <v>-106</v>
      </c>
      <c r="K175" s="8">
        <v>8.5964071774903159E-2</v>
      </c>
      <c r="L175" s="9">
        <v>4.4233939845338521E-2</v>
      </c>
      <c r="M175" s="10">
        <v>-126.65306122448976</v>
      </c>
      <c r="N175" s="11">
        <v>1.9433962264150944</v>
      </c>
      <c r="O175" s="12">
        <v>4795.5797327810888</v>
      </c>
      <c r="P175" s="32" t="s">
        <v>143</v>
      </c>
      <c r="Q175" s="81" t="s">
        <v>76</v>
      </c>
      <c r="R175" s="82"/>
      <c r="S175" s="80"/>
      <c r="T175" s="32">
        <v>556.73500000000001</v>
      </c>
      <c r="U175" s="32">
        <v>556.73500000000001</v>
      </c>
      <c r="V175" s="74" t="s">
        <v>77</v>
      </c>
      <c r="W175" s="15"/>
      <c r="X175" s="15"/>
      <c r="Y175" s="16"/>
      <c r="Z175" s="17"/>
      <c r="AA175" s="18"/>
      <c r="AB175" s="75">
        <v>525.22</v>
      </c>
      <c r="AC175" s="20">
        <v>47.859207499600714</v>
      </c>
      <c r="AD175" s="21">
        <v>45615</v>
      </c>
      <c r="AE175" s="22">
        <v>91303.388176763678</v>
      </c>
      <c r="AF175" s="23">
        <v>5781.5609333333477</v>
      </c>
      <c r="AG175" s="24">
        <v>105256.34093333366</v>
      </c>
      <c r="AH175" s="15">
        <v>0.5</v>
      </c>
      <c r="AI175" s="76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  <c r="BM175" s="77"/>
      <c r="BN175" s="77"/>
      <c r="BO175" s="77"/>
      <c r="BP175" s="77"/>
    </row>
    <row r="176" spans="1:68" ht="15" customHeight="1" x14ac:dyDescent="0.25">
      <c r="A176" s="1">
        <f t="shared" si="11"/>
        <v>77</v>
      </c>
      <c r="B176" s="1" t="str">
        <f t="shared" si="8"/>
        <v xml:space="preserve">Wagner </v>
      </c>
      <c r="C176" s="1">
        <f t="shared" si="9"/>
        <v>1</v>
      </c>
      <c r="D176" s="2" t="str">
        <f t="shared" si="10"/>
        <v>2024-11</v>
      </c>
      <c r="E176" s="3" t="s">
        <v>218</v>
      </c>
      <c r="F176" s="4" t="s">
        <v>97</v>
      </c>
      <c r="G176" s="39">
        <v>45615</v>
      </c>
      <c r="H176" s="40">
        <v>-109</v>
      </c>
      <c r="I176" s="40">
        <v>-122</v>
      </c>
      <c r="J176" s="7">
        <v>112</v>
      </c>
      <c r="K176" s="8">
        <v>3.2271410173857207E-2</v>
      </c>
      <c r="L176" s="9">
        <v>1.5222363289555285E-2</v>
      </c>
      <c r="M176" s="10">
        <v>105.3723448218861</v>
      </c>
      <c r="N176" s="11">
        <v>2.12</v>
      </c>
      <c r="O176" s="12">
        <v>1444.6646985964301</v>
      </c>
      <c r="P176" s="32" t="s">
        <v>143</v>
      </c>
      <c r="Q176" s="82" t="s">
        <v>92</v>
      </c>
      <c r="R176" s="82"/>
      <c r="S176" s="80"/>
      <c r="T176" s="32">
        <v>94.444999999999993</v>
      </c>
      <c r="U176" s="32">
        <v>94.444999999999993</v>
      </c>
      <c r="V176" s="74" t="s">
        <v>77</v>
      </c>
      <c r="W176" s="15"/>
      <c r="X176" s="15"/>
      <c r="Y176" s="16"/>
      <c r="Z176" s="17"/>
      <c r="AA176" s="18"/>
      <c r="AB176" s="75">
        <v>105.78</v>
      </c>
      <c r="AC176" s="20">
        <v>3.0478733338699437</v>
      </c>
      <c r="AD176" s="21">
        <v>45615</v>
      </c>
      <c r="AE176" s="22">
        <v>90943.41579966362</v>
      </c>
      <c r="AF176" s="23">
        <v>381.81093333334707</v>
      </c>
      <c r="AG176" s="24">
        <v>100276.03093333365</v>
      </c>
      <c r="AH176" s="15">
        <v>0.5</v>
      </c>
      <c r="AI176" s="76"/>
      <c r="AJ176" s="77"/>
      <c r="AK176" s="77"/>
      <c r="AL176" s="77"/>
      <c r="AM176" s="77"/>
      <c r="AN176" s="76"/>
      <c r="AO176" s="76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6"/>
      <c r="BC176" s="76"/>
      <c r="BD176" s="77"/>
      <c r="BE176" s="77"/>
      <c r="BF176" s="77"/>
      <c r="BG176" s="77"/>
      <c r="BH176" s="77"/>
      <c r="BI176" s="77"/>
      <c r="BJ176" s="77"/>
      <c r="BK176" s="77"/>
      <c r="BL176" s="77"/>
      <c r="BM176" s="77"/>
      <c r="BN176" s="77"/>
      <c r="BO176" s="77"/>
      <c r="BP176" s="76"/>
    </row>
    <row r="177" spans="1:68" ht="15" customHeight="1" x14ac:dyDescent="0.25">
      <c r="A177" s="1">
        <f t="shared" si="11"/>
        <v>77</v>
      </c>
      <c r="B177" s="1" t="str">
        <f t="shared" si="8"/>
        <v xml:space="preserve">Wagner </v>
      </c>
      <c r="C177" s="1">
        <f t="shared" si="9"/>
        <v>1</v>
      </c>
      <c r="D177" s="2" t="str">
        <f t="shared" si="10"/>
        <v>2024-11</v>
      </c>
      <c r="E177" s="3" t="s">
        <v>219</v>
      </c>
      <c r="F177" s="4" t="s">
        <v>97</v>
      </c>
      <c r="G177" s="39">
        <v>45615</v>
      </c>
      <c r="H177" s="40">
        <v>-104</v>
      </c>
      <c r="I177" s="40">
        <v>-130</v>
      </c>
      <c r="J177" s="7">
        <v>105</v>
      </c>
      <c r="K177" s="8">
        <v>-2.7835051546391883E-2</v>
      </c>
      <c r="L177" s="9">
        <v>-1.3578073925069212E-2</v>
      </c>
      <c r="M177" s="10">
        <v>110.86956521739133</v>
      </c>
      <c r="N177" s="11">
        <v>2.0499999999999998</v>
      </c>
      <c r="O177" s="12">
        <v>-1330.539467452146</v>
      </c>
      <c r="P177" s="32" t="s">
        <v>143</v>
      </c>
      <c r="Q177" s="80" t="s">
        <v>92</v>
      </c>
      <c r="R177" s="82"/>
      <c r="S177" s="80"/>
      <c r="T177" s="32">
        <v>102.24</v>
      </c>
      <c r="U177" s="32">
        <v>102.24</v>
      </c>
      <c r="V177" s="74" t="s">
        <v>77</v>
      </c>
      <c r="W177" s="15"/>
      <c r="X177" s="15"/>
      <c r="Y177" s="16"/>
      <c r="Z177" s="17"/>
      <c r="AA177" s="18"/>
      <c r="AB177" s="75">
        <v>107.35</v>
      </c>
      <c r="AC177" s="20">
        <v>-2.8458556701031061</v>
      </c>
      <c r="AD177" s="21">
        <v>45615</v>
      </c>
      <c r="AE177" s="22">
        <v>90940.569943993512</v>
      </c>
      <c r="AF177" s="23">
        <v>489.16093333334709</v>
      </c>
      <c r="AG177" s="24">
        <v>100381.81093333365</v>
      </c>
      <c r="AH177" s="15">
        <v>0.5</v>
      </c>
      <c r="AI177" s="76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  <c r="BM177" s="77"/>
      <c r="BN177" s="77"/>
      <c r="BO177" s="77"/>
      <c r="BP177" s="77"/>
    </row>
    <row r="178" spans="1:68" ht="15" customHeight="1" x14ac:dyDescent="0.25">
      <c r="A178" s="1">
        <f t="shared" si="11"/>
        <v>78</v>
      </c>
      <c r="B178" s="1" t="str">
        <f t="shared" si="8"/>
        <v xml:space="preserve">Western </v>
      </c>
      <c r="C178" s="1">
        <f t="shared" si="9"/>
        <v>1</v>
      </c>
      <c r="D178" s="2" t="str">
        <f t="shared" si="10"/>
        <v>2024-11</v>
      </c>
      <c r="E178" s="3" t="s">
        <v>220</v>
      </c>
      <c r="F178" s="4" t="s">
        <v>74</v>
      </c>
      <c r="G178" s="39">
        <v>45615</v>
      </c>
      <c r="H178" s="40">
        <v>-141</v>
      </c>
      <c r="I178" s="40">
        <v>113</v>
      </c>
      <c r="J178" s="7">
        <v>-110</v>
      </c>
      <c r="K178" s="8">
        <v>5.9164045457064579E-2</v>
      </c>
      <c r="L178" s="9">
        <v>3.0990690477510019E-2</v>
      </c>
      <c r="M178" s="10">
        <v>-124.61825726141083</v>
      </c>
      <c r="N178" s="11">
        <v>1.9090909090909092</v>
      </c>
      <c r="O178" s="12">
        <v>3442.1557937684493</v>
      </c>
      <c r="P178" s="32" t="s">
        <v>143</v>
      </c>
      <c r="Q178" s="81" t="s">
        <v>92</v>
      </c>
      <c r="R178" s="82"/>
      <c r="S178" s="80"/>
      <c r="T178" s="32">
        <v>1156.605</v>
      </c>
      <c r="U178" s="32">
        <v>1156.605</v>
      </c>
      <c r="V178" s="74" t="s">
        <v>82</v>
      </c>
      <c r="W178" s="15"/>
      <c r="X178" s="15"/>
      <c r="Y178" s="16"/>
      <c r="Z178" s="17"/>
      <c r="AA178" s="18"/>
      <c r="AB178" s="75">
        <v>-1156.605</v>
      </c>
      <c r="AC178" s="20">
        <v>68.429430795868186</v>
      </c>
      <c r="AD178" s="21">
        <v>45615</v>
      </c>
      <c r="AE178" s="22">
        <v>91371.81760755954</v>
      </c>
      <c r="AF178" s="23">
        <v>4624.9559333333473</v>
      </c>
      <c r="AG178" s="24">
        <v>105781.56093333366</v>
      </c>
      <c r="AH178" s="15">
        <v>0.5</v>
      </c>
      <c r="AI178" s="76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77"/>
    </row>
    <row r="179" spans="1:68" ht="15" customHeight="1" x14ac:dyDescent="0.25">
      <c r="A179" s="1">
        <f t="shared" si="11"/>
        <v>78</v>
      </c>
      <c r="B179" s="1" t="str">
        <f t="shared" si="8"/>
        <v xml:space="preserve">Western </v>
      </c>
      <c r="C179" s="1">
        <f t="shared" si="9"/>
        <v>1</v>
      </c>
      <c r="D179" s="2" t="str">
        <f t="shared" si="10"/>
        <v>2024-11</v>
      </c>
      <c r="E179" s="3" t="s">
        <v>220</v>
      </c>
      <c r="F179" s="4" t="s">
        <v>83</v>
      </c>
      <c r="G179" s="39">
        <v>45615</v>
      </c>
      <c r="H179" s="40">
        <v>-141</v>
      </c>
      <c r="I179" s="40">
        <v>113</v>
      </c>
      <c r="J179" s="7">
        <v>-110</v>
      </c>
      <c r="K179" s="8">
        <v>5.9164045457064579E-2</v>
      </c>
      <c r="L179" s="9">
        <v>3.0990690477510019E-2</v>
      </c>
      <c r="M179" s="10">
        <v>-124.61825726141083</v>
      </c>
      <c r="N179" s="11">
        <v>1.9090909090909092</v>
      </c>
      <c r="O179" s="12">
        <v>3404.5196068307218</v>
      </c>
      <c r="P179" s="32" t="s">
        <v>143</v>
      </c>
      <c r="Q179" s="81" t="s">
        <v>92</v>
      </c>
      <c r="R179" s="82"/>
      <c r="S179" s="80"/>
      <c r="T179" s="32">
        <v>581.20500000000004</v>
      </c>
      <c r="U179" s="32">
        <v>581.20500000000004</v>
      </c>
      <c r="V179" s="74" t="s">
        <v>82</v>
      </c>
      <c r="W179" s="15"/>
      <c r="X179" s="15"/>
      <c r="Y179" s="16"/>
      <c r="Z179" s="17"/>
      <c r="AA179" s="18"/>
      <c r="AB179" s="75">
        <v>-581.20500000000004</v>
      </c>
      <c r="AC179" s="20">
        <v>34.386439039873224</v>
      </c>
      <c r="AD179" s="21">
        <v>45615</v>
      </c>
      <c r="AE179" s="22">
        <v>91406.204046599407</v>
      </c>
      <c r="AF179" s="23">
        <v>4043.7509333333473</v>
      </c>
      <c r="AG179" s="24">
        <v>104624.95593333367</v>
      </c>
      <c r="AH179" s="15">
        <v>0.5</v>
      </c>
      <c r="AI179" s="76"/>
      <c r="AJ179" s="76"/>
      <c r="AK179" s="76"/>
      <c r="AL179" s="76"/>
      <c r="AM179" s="76"/>
      <c r="AN179" s="76"/>
      <c r="AO179" s="76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6"/>
      <c r="BC179" s="76"/>
      <c r="BD179" s="77"/>
      <c r="BE179" s="77"/>
      <c r="BF179" s="77"/>
      <c r="BG179" s="77"/>
      <c r="BH179" s="77"/>
      <c r="BI179" s="77"/>
      <c r="BJ179" s="77"/>
      <c r="BK179" s="77"/>
      <c r="BL179" s="77"/>
      <c r="BM179" s="77"/>
      <c r="BN179" s="77"/>
      <c r="BO179" s="77"/>
      <c r="BP179" s="76"/>
    </row>
    <row r="180" spans="1:68" ht="15" customHeight="1" x14ac:dyDescent="0.25">
      <c r="A180" s="1">
        <f t="shared" si="11"/>
        <v>79</v>
      </c>
      <c r="B180" s="1" t="str">
        <f t="shared" si="8"/>
        <v xml:space="preserve">Cavaliers </v>
      </c>
      <c r="C180" s="1">
        <f t="shared" si="9"/>
        <v>0</v>
      </c>
      <c r="D180" s="2" t="str">
        <f t="shared" si="10"/>
        <v>2024-11</v>
      </c>
      <c r="E180" s="3" t="s">
        <v>221</v>
      </c>
      <c r="F180" s="4" t="s">
        <v>74</v>
      </c>
      <c r="G180" s="39">
        <v>45616</v>
      </c>
      <c r="H180" s="40">
        <v>-139</v>
      </c>
      <c r="I180" s="40">
        <v>122</v>
      </c>
      <c r="J180" s="7">
        <v>-125</v>
      </c>
      <c r="K180" s="8">
        <v>1.4361371854340875E-2</v>
      </c>
      <c r="L180" s="9">
        <v>7.9785399190782647E-3</v>
      </c>
      <c r="M180" s="10">
        <v>-129.11297071129707</v>
      </c>
      <c r="N180" s="11">
        <v>1.8</v>
      </c>
      <c r="O180" s="12">
        <v>954.74445804692164</v>
      </c>
      <c r="P180" s="32" t="s">
        <v>75</v>
      </c>
      <c r="Q180" s="81" t="s">
        <v>76</v>
      </c>
      <c r="R180" s="82"/>
      <c r="S180" s="80"/>
      <c r="T180" s="32">
        <v>1875</v>
      </c>
      <c r="U180" s="32">
        <v>4693.24</v>
      </c>
      <c r="V180" s="74" t="s">
        <v>77</v>
      </c>
      <c r="W180" s="15"/>
      <c r="X180" s="15"/>
      <c r="Y180" s="16"/>
      <c r="Z180" s="17"/>
      <c r="AA180" s="18"/>
      <c r="AB180" s="75">
        <v>1500</v>
      </c>
      <c r="AC180" s="20">
        <v>26.92757222688914</v>
      </c>
      <c r="AD180" s="21">
        <v>45616</v>
      </c>
      <c r="AE180" s="22">
        <v>92754.035181596511</v>
      </c>
      <c r="AF180" s="23">
        <v>7868.0509333333484</v>
      </c>
      <c r="AG180" s="24">
        <v>106368.05093333367</v>
      </c>
      <c r="AH180" s="15">
        <v>0.5</v>
      </c>
      <c r="AI180" s="76"/>
      <c r="AJ180" s="76"/>
      <c r="AK180" s="77"/>
      <c r="AL180" s="76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7"/>
      <c r="BO180" s="77"/>
      <c r="BP180" s="76"/>
    </row>
    <row r="181" spans="1:68" ht="15" customHeight="1" x14ac:dyDescent="0.25">
      <c r="A181" s="1">
        <f t="shared" si="11"/>
        <v>80</v>
      </c>
      <c r="B181" s="1" t="str">
        <f t="shared" si="8"/>
        <v xml:space="preserve">Hawks </v>
      </c>
      <c r="C181" s="1">
        <f t="shared" si="9"/>
        <v>1</v>
      </c>
      <c r="D181" s="2" t="str">
        <f t="shared" si="10"/>
        <v>2024-11</v>
      </c>
      <c r="E181" s="3" t="s">
        <v>222</v>
      </c>
      <c r="F181" s="4" t="s">
        <v>74</v>
      </c>
      <c r="G181" s="39">
        <v>45616</v>
      </c>
      <c r="H181" s="40">
        <v>-123</v>
      </c>
      <c r="I181" s="40">
        <v>108</v>
      </c>
      <c r="J181" s="7">
        <v>100</v>
      </c>
      <c r="K181" s="8">
        <v>6.8582407484754748E-2</v>
      </c>
      <c r="L181" s="9">
        <v>3.4291203742377374E-2</v>
      </c>
      <c r="M181" s="10">
        <v>-114.72645739910313</v>
      </c>
      <c r="N181" s="11">
        <v>2</v>
      </c>
      <c r="O181" s="12">
        <v>3630.7569706485192</v>
      </c>
      <c r="P181" s="32" t="s">
        <v>75</v>
      </c>
      <c r="Q181" s="81" t="s">
        <v>92</v>
      </c>
      <c r="R181" s="82"/>
      <c r="S181" s="80"/>
      <c r="T181" s="32">
        <v>630.54999999999995</v>
      </c>
      <c r="U181" s="32">
        <v>630.54999999999995</v>
      </c>
      <c r="V181" s="74" t="s">
        <v>82</v>
      </c>
      <c r="W181" s="15"/>
      <c r="X181" s="15"/>
      <c r="Y181" s="16"/>
      <c r="Z181" s="17"/>
      <c r="AA181" s="18"/>
      <c r="AB181" s="75">
        <v>-630.54999999999995</v>
      </c>
      <c r="AC181" s="20">
        <v>43.244637039512106</v>
      </c>
      <c r="AD181" s="21">
        <v>45616</v>
      </c>
      <c r="AE181" s="22">
        <v>92625.341755009606</v>
      </c>
      <c r="AF181" s="23">
        <v>5249.5759333333481</v>
      </c>
      <c r="AG181" s="24">
        <v>105880.12593333366</v>
      </c>
      <c r="AH181" s="15">
        <v>0.5</v>
      </c>
      <c r="AI181" s="76"/>
      <c r="AJ181" s="77"/>
      <c r="AK181" s="77"/>
      <c r="AL181" s="77"/>
      <c r="AM181" s="77"/>
      <c r="AN181" s="76"/>
      <c r="AO181" s="76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6"/>
    </row>
    <row r="182" spans="1:68" ht="15" customHeight="1" x14ac:dyDescent="0.25">
      <c r="A182" s="1">
        <f t="shared" si="11"/>
        <v>80</v>
      </c>
      <c r="B182" s="1" t="str">
        <f t="shared" si="8"/>
        <v xml:space="preserve">Hawks </v>
      </c>
      <c r="C182" s="1">
        <f t="shared" si="9"/>
        <v>1</v>
      </c>
      <c r="D182" s="2" t="str">
        <f t="shared" si="10"/>
        <v>2024-11</v>
      </c>
      <c r="E182" s="3" t="s">
        <v>222</v>
      </c>
      <c r="F182" s="4" t="s">
        <v>83</v>
      </c>
      <c r="G182" s="39">
        <v>45616</v>
      </c>
      <c r="H182" s="40">
        <v>-123</v>
      </c>
      <c r="I182" s="40">
        <v>108</v>
      </c>
      <c r="J182" s="7">
        <v>100</v>
      </c>
      <c r="K182" s="8">
        <v>6.8582407484754748E-2</v>
      </c>
      <c r="L182" s="9">
        <v>3.4291203742377374E-2</v>
      </c>
      <c r="M182" s="10">
        <v>-114.72645739910313</v>
      </c>
      <c r="N182" s="11">
        <v>2</v>
      </c>
      <c r="O182" s="12">
        <v>3609.1346521287628</v>
      </c>
      <c r="P182" s="32" t="s">
        <v>75</v>
      </c>
      <c r="Q182" s="81" t="s">
        <v>92</v>
      </c>
      <c r="R182" s="82"/>
      <c r="S182" s="80"/>
      <c r="T182" s="32">
        <v>316.86</v>
      </c>
      <c r="U182" s="32">
        <v>316.86</v>
      </c>
      <c r="V182" s="74" t="s">
        <v>82</v>
      </c>
      <c r="W182" s="15"/>
      <c r="X182" s="15"/>
      <c r="Y182" s="16"/>
      <c r="Z182" s="17"/>
      <c r="AA182" s="18"/>
      <c r="AB182" s="75">
        <v>-316.86</v>
      </c>
      <c r="AC182" s="20">
        <v>21.731021635619392</v>
      </c>
      <c r="AD182" s="21">
        <v>45616</v>
      </c>
      <c r="AE182" s="22">
        <v>92647.072776645218</v>
      </c>
      <c r="AF182" s="23">
        <v>4932.7159333333484</v>
      </c>
      <c r="AG182" s="24">
        <v>105249.57593333366</v>
      </c>
      <c r="AH182" s="15">
        <v>0.5</v>
      </c>
      <c r="AI182" s="76"/>
      <c r="AJ182" s="77"/>
      <c r="AK182" s="77"/>
      <c r="AL182" s="77"/>
      <c r="AM182" s="77"/>
      <c r="AN182" s="76"/>
      <c r="AO182" s="76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6"/>
      <c r="BC182" s="76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6"/>
    </row>
    <row r="183" spans="1:68" ht="15" customHeight="1" x14ac:dyDescent="0.25">
      <c r="A183" s="1">
        <f t="shared" si="11"/>
        <v>80</v>
      </c>
      <c r="B183" s="1" t="str">
        <f t="shared" si="8"/>
        <v xml:space="preserve">Hawks </v>
      </c>
      <c r="C183" s="1">
        <f t="shared" si="9"/>
        <v>1</v>
      </c>
      <c r="D183" s="2" t="str">
        <f t="shared" si="10"/>
        <v>2024-11</v>
      </c>
      <c r="E183" s="3" t="s">
        <v>222</v>
      </c>
      <c r="F183" s="4" t="s">
        <v>97</v>
      </c>
      <c r="G183" s="39">
        <v>45616</v>
      </c>
      <c r="H183" s="40">
        <v>-123</v>
      </c>
      <c r="I183" s="40">
        <v>108</v>
      </c>
      <c r="J183" s="7">
        <v>-103</v>
      </c>
      <c r="K183" s="8">
        <v>5.3020527764102883E-2</v>
      </c>
      <c r="L183" s="9">
        <v>2.6902041180800973E-2</v>
      </c>
      <c r="M183" s="10">
        <v>-114.72645739910313</v>
      </c>
      <c r="N183" s="11">
        <v>1.970873786407767</v>
      </c>
      <c r="O183" s="12">
        <v>2865.2478089306096</v>
      </c>
      <c r="P183" s="32" t="s">
        <v>75</v>
      </c>
      <c r="Q183" s="81" t="s">
        <v>92</v>
      </c>
      <c r="R183" s="82"/>
      <c r="S183" s="80"/>
      <c r="T183" s="32">
        <v>64.665000000000006</v>
      </c>
      <c r="U183" s="32">
        <v>64.665000000000006</v>
      </c>
      <c r="V183" s="74" t="s">
        <v>82</v>
      </c>
      <c r="W183" s="15"/>
      <c r="X183" s="15"/>
      <c r="Y183" s="16"/>
      <c r="Z183" s="17"/>
      <c r="AA183" s="18"/>
      <c r="AB183" s="75">
        <v>-64.665000000000006</v>
      </c>
      <c r="AC183" s="20">
        <v>3.4285724278657135</v>
      </c>
      <c r="AD183" s="21">
        <v>45616</v>
      </c>
      <c r="AE183" s="22">
        <v>92650.501349073078</v>
      </c>
      <c r="AF183" s="23">
        <v>4868.0509333333484</v>
      </c>
      <c r="AG183" s="24">
        <v>104932.71593333366</v>
      </c>
      <c r="AH183" s="15">
        <v>0.5</v>
      </c>
      <c r="AI183" s="76"/>
      <c r="AJ183" s="77"/>
      <c r="AK183" s="77"/>
      <c r="AL183" s="77"/>
      <c r="AM183" s="77"/>
      <c r="AN183" s="76"/>
      <c r="AO183" s="76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6"/>
      <c r="BC183" s="76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6"/>
    </row>
    <row r="184" spans="1:68" ht="15" customHeight="1" x14ac:dyDescent="0.25">
      <c r="A184" s="1">
        <f t="shared" si="11"/>
        <v>81</v>
      </c>
      <c r="B184" s="1" t="str">
        <f t="shared" si="8"/>
        <v xml:space="preserve">Norfolk </v>
      </c>
      <c r="C184" s="1">
        <f t="shared" si="9"/>
        <v>0</v>
      </c>
      <c r="D184" s="2" t="str">
        <f t="shared" si="10"/>
        <v>2024-11</v>
      </c>
      <c r="E184" s="3" t="s">
        <v>223</v>
      </c>
      <c r="F184" s="4" t="s">
        <v>74</v>
      </c>
      <c r="G184" s="39">
        <v>45616</v>
      </c>
      <c r="H184" s="40">
        <v>-156</v>
      </c>
      <c r="I184" s="40">
        <v>125</v>
      </c>
      <c r="J184" s="7">
        <v>-125</v>
      </c>
      <c r="K184" s="8">
        <v>4.0856672158154805E-2</v>
      </c>
      <c r="L184" s="9">
        <v>2.2698151198974892E-2</v>
      </c>
      <c r="M184" s="10">
        <v>-137.109375</v>
      </c>
      <c r="N184" s="11">
        <v>1.8</v>
      </c>
      <c r="O184" s="12">
        <v>2677.8497355299337</v>
      </c>
      <c r="P184" s="32" t="s">
        <v>143</v>
      </c>
      <c r="Q184" s="81" t="s">
        <v>76</v>
      </c>
      <c r="R184" s="82"/>
      <c r="S184" s="80"/>
      <c r="T184" s="32">
        <v>1875</v>
      </c>
      <c r="U184" s="32">
        <v>3379.59</v>
      </c>
      <c r="V184" s="74" t="s">
        <v>77</v>
      </c>
      <c r="W184" s="15"/>
      <c r="X184" s="15"/>
      <c r="Y184" s="16"/>
      <c r="Z184" s="17"/>
      <c r="AA184" s="18"/>
      <c r="AB184" s="75">
        <v>1500</v>
      </c>
      <c r="AC184" s="20">
        <v>76.606260296540256</v>
      </c>
      <c r="AD184" s="21">
        <v>45616</v>
      </c>
      <c r="AE184" s="22">
        <v>92727.107609369617</v>
      </c>
      <c r="AF184" s="23">
        <v>6368.0509333333484</v>
      </c>
      <c r="AG184" s="24">
        <v>104868.05093333367</v>
      </c>
      <c r="AH184" s="15">
        <v>0.5</v>
      </c>
      <c r="AI184" s="76"/>
      <c r="AJ184" s="76"/>
      <c r="AK184" s="76"/>
      <c r="AL184" s="76"/>
      <c r="AM184" s="76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6"/>
      <c r="BC184" s="76"/>
      <c r="BD184" s="77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6"/>
    </row>
    <row r="185" spans="1:68" ht="15" customHeight="1" x14ac:dyDescent="0.25">
      <c r="A185" s="1">
        <f t="shared" si="11"/>
        <v>82</v>
      </c>
      <c r="B185" s="1" t="str">
        <f t="shared" si="8"/>
        <v xml:space="preserve">Northern </v>
      </c>
      <c r="C185" s="1">
        <f t="shared" si="9"/>
        <v>1</v>
      </c>
      <c r="D185" s="2" t="str">
        <f t="shared" si="10"/>
        <v>2024-11</v>
      </c>
      <c r="E185" s="3" t="s">
        <v>224</v>
      </c>
      <c r="F185" s="4" t="s">
        <v>74</v>
      </c>
      <c r="G185" s="39">
        <v>45616</v>
      </c>
      <c r="H185" s="40">
        <v>102</v>
      </c>
      <c r="I185" s="40">
        <v>-125</v>
      </c>
      <c r="J185" s="7">
        <v>110</v>
      </c>
      <c r="K185" s="8">
        <v>-1.0471204188481626E-2</v>
      </c>
      <c r="L185" s="9">
        <v>-4.986287708800774E-3</v>
      </c>
      <c r="M185" s="10">
        <v>112.22222222222223</v>
      </c>
      <c r="N185" s="11">
        <v>2.1</v>
      </c>
      <c r="O185" s="12">
        <v>-526.58410725051465</v>
      </c>
      <c r="P185" s="32" t="s">
        <v>143</v>
      </c>
      <c r="Q185" s="81" t="s">
        <v>92</v>
      </c>
      <c r="R185" s="82"/>
      <c r="S185" s="80"/>
      <c r="T185" s="32">
        <v>955.38</v>
      </c>
      <c r="U185" s="32">
        <v>955.38</v>
      </c>
      <c r="V185" s="74" t="s">
        <v>82</v>
      </c>
      <c r="W185" s="15"/>
      <c r="X185" s="15"/>
      <c r="Y185" s="16"/>
      <c r="Z185" s="17"/>
      <c r="AA185" s="18"/>
      <c r="AB185" s="75">
        <v>-955.38</v>
      </c>
      <c r="AC185" s="20">
        <v>-10.003979057591575</v>
      </c>
      <c r="AD185" s="21">
        <v>45616</v>
      </c>
      <c r="AE185" s="22">
        <v>92074.422419463648</v>
      </c>
      <c r="AF185" s="23">
        <v>9679.9409333333479</v>
      </c>
      <c r="AG185" s="24">
        <v>110635.32093333366</v>
      </c>
      <c r="AH185" s="15">
        <v>0.5</v>
      </c>
      <c r="AI185" s="76"/>
      <c r="AJ185" s="77"/>
      <c r="AK185" s="77"/>
      <c r="AL185" s="77"/>
      <c r="AM185" s="77"/>
      <c r="AN185" s="76"/>
      <c r="AO185" s="76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6"/>
      <c r="BC185" s="76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6"/>
    </row>
    <row r="186" spans="1:68" ht="15" customHeight="1" x14ac:dyDescent="0.25">
      <c r="A186" s="1">
        <f t="shared" si="11"/>
        <v>82</v>
      </c>
      <c r="B186" s="1" t="str">
        <f t="shared" si="8"/>
        <v xml:space="preserve">Northern </v>
      </c>
      <c r="C186" s="1">
        <f t="shared" si="9"/>
        <v>1</v>
      </c>
      <c r="D186" s="2" t="str">
        <f t="shared" si="10"/>
        <v>2024-11</v>
      </c>
      <c r="E186" s="3" t="s">
        <v>224</v>
      </c>
      <c r="F186" s="4" t="s">
        <v>83</v>
      </c>
      <c r="G186" s="39">
        <v>45616</v>
      </c>
      <c r="H186" s="40">
        <v>102</v>
      </c>
      <c r="I186" s="40">
        <v>-125</v>
      </c>
      <c r="J186" s="7">
        <v>110</v>
      </c>
      <c r="K186" s="8">
        <v>-1.0471204188481626E-2</v>
      </c>
      <c r="L186" s="9">
        <v>-4.986287708800774E-3</v>
      </c>
      <c r="M186" s="10">
        <v>112.22222222222223</v>
      </c>
      <c r="N186" s="11">
        <v>2.1</v>
      </c>
      <c r="O186" s="12">
        <v>-522.0368440425184</v>
      </c>
      <c r="P186" s="32" t="s">
        <v>143</v>
      </c>
      <c r="Q186" s="81" t="s">
        <v>92</v>
      </c>
      <c r="R186" s="82"/>
      <c r="S186" s="80"/>
      <c r="T186" s="32">
        <v>480.09</v>
      </c>
      <c r="U186" s="32">
        <v>480.09</v>
      </c>
      <c r="V186" s="74" t="s">
        <v>82</v>
      </c>
      <c r="W186" s="15"/>
      <c r="X186" s="15"/>
      <c r="Y186" s="16"/>
      <c r="Z186" s="17"/>
      <c r="AA186" s="18"/>
      <c r="AB186" s="75">
        <v>-480.09</v>
      </c>
      <c r="AC186" s="20">
        <v>-5.0271204188481438</v>
      </c>
      <c r="AD186" s="21">
        <v>45616</v>
      </c>
      <c r="AE186" s="22">
        <v>92069.395299044802</v>
      </c>
      <c r="AF186" s="23">
        <v>9199.8509333333477</v>
      </c>
      <c r="AG186" s="24">
        <v>109679.94093333365</v>
      </c>
      <c r="AH186" s="15">
        <v>0.5</v>
      </c>
      <c r="AI186" s="76"/>
      <c r="AJ186" s="77"/>
      <c r="AK186" s="77"/>
      <c r="AL186" s="77"/>
      <c r="AM186" s="77"/>
      <c r="AN186" s="76"/>
      <c r="AO186" s="76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6"/>
      <c r="BC186" s="76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6"/>
    </row>
    <row r="187" spans="1:68" ht="15" customHeight="1" x14ac:dyDescent="0.25">
      <c r="A187" s="1">
        <f t="shared" si="11"/>
        <v>82</v>
      </c>
      <c r="B187" s="1" t="str">
        <f t="shared" si="8"/>
        <v xml:space="preserve">Northern </v>
      </c>
      <c r="C187" s="1">
        <f t="shared" si="9"/>
        <v>1</v>
      </c>
      <c r="D187" s="2" t="str">
        <f t="shared" si="10"/>
        <v>2024-11</v>
      </c>
      <c r="E187" s="3" t="s">
        <v>225</v>
      </c>
      <c r="F187" s="4" t="s">
        <v>74</v>
      </c>
      <c r="G187" s="39">
        <v>45616</v>
      </c>
      <c r="H187" s="40">
        <v>-102</v>
      </c>
      <c r="I187" s="40">
        <v>-118</v>
      </c>
      <c r="J187" s="7">
        <v>105</v>
      </c>
      <c r="K187" s="8">
        <v>-1.0596457718354038E-2</v>
      </c>
      <c r="L187" s="9">
        <v>-5.1690037650507503E-3</v>
      </c>
      <c r="M187" s="10">
        <v>107.19553876596511</v>
      </c>
      <c r="N187" s="11">
        <v>2.0499999999999998</v>
      </c>
      <c r="O187" s="12">
        <v>-551.01504917411137</v>
      </c>
      <c r="P187" s="32" t="s">
        <v>143</v>
      </c>
      <c r="Q187" s="81" t="s">
        <v>92</v>
      </c>
      <c r="R187" s="82"/>
      <c r="S187" s="80"/>
      <c r="T187" s="32">
        <v>1000.875</v>
      </c>
      <c r="U187" s="32">
        <v>1000.875</v>
      </c>
      <c r="V187" s="74" t="s">
        <v>82</v>
      </c>
      <c r="W187" s="15"/>
      <c r="X187" s="15"/>
      <c r="Y187" s="16"/>
      <c r="Z187" s="17"/>
      <c r="AA187" s="18"/>
      <c r="AB187" s="75">
        <v>-1000.875</v>
      </c>
      <c r="AC187" s="20">
        <v>-10.605729618857598</v>
      </c>
      <c r="AD187" s="21">
        <v>45616</v>
      </c>
      <c r="AE187" s="22">
        <v>92058.78956942595</v>
      </c>
      <c r="AF187" s="23">
        <v>8198.9759333333477</v>
      </c>
      <c r="AG187" s="24">
        <v>109199.85093333366</v>
      </c>
      <c r="AH187" s="15">
        <v>0.5</v>
      </c>
      <c r="AI187" s="76"/>
      <c r="AJ187" s="77"/>
      <c r="AK187" s="77"/>
      <c r="AL187" s="77"/>
      <c r="AM187" s="77"/>
      <c r="AN187" s="76"/>
      <c r="AO187" s="76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6"/>
      <c r="BC187" s="76"/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6"/>
    </row>
    <row r="188" spans="1:68" ht="15" customHeight="1" x14ac:dyDescent="0.25">
      <c r="A188" s="1">
        <f t="shared" si="11"/>
        <v>82</v>
      </c>
      <c r="B188" s="1" t="str">
        <f t="shared" si="8"/>
        <v xml:space="preserve">Northern </v>
      </c>
      <c r="C188" s="1">
        <f t="shared" si="9"/>
        <v>1</v>
      </c>
      <c r="D188" s="2" t="str">
        <f t="shared" si="10"/>
        <v>2024-11</v>
      </c>
      <c r="E188" s="3" t="s">
        <v>225</v>
      </c>
      <c r="F188" s="4" t="s">
        <v>83</v>
      </c>
      <c r="G188" s="39">
        <v>45616</v>
      </c>
      <c r="H188" s="40">
        <v>-102</v>
      </c>
      <c r="I188" s="40">
        <v>-118</v>
      </c>
      <c r="J188" s="7">
        <v>105</v>
      </c>
      <c r="K188" s="8">
        <v>-1.0596457718354038E-2</v>
      </c>
      <c r="L188" s="9">
        <v>-5.1690037650507503E-3</v>
      </c>
      <c r="M188" s="10">
        <v>107.19553876596511</v>
      </c>
      <c r="N188" s="11">
        <v>2.0499999999999998</v>
      </c>
      <c r="O188" s="12">
        <v>-545.96470173656019</v>
      </c>
      <c r="P188" s="32" t="s">
        <v>143</v>
      </c>
      <c r="Q188" s="81" t="s">
        <v>92</v>
      </c>
      <c r="R188" s="82"/>
      <c r="S188" s="80"/>
      <c r="T188" s="32">
        <v>502.95</v>
      </c>
      <c r="U188" s="32">
        <v>502.95</v>
      </c>
      <c r="V188" s="74" t="s">
        <v>82</v>
      </c>
      <c r="W188" s="15"/>
      <c r="X188" s="15"/>
      <c r="Y188" s="16"/>
      <c r="Z188" s="17"/>
      <c r="AA188" s="18"/>
      <c r="AB188" s="75">
        <v>-502.95</v>
      </c>
      <c r="AC188" s="20">
        <v>-5.3294884094461628</v>
      </c>
      <c r="AD188" s="21">
        <v>45616</v>
      </c>
      <c r="AE188" s="22">
        <v>92053.460081016499</v>
      </c>
      <c r="AF188" s="23">
        <v>7696.0259333333479</v>
      </c>
      <c r="AG188" s="24">
        <v>108198.97593333366</v>
      </c>
      <c r="AH188" s="15">
        <v>0.5</v>
      </c>
      <c r="AI188" s="76"/>
      <c r="AJ188" s="77"/>
      <c r="AK188" s="77"/>
      <c r="AL188" s="77"/>
      <c r="AM188" s="77"/>
      <c r="AN188" s="76"/>
      <c r="AO188" s="76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6"/>
      <c r="BC188" s="76"/>
      <c r="BD188" s="77"/>
      <c r="BE188" s="77"/>
      <c r="BF188" s="77"/>
      <c r="BG188" s="77"/>
      <c r="BH188" s="77"/>
      <c r="BI188" s="77"/>
      <c r="BJ188" s="77"/>
      <c r="BK188" s="77"/>
      <c r="BL188" s="77"/>
      <c r="BM188" s="77"/>
      <c r="BN188" s="77"/>
      <c r="BO188" s="77"/>
      <c r="BP188" s="76"/>
    </row>
    <row r="189" spans="1:68" ht="15" customHeight="1" x14ac:dyDescent="0.25">
      <c r="A189" s="1">
        <f t="shared" si="11"/>
        <v>82</v>
      </c>
      <c r="B189" s="1" t="str">
        <f t="shared" si="8"/>
        <v xml:space="preserve">Northern </v>
      </c>
      <c r="C189" s="1">
        <f t="shared" si="9"/>
        <v>1</v>
      </c>
      <c r="D189" s="2" t="str">
        <f t="shared" si="10"/>
        <v>2024-11</v>
      </c>
      <c r="E189" s="3" t="s">
        <v>226</v>
      </c>
      <c r="F189" s="4" t="s">
        <v>74</v>
      </c>
      <c r="G189" s="39">
        <v>45616</v>
      </c>
      <c r="H189" s="40">
        <v>-109</v>
      </c>
      <c r="I189" s="40">
        <v>-112</v>
      </c>
      <c r="J189" s="7">
        <v>100</v>
      </c>
      <c r="K189" s="8">
        <v>-6.4493937569869431E-3</v>
      </c>
      <c r="L189" s="9">
        <v>-3.2246968784934715E-3</v>
      </c>
      <c r="M189" s="10">
        <v>101.29825168772722</v>
      </c>
      <c r="N189" s="11">
        <v>2</v>
      </c>
      <c r="O189" s="12">
        <v>-347.28703865337303</v>
      </c>
      <c r="P189" s="32" t="s">
        <v>143</v>
      </c>
      <c r="Q189" s="81" t="s">
        <v>92</v>
      </c>
      <c r="R189" s="82"/>
      <c r="S189" s="80"/>
      <c r="T189" s="32">
        <v>1050.915</v>
      </c>
      <c r="U189" s="32">
        <v>1050.915</v>
      </c>
      <c r="V189" s="74" t="s">
        <v>82</v>
      </c>
      <c r="W189" s="15"/>
      <c r="X189" s="15"/>
      <c r="Y189" s="16"/>
      <c r="Z189" s="17"/>
      <c r="AA189" s="18"/>
      <c r="AB189" s="75">
        <v>-1050.915</v>
      </c>
      <c r="AC189" s="20">
        <v>-6.7777646401239329</v>
      </c>
      <c r="AD189" s="21">
        <v>45616</v>
      </c>
      <c r="AE189" s="22">
        <v>92046.682316376377</v>
      </c>
      <c r="AF189" s="23">
        <v>6645.1109333333479</v>
      </c>
      <c r="AG189" s="24">
        <v>107696.02593333366</v>
      </c>
      <c r="AH189" s="15">
        <v>0.5</v>
      </c>
      <c r="AI189" s="76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77"/>
    </row>
    <row r="190" spans="1:68" ht="15" customHeight="1" x14ac:dyDescent="0.25">
      <c r="A190" s="1">
        <f t="shared" si="11"/>
        <v>82</v>
      </c>
      <c r="B190" s="1" t="str">
        <f t="shared" si="8"/>
        <v xml:space="preserve">Northern </v>
      </c>
      <c r="C190" s="1">
        <f t="shared" si="9"/>
        <v>1</v>
      </c>
      <c r="D190" s="2" t="str">
        <f t="shared" si="10"/>
        <v>2024-11</v>
      </c>
      <c r="E190" s="3" t="s">
        <v>226</v>
      </c>
      <c r="F190" s="4" t="s">
        <v>83</v>
      </c>
      <c r="G190" s="39">
        <v>45616</v>
      </c>
      <c r="H190" s="40">
        <v>-109</v>
      </c>
      <c r="I190" s="40">
        <v>-112</v>
      </c>
      <c r="J190" s="7">
        <v>100</v>
      </c>
      <c r="K190" s="8">
        <v>-6.4493937569869431E-3</v>
      </c>
      <c r="L190" s="9">
        <v>-3.2246968784934715E-3</v>
      </c>
      <c r="M190" s="10">
        <v>101.29825168772722</v>
      </c>
      <c r="N190" s="11">
        <v>2</v>
      </c>
      <c r="O190" s="12">
        <v>-343.89815633331108</v>
      </c>
      <c r="P190" s="32" t="s">
        <v>143</v>
      </c>
      <c r="Q190" s="81" t="s">
        <v>92</v>
      </c>
      <c r="R190" s="82"/>
      <c r="S190" s="80"/>
      <c r="T190" s="32">
        <v>449</v>
      </c>
      <c r="U190" s="32">
        <v>607.20000000000005</v>
      </c>
      <c r="V190" s="74" t="s">
        <v>82</v>
      </c>
      <c r="W190" s="15"/>
      <c r="X190" s="15"/>
      <c r="Y190" s="16"/>
      <c r="Z190" s="17"/>
      <c r="AA190" s="18"/>
      <c r="AB190" s="75">
        <v>-449</v>
      </c>
      <c r="AC190" s="20">
        <v>-2.8957777968871374</v>
      </c>
      <c r="AD190" s="21">
        <v>45616</v>
      </c>
      <c r="AE190" s="22">
        <v>92043.786538579487</v>
      </c>
      <c r="AF190" s="23">
        <v>6196.1109333333479</v>
      </c>
      <c r="AG190" s="24">
        <v>106645.11093333366</v>
      </c>
      <c r="AH190" s="15">
        <v>0.5</v>
      </c>
      <c r="AI190" s="76"/>
      <c r="AJ190" s="77"/>
      <c r="AK190" s="77"/>
      <c r="AL190" s="77"/>
      <c r="AM190" s="77"/>
      <c r="AN190" s="76"/>
      <c r="AO190" s="76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6"/>
      <c r="BC190" s="76"/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76"/>
    </row>
    <row r="191" spans="1:68" ht="15" customHeight="1" x14ac:dyDescent="0.25">
      <c r="A191" s="1">
        <f t="shared" si="11"/>
        <v>83</v>
      </c>
      <c r="B191" s="1" t="str">
        <f t="shared" si="8"/>
        <v xml:space="preserve">Pacers </v>
      </c>
      <c r="C191" s="1">
        <f t="shared" si="9"/>
        <v>0</v>
      </c>
      <c r="D191" s="2" t="str">
        <f t="shared" si="10"/>
        <v>2024-11</v>
      </c>
      <c r="E191" s="3" t="s">
        <v>227</v>
      </c>
      <c r="F191" s="4" t="s">
        <v>74</v>
      </c>
      <c r="G191" s="39">
        <v>45616</v>
      </c>
      <c r="H191" s="40">
        <v>143</v>
      </c>
      <c r="I191" s="40">
        <v>-164</v>
      </c>
      <c r="J191" s="7">
        <v>170</v>
      </c>
      <c r="K191" s="8">
        <v>7.5892048541931212E-2</v>
      </c>
      <c r="L191" s="9">
        <v>2.8108166126641188E-2</v>
      </c>
      <c r="M191" s="10">
        <v>150.95454545454541</v>
      </c>
      <c r="N191" s="11">
        <v>2.7</v>
      </c>
      <c r="O191" s="12">
        <v>2403.9054349205198</v>
      </c>
      <c r="P191" s="32" t="s">
        <v>75</v>
      </c>
      <c r="Q191" s="81" t="s">
        <v>81</v>
      </c>
      <c r="R191" s="82"/>
      <c r="S191" s="80"/>
      <c r="T191" s="32">
        <v>927.28</v>
      </c>
      <c r="U191" s="32">
        <v>927.28</v>
      </c>
      <c r="V191" s="74" t="s">
        <v>82</v>
      </c>
      <c r="W191" s="15"/>
      <c r="X191" s="15"/>
      <c r="Y191" s="16"/>
      <c r="Z191" s="17"/>
      <c r="AA191" s="18"/>
      <c r="AB191" s="75">
        <v>-927.28</v>
      </c>
      <c r="AC191" s="20">
        <v>70.373178771961975</v>
      </c>
      <c r="AD191" s="21">
        <v>45616</v>
      </c>
      <c r="AE191" s="22">
        <v>92202.780686494036</v>
      </c>
      <c r="AF191" s="23">
        <v>6768.8309333333482</v>
      </c>
      <c r="AG191" s="24">
        <v>107696.11093333366</v>
      </c>
      <c r="AH191" s="15">
        <v>0.5</v>
      </c>
      <c r="AI191" s="76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  <c r="BM191" s="77"/>
      <c r="BN191" s="77"/>
      <c r="BO191" s="77"/>
      <c r="BP191" s="77"/>
    </row>
    <row r="192" spans="1:68" ht="15" customHeight="1" x14ac:dyDescent="0.25">
      <c r="A192" s="1">
        <f t="shared" si="11"/>
        <v>83</v>
      </c>
      <c r="B192" s="1" t="str">
        <f t="shared" si="8"/>
        <v xml:space="preserve">Pacers </v>
      </c>
      <c r="C192" s="1">
        <f t="shared" si="9"/>
        <v>0</v>
      </c>
      <c r="D192" s="2" t="str">
        <f t="shared" si="10"/>
        <v>2024-11</v>
      </c>
      <c r="E192" s="3" t="s">
        <v>227</v>
      </c>
      <c r="F192" s="4" t="s">
        <v>83</v>
      </c>
      <c r="G192" s="39">
        <v>45616</v>
      </c>
      <c r="H192" s="40">
        <v>143</v>
      </c>
      <c r="I192" s="40">
        <v>-164</v>
      </c>
      <c r="J192" s="7">
        <v>170</v>
      </c>
      <c r="K192" s="8">
        <v>7.5892048541931212E-2</v>
      </c>
      <c r="L192" s="9">
        <v>2.8108166126641188E-2</v>
      </c>
      <c r="M192" s="10">
        <v>150.95454545454541</v>
      </c>
      <c r="N192" s="11">
        <v>2.7</v>
      </c>
      <c r="O192" s="12">
        <v>2383.2074411640601</v>
      </c>
      <c r="P192" s="32" t="s">
        <v>75</v>
      </c>
      <c r="Q192" s="81" t="s">
        <v>81</v>
      </c>
      <c r="R192" s="82"/>
      <c r="S192" s="80"/>
      <c r="T192" s="32">
        <v>465.97</v>
      </c>
      <c r="U192" s="32">
        <v>465.97</v>
      </c>
      <c r="V192" s="74" t="s">
        <v>82</v>
      </c>
      <c r="W192" s="15"/>
      <c r="X192" s="15"/>
      <c r="Y192" s="16"/>
      <c r="Z192" s="17"/>
      <c r="AA192" s="18"/>
      <c r="AB192" s="75">
        <v>-465.97</v>
      </c>
      <c r="AC192" s="20">
        <v>35.36341785908369</v>
      </c>
      <c r="AD192" s="21">
        <v>45616</v>
      </c>
      <c r="AE192" s="22">
        <v>92238.144104353123</v>
      </c>
      <c r="AF192" s="23">
        <v>6302.8609333333479</v>
      </c>
      <c r="AG192" s="24">
        <v>106768.83093333367</v>
      </c>
      <c r="AH192" s="15">
        <v>0.5</v>
      </c>
      <c r="AI192" s="76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/>
      <c r="BP192" s="77"/>
    </row>
    <row r="193" spans="1:68" ht="15" customHeight="1" x14ac:dyDescent="0.25">
      <c r="A193" s="1">
        <f t="shared" si="11"/>
        <v>84</v>
      </c>
      <c r="B193" s="1" t="str">
        <f t="shared" si="8"/>
        <v xml:space="preserve">San </v>
      </c>
      <c r="C193" s="1">
        <f t="shared" si="9"/>
        <v>1</v>
      </c>
      <c r="D193" s="2" t="str">
        <f t="shared" si="10"/>
        <v>2024-11</v>
      </c>
      <c r="E193" s="3" t="s">
        <v>228</v>
      </c>
      <c r="F193" s="4" t="s">
        <v>74</v>
      </c>
      <c r="G193" s="39">
        <v>45616</v>
      </c>
      <c r="H193" s="40">
        <v>-110</v>
      </c>
      <c r="I193" s="40">
        <v>-110</v>
      </c>
      <c r="J193" s="7">
        <v>105</v>
      </c>
      <c r="K193" s="8">
        <v>2.4999999999999908E-2</v>
      </c>
      <c r="L193" s="9">
        <v>1.2195121951219468E-2</v>
      </c>
      <c r="M193" s="10">
        <v>100</v>
      </c>
      <c r="N193" s="11">
        <v>2.0499999999999998</v>
      </c>
      <c r="O193" s="12">
        <v>1278.3348920634915</v>
      </c>
      <c r="P193" s="32" t="s">
        <v>143</v>
      </c>
      <c r="Q193" s="81" t="s">
        <v>92</v>
      </c>
      <c r="R193" s="82"/>
      <c r="S193" s="80"/>
      <c r="T193" s="32">
        <v>1000.875</v>
      </c>
      <c r="U193" s="32">
        <v>1000.875</v>
      </c>
      <c r="V193" s="74" t="s">
        <v>82</v>
      </c>
      <c r="W193" s="15"/>
      <c r="X193" s="15"/>
      <c r="Y193" s="16"/>
      <c r="Z193" s="17"/>
      <c r="AA193" s="18"/>
      <c r="AB193" s="75">
        <v>-1000.875</v>
      </c>
      <c r="AC193" s="20">
        <v>25.021874999999909</v>
      </c>
      <c r="AD193" s="21">
        <v>45616</v>
      </c>
      <c r="AE193" s="22">
        <v>92569.618867970086</v>
      </c>
      <c r="AF193" s="23">
        <v>6379.2559333333484</v>
      </c>
      <c r="AG193" s="24">
        <v>107380.13093333367</v>
      </c>
      <c r="AH193" s="15">
        <v>0.5</v>
      </c>
      <c r="AI193" s="76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7"/>
      <c r="BN193" s="77"/>
      <c r="BO193" s="77"/>
      <c r="BP193" s="77"/>
    </row>
    <row r="194" spans="1:68" ht="15" customHeight="1" x14ac:dyDescent="0.25">
      <c r="A194" s="1">
        <f t="shared" si="11"/>
        <v>84</v>
      </c>
      <c r="B194" s="1" t="str">
        <f t="shared" ref="B194:B257" si="12">LEFT(E194, FIND(" ", E194))</f>
        <v xml:space="preserve">San </v>
      </c>
      <c r="C194" s="1">
        <f t="shared" ref="C194:C257" si="13">IF(Q194="total", 1, 0)</f>
        <v>1</v>
      </c>
      <c r="D194" s="2" t="str">
        <f t="shared" ref="D194:D257" si="14">YEAR(G194)&amp;"-"&amp;IF(MONTH(G194)&lt;10, "0", "")&amp;MONTH(G194)</f>
        <v>2024-11</v>
      </c>
      <c r="E194" s="3" t="s">
        <v>228</v>
      </c>
      <c r="F194" s="4" t="s">
        <v>83</v>
      </c>
      <c r="G194" s="39">
        <v>45616</v>
      </c>
      <c r="H194" s="40">
        <v>-110</v>
      </c>
      <c r="I194" s="40">
        <v>-110</v>
      </c>
      <c r="J194" s="7">
        <v>105</v>
      </c>
      <c r="K194" s="8">
        <v>2.4999999999999908E-2</v>
      </c>
      <c r="L194" s="9">
        <v>1.2195121951219468E-2</v>
      </c>
      <c r="M194" s="10">
        <v>100</v>
      </c>
      <c r="N194" s="11">
        <v>2.0499999999999998</v>
      </c>
      <c r="O194" s="12">
        <v>1266.419713492063</v>
      </c>
      <c r="P194" s="32" t="s">
        <v>143</v>
      </c>
      <c r="Q194" s="81" t="s">
        <v>92</v>
      </c>
      <c r="R194" s="82"/>
      <c r="S194" s="80"/>
      <c r="T194" s="32">
        <v>499.13</v>
      </c>
      <c r="U194" s="32">
        <v>506.77</v>
      </c>
      <c r="V194" s="74" t="s">
        <v>82</v>
      </c>
      <c r="W194" s="15"/>
      <c r="X194" s="15"/>
      <c r="Y194" s="16"/>
      <c r="Z194" s="17"/>
      <c r="AA194" s="18"/>
      <c r="AB194" s="75">
        <v>-499.13</v>
      </c>
      <c r="AC194" s="20">
        <v>12.478249999999953</v>
      </c>
      <c r="AD194" s="21">
        <v>45616</v>
      </c>
      <c r="AE194" s="22">
        <v>92582.097117970086</v>
      </c>
      <c r="AF194" s="23">
        <v>5880.1259333333483</v>
      </c>
      <c r="AG194" s="24">
        <v>106379.25593333367</v>
      </c>
      <c r="AH194" s="15">
        <v>0.5</v>
      </c>
      <c r="AI194" s="76"/>
      <c r="AJ194" s="77"/>
      <c r="AK194" s="77"/>
      <c r="AL194" s="77"/>
      <c r="AM194" s="77"/>
      <c r="AN194" s="76"/>
      <c r="AO194" s="76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6"/>
      <c r="BC194" s="76"/>
      <c r="BD194" s="77"/>
      <c r="BE194" s="77"/>
      <c r="BF194" s="77"/>
      <c r="BG194" s="77"/>
      <c r="BH194" s="77"/>
      <c r="BI194" s="77"/>
      <c r="BJ194" s="77"/>
      <c r="BK194" s="77"/>
      <c r="BL194" s="77"/>
      <c r="BM194" s="77"/>
      <c r="BN194" s="77"/>
      <c r="BO194" s="77"/>
      <c r="BP194" s="77"/>
    </row>
    <row r="195" spans="1:68" ht="15" customHeight="1" x14ac:dyDescent="0.25">
      <c r="A195" s="1">
        <f t="shared" si="11"/>
        <v>85</v>
      </c>
      <c r="B195" s="1" t="str">
        <f t="shared" si="12"/>
        <v xml:space="preserve">South </v>
      </c>
      <c r="C195" s="1">
        <f t="shared" si="13"/>
        <v>0</v>
      </c>
      <c r="D195" s="2" t="str">
        <f t="shared" si="14"/>
        <v>2024-11</v>
      </c>
      <c r="E195" s="3" t="s">
        <v>229</v>
      </c>
      <c r="F195" s="4" t="s">
        <v>74</v>
      </c>
      <c r="G195" s="39">
        <v>45616</v>
      </c>
      <c r="H195" s="40">
        <v>-294</v>
      </c>
      <c r="I195" s="40">
        <v>236</v>
      </c>
      <c r="J195" s="7">
        <v>-230</v>
      </c>
      <c r="K195" s="8">
        <v>2.5687237432635523E-2</v>
      </c>
      <c r="L195" s="9">
        <v>1.7903226089412638E-2</v>
      </c>
      <c r="M195" s="10">
        <v>-250.72081218274121</v>
      </c>
      <c r="N195" s="11">
        <v>1.4347826086956521</v>
      </c>
      <c r="O195" s="12">
        <v>3137.0674233620998</v>
      </c>
      <c r="P195" s="32" t="s">
        <v>143</v>
      </c>
      <c r="Q195" s="81" t="s">
        <v>81</v>
      </c>
      <c r="R195" s="82"/>
      <c r="S195" s="80"/>
      <c r="T195" s="32">
        <v>3450</v>
      </c>
      <c r="U195" s="32">
        <v>6103.7999999999993</v>
      </c>
      <c r="V195" s="74" t="s">
        <v>77</v>
      </c>
      <c r="W195" s="15"/>
      <c r="X195" s="15"/>
      <c r="Y195" s="16"/>
      <c r="Z195" s="17"/>
      <c r="AA195" s="18"/>
      <c r="AB195" s="75">
        <v>1500</v>
      </c>
      <c r="AC195" s="20">
        <v>88.620969142592557</v>
      </c>
      <c r="AD195" s="21">
        <v>45616</v>
      </c>
      <c r="AE195" s="22">
        <v>92132.407507722077</v>
      </c>
      <c r="AF195" s="23">
        <v>7696.1109333333479</v>
      </c>
      <c r="AG195" s="24">
        <v>106196.11093333366</v>
      </c>
      <c r="AH195" s="15">
        <v>0.5</v>
      </c>
      <c r="AI195" s="76"/>
      <c r="AJ195" s="77"/>
      <c r="AK195" s="77"/>
      <c r="AL195" s="77"/>
      <c r="AM195" s="77"/>
      <c r="AN195" s="76"/>
      <c r="AO195" s="76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6"/>
      <c r="BC195" s="76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</row>
    <row r="196" spans="1:68" ht="15" customHeight="1" x14ac:dyDescent="0.25">
      <c r="A196" s="1">
        <f t="shared" ref="A196:A259" si="15">IF(AND(B196=B195, C196=C195, G196=G195), A195, A195+1)</f>
        <v>85</v>
      </c>
      <c r="B196" s="1" t="str">
        <f t="shared" si="12"/>
        <v xml:space="preserve">South </v>
      </c>
      <c r="C196" s="1">
        <f t="shared" si="13"/>
        <v>0</v>
      </c>
      <c r="D196" s="2" t="str">
        <f t="shared" si="14"/>
        <v>2024-11</v>
      </c>
      <c r="E196" s="3" t="s">
        <v>230</v>
      </c>
      <c r="F196" s="4" t="s">
        <v>74</v>
      </c>
      <c r="G196" s="39">
        <v>45616</v>
      </c>
      <c r="H196" s="40">
        <v>-132</v>
      </c>
      <c r="I196" s="40">
        <v>110</v>
      </c>
      <c r="J196" s="7">
        <v>-109</v>
      </c>
      <c r="K196" s="8">
        <v>4.3817609201698055E-2</v>
      </c>
      <c r="L196" s="9">
        <v>2.2852245947297067E-2</v>
      </c>
      <c r="M196" s="10">
        <v>-119.48275862068967</v>
      </c>
      <c r="N196" s="11">
        <v>1.9174311926605505</v>
      </c>
      <c r="O196" s="12">
        <v>2500.4568581094677</v>
      </c>
      <c r="P196" s="32" t="s">
        <v>143</v>
      </c>
      <c r="Q196" s="81" t="s">
        <v>76</v>
      </c>
      <c r="R196" s="82"/>
      <c r="S196" s="80"/>
      <c r="T196" s="32">
        <v>1635</v>
      </c>
      <c r="U196" s="32">
        <v>2934.21</v>
      </c>
      <c r="V196" s="74" t="s">
        <v>77</v>
      </c>
      <c r="W196" s="15"/>
      <c r="X196" s="15"/>
      <c r="Y196" s="16"/>
      <c r="Z196" s="17"/>
      <c r="AA196" s="18"/>
      <c r="AB196" s="75">
        <v>1500</v>
      </c>
      <c r="AC196" s="20">
        <v>71.641791044776326</v>
      </c>
      <c r="AD196" s="21">
        <v>45616</v>
      </c>
      <c r="AE196" s="22">
        <v>92392.555313886201</v>
      </c>
      <c r="AF196" s="23">
        <v>6206.6309333333484</v>
      </c>
      <c r="AG196" s="24">
        <v>104706.63093333367</v>
      </c>
      <c r="AH196" s="15">
        <v>0.5</v>
      </c>
      <c r="AI196" s="76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7"/>
      <c r="BN196" s="77"/>
      <c r="BO196" s="77"/>
      <c r="BP196" s="77"/>
    </row>
    <row r="197" spans="1:68" ht="15" customHeight="1" x14ac:dyDescent="0.25">
      <c r="A197" s="1">
        <f t="shared" si="15"/>
        <v>85</v>
      </c>
      <c r="B197" s="1" t="str">
        <f t="shared" si="12"/>
        <v xml:space="preserve">South </v>
      </c>
      <c r="C197" s="1">
        <f t="shared" si="13"/>
        <v>0</v>
      </c>
      <c r="D197" s="2" t="str">
        <f t="shared" si="14"/>
        <v>2024-11</v>
      </c>
      <c r="E197" s="3" t="s">
        <v>231</v>
      </c>
      <c r="F197" s="4" t="s">
        <v>74</v>
      </c>
      <c r="G197" s="39">
        <v>45616</v>
      </c>
      <c r="H197" s="40">
        <v>-120</v>
      </c>
      <c r="I197" s="40">
        <v>102</v>
      </c>
      <c r="J197" s="7">
        <v>-107</v>
      </c>
      <c r="K197" s="8">
        <v>1.4148045144391051E-2</v>
      </c>
      <c r="L197" s="9">
        <v>7.3132407268108324E-3</v>
      </c>
      <c r="M197" s="10">
        <v>-110.1818181818182</v>
      </c>
      <c r="N197" s="11">
        <v>1.9345794392523366</v>
      </c>
      <c r="O197" s="12">
        <v>803.89967185698868</v>
      </c>
      <c r="P197" s="32" t="s">
        <v>143</v>
      </c>
      <c r="Q197" s="81" t="s">
        <v>76</v>
      </c>
      <c r="R197" s="82"/>
      <c r="S197" s="80"/>
      <c r="T197" s="32">
        <v>1605</v>
      </c>
      <c r="U197" s="32">
        <v>2866.99</v>
      </c>
      <c r="V197" s="74" t="s">
        <v>77</v>
      </c>
      <c r="W197" s="15"/>
      <c r="X197" s="15"/>
      <c r="Y197" s="16"/>
      <c r="Z197" s="17"/>
      <c r="AA197" s="18"/>
      <c r="AB197" s="75">
        <v>1500</v>
      </c>
      <c r="AC197" s="20">
        <v>22.707612456747636</v>
      </c>
      <c r="AD197" s="21">
        <v>45616</v>
      </c>
      <c r="AE197" s="22">
        <v>92415.262926342955</v>
      </c>
      <c r="AF197" s="23">
        <v>7706.6309333333484</v>
      </c>
      <c r="AG197" s="24">
        <v>106206.63093333367</v>
      </c>
      <c r="AH197" s="15">
        <v>0.5</v>
      </c>
      <c r="AI197" s="76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77"/>
    </row>
    <row r="198" spans="1:68" ht="15" customHeight="1" x14ac:dyDescent="0.25">
      <c r="A198" s="1">
        <f t="shared" si="15"/>
        <v>85</v>
      </c>
      <c r="B198" s="1" t="str">
        <f t="shared" si="12"/>
        <v xml:space="preserve">South </v>
      </c>
      <c r="C198" s="1">
        <f t="shared" si="13"/>
        <v>0</v>
      </c>
      <c r="D198" s="2" t="str">
        <f t="shared" si="14"/>
        <v>2024-11</v>
      </c>
      <c r="E198" s="3" t="s">
        <v>232</v>
      </c>
      <c r="F198" s="4" t="s">
        <v>74</v>
      </c>
      <c r="G198" s="39">
        <v>45616</v>
      </c>
      <c r="H198" s="40">
        <v>-143</v>
      </c>
      <c r="I198" s="40">
        <v>118</v>
      </c>
      <c r="J198" s="7">
        <v>-121</v>
      </c>
      <c r="K198" s="8">
        <v>2.6384186531282248E-2</v>
      </c>
      <c r="L198" s="9">
        <v>1.4445640589525577E-2</v>
      </c>
      <c r="M198" s="10">
        <v>-128.28806584362135</v>
      </c>
      <c r="N198" s="11">
        <v>1.8264462809917354</v>
      </c>
      <c r="O198" s="12">
        <v>1719.2598639266355</v>
      </c>
      <c r="P198" s="32" t="s">
        <v>143</v>
      </c>
      <c r="Q198" s="81" t="s">
        <v>76</v>
      </c>
      <c r="R198" s="82"/>
      <c r="S198" s="80"/>
      <c r="T198" s="32">
        <v>1815</v>
      </c>
      <c r="U198" s="32">
        <v>3249.66</v>
      </c>
      <c r="V198" s="74" t="s">
        <v>77</v>
      </c>
      <c r="W198" s="15"/>
      <c r="X198" s="15"/>
      <c r="Y198" s="16"/>
      <c r="Z198" s="17"/>
      <c r="AA198" s="18"/>
      <c r="AB198" s="75">
        <v>1500</v>
      </c>
      <c r="AC198" s="20">
        <v>47.88729855427728</v>
      </c>
      <c r="AD198" s="21">
        <v>45616</v>
      </c>
      <c r="AE198" s="22">
        <v>92463.150224897239</v>
      </c>
      <c r="AF198" s="23">
        <v>9206.6309333333484</v>
      </c>
      <c r="AG198" s="24">
        <v>107706.63093333367</v>
      </c>
      <c r="AH198" s="15">
        <v>0.5</v>
      </c>
      <c r="AI198" s="76"/>
      <c r="AJ198" s="77"/>
      <c r="AK198" s="77"/>
      <c r="AL198" s="77"/>
      <c r="AM198" s="77"/>
      <c r="AN198" s="76"/>
      <c r="AO198" s="76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6"/>
      <c r="BC198" s="76"/>
      <c r="BD198" s="77"/>
      <c r="BE198" s="77"/>
      <c r="BF198" s="77"/>
      <c r="BG198" s="77"/>
      <c r="BH198" s="77"/>
      <c r="BI198" s="77"/>
      <c r="BJ198" s="77"/>
      <c r="BK198" s="77"/>
      <c r="BL198" s="77"/>
      <c r="BM198" s="77"/>
      <c r="BN198" s="77"/>
      <c r="BO198" s="77"/>
      <c r="BP198" s="77"/>
    </row>
    <row r="199" spans="1:68" ht="15" customHeight="1" x14ac:dyDescent="0.25">
      <c r="A199" s="1">
        <f t="shared" si="15"/>
        <v>86</v>
      </c>
      <c r="B199" s="1" t="str">
        <f t="shared" si="12"/>
        <v xml:space="preserve">Stanford </v>
      </c>
      <c r="C199" s="1">
        <f t="shared" si="13"/>
        <v>0</v>
      </c>
      <c r="D199" s="2" t="str">
        <f t="shared" si="14"/>
        <v>2024-11</v>
      </c>
      <c r="E199" s="3" t="s">
        <v>233</v>
      </c>
      <c r="F199" s="4" t="s">
        <v>74</v>
      </c>
      <c r="G199" s="39">
        <v>45616</v>
      </c>
      <c r="H199" s="40">
        <v>-135</v>
      </c>
      <c r="I199" s="40">
        <v>106</v>
      </c>
      <c r="J199" s="7">
        <v>-106</v>
      </c>
      <c r="K199" s="8">
        <v>5.331999720529678E-2</v>
      </c>
      <c r="L199" s="9">
        <v>2.7436503416317759E-2</v>
      </c>
      <c r="M199" s="10">
        <v>-118.3404255319149</v>
      </c>
      <c r="N199" s="11">
        <v>1.9433962264150944</v>
      </c>
      <c r="O199" s="12">
        <v>3004.0761713766137</v>
      </c>
      <c r="P199" s="32" t="s">
        <v>143</v>
      </c>
      <c r="Q199" s="81" t="s">
        <v>76</v>
      </c>
      <c r="R199" s="82"/>
      <c r="S199" s="80"/>
      <c r="T199" s="32">
        <v>1106.23</v>
      </c>
      <c r="U199" s="32">
        <v>1106.23</v>
      </c>
      <c r="V199" s="74" t="s">
        <v>82</v>
      </c>
      <c r="W199" s="15"/>
      <c r="X199" s="15"/>
      <c r="Y199" s="16"/>
      <c r="Z199" s="17"/>
      <c r="AA199" s="18"/>
      <c r="AB199" s="75">
        <v>-1106.23</v>
      </c>
      <c r="AC199" s="20">
        <v>58.984180508415456</v>
      </c>
      <c r="AD199" s="21">
        <v>45616</v>
      </c>
      <c r="AE199" s="22">
        <v>92297.128284861537</v>
      </c>
      <c r="AF199" s="23">
        <v>5196.6309333333484</v>
      </c>
      <c r="AG199" s="24">
        <v>106302.86093333366</v>
      </c>
      <c r="AH199" s="15">
        <v>0.5</v>
      </c>
      <c r="AI199" s="76"/>
      <c r="AJ199" s="77"/>
      <c r="AK199" s="77"/>
      <c r="AL199" s="77"/>
      <c r="AM199" s="77"/>
      <c r="AN199" s="76"/>
      <c r="AO199" s="76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6"/>
      <c r="BC199" s="76"/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76"/>
    </row>
    <row r="200" spans="1:68" ht="15" customHeight="1" x14ac:dyDescent="0.25">
      <c r="A200" s="1">
        <f t="shared" si="15"/>
        <v>86</v>
      </c>
      <c r="B200" s="1" t="str">
        <f t="shared" si="12"/>
        <v xml:space="preserve">Stanford </v>
      </c>
      <c r="C200" s="1">
        <f t="shared" si="13"/>
        <v>0</v>
      </c>
      <c r="D200" s="2" t="str">
        <f t="shared" si="14"/>
        <v>2024-11</v>
      </c>
      <c r="E200" s="3" t="s">
        <v>233</v>
      </c>
      <c r="F200" s="4" t="s">
        <v>83</v>
      </c>
      <c r="G200" s="39">
        <v>45616</v>
      </c>
      <c r="H200" s="40">
        <v>-135</v>
      </c>
      <c r="I200" s="40">
        <v>106</v>
      </c>
      <c r="J200" s="7">
        <v>-107</v>
      </c>
      <c r="K200" s="8">
        <v>4.8541301999756065E-2</v>
      </c>
      <c r="L200" s="9">
        <v>2.509139765204782E-2</v>
      </c>
      <c r="M200" s="10">
        <v>-118.3404255319149</v>
      </c>
      <c r="N200" s="11">
        <v>1.9345794392523366</v>
      </c>
      <c r="O200" s="12">
        <v>2731.9140658481292</v>
      </c>
      <c r="P200" s="32" t="s">
        <v>143</v>
      </c>
      <c r="Q200" s="81" t="s">
        <v>76</v>
      </c>
      <c r="R200" s="82"/>
      <c r="S200" s="80"/>
      <c r="T200" s="32">
        <v>490</v>
      </c>
      <c r="U200" s="32">
        <v>633.6099999999999</v>
      </c>
      <c r="V200" s="74" t="s">
        <v>82</v>
      </c>
      <c r="W200" s="15"/>
      <c r="X200" s="15"/>
      <c r="Y200" s="16"/>
      <c r="Z200" s="17"/>
      <c r="AA200" s="18"/>
      <c r="AB200" s="75">
        <v>-490</v>
      </c>
      <c r="AC200" s="20">
        <v>23.785237979880471</v>
      </c>
      <c r="AD200" s="21">
        <v>45616</v>
      </c>
      <c r="AE200" s="22">
        <v>92320.913522841423</v>
      </c>
      <c r="AF200" s="23">
        <v>4706.6309333333484</v>
      </c>
      <c r="AG200" s="24">
        <v>105196.63093333367</v>
      </c>
      <c r="AH200" s="15">
        <v>0.5</v>
      </c>
      <c r="AI200" s="76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7"/>
      <c r="BN200" s="77"/>
      <c r="BO200" s="77"/>
      <c r="BP200" s="77"/>
    </row>
    <row r="201" spans="1:68" ht="15" customHeight="1" x14ac:dyDescent="0.25">
      <c r="A201" s="1">
        <f t="shared" si="15"/>
        <v>87</v>
      </c>
      <c r="B201" s="1" t="str">
        <f t="shared" si="12"/>
        <v xml:space="preserve">Stony </v>
      </c>
      <c r="C201" s="1">
        <f t="shared" si="13"/>
        <v>0</v>
      </c>
      <c r="D201" s="2" t="str">
        <f t="shared" si="14"/>
        <v>2024-11</v>
      </c>
      <c r="E201" s="3" t="s">
        <v>234</v>
      </c>
      <c r="F201" s="4" t="s">
        <v>74</v>
      </c>
      <c r="G201" s="39">
        <v>45616</v>
      </c>
      <c r="H201" s="40">
        <v>-141</v>
      </c>
      <c r="I201" s="40">
        <v>117</v>
      </c>
      <c r="J201" s="7">
        <v>-118</v>
      </c>
      <c r="K201" s="8">
        <v>3.3450847705526039E-2</v>
      </c>
      <c r="L201" s="9">
        <v>1.8106422152532442E-2</v>
      </c>
      <c r="M201" s="10">
        <v>-126.95850622406635</v>
      </c>
      <c r="N201" s="11">
        <v>1.847457627118644</v>
      </c>
      <c r="O201" s="12">
        <v>2154.1870000646113</v>
      </c>
      <c r="P201" s="32" t="s">
        <v>143</v>
      </c>
      <c r="Q201" s="81" t="s">
        <v>76</v>
      </c>
      <c r="R201" s="82"/>
      <c r="S201" s="80"/>
      <c r="T201" s="32">
        <v>1770</v>
      </c>
      <c r="U201" s="32">
        <v>2775.5</v>
      </c>
      <c r="V201" s="74" t="s">
        <v>82</v>
      </c>
      <c r="W201" s="15"/>
      <c r="X201" s="15"/>
      <c r="Y201" s="16"/>
      <c r="Z201" s="17"/>
      <c r="AA201" s="18"/>
      <c r="AB201" s="75">
        <v>-1770</v>
      </c>
      <c r="AC201" s="20">
        <v>59.208000438781092</v>
      </c>
      <c r="AD201" s="21">
        <v>45616</v>
      </c>
      <c r="AE201" s="22">
        <v>92544.59699297008</v>
      </c>
      <c r="AF201" s="23">
        <v>7380.1309333333484</v>
      </c>
      <c r="AG201" s="24">
        <v>109150.13093333367</v>
      </c>
      <c r="AH201" s="15">
        <v>0.5</v>
      </c>
      <c r="AI201" s="76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77"/>
    </row>
    <row r="202" spans="1:68" ht="15" customHeight="1" x14ac:dyDescent="0.25">
      <c r="A202" s="1">
        <f t="shared" si="15"/>
        <v>88</v>
      </c>
      <c r="B202" s="1" t="str">
        <f t="shared" si="12"/>
        <v xml:space="preserve">Jazz </v>
      </c>
      <c r="C202" s="1">
        <f t="shared" si="13"/>
        <v>1</v>
      </c>
      <c r="D202" s="2" t="str">
        <f t="shared" si="14"/>
        <v>2024-11</v>
      </c>
      <c r="E202" s="3" t="s">
        <v>235</v>
      </c>
      <c r="F202" s="4" t="s">
        <v>74</v>
      </c>
      <c r="G202" s="39">
        <v>45617</v>
      </c>
      <c r="H202" s="40">
        <v>-105</v>
      </c>
      <c r="I202" s="40">
        <v>-109</v>
      </c>
      <c r="J202" s="7">
        <v>110</v>
      </c>
      <c r="K202" s="8">
        <v>4.0517046737412687E-2</v>
      </c>
      <c r="L202" s="9">
        <v>1.9293831779720327E-2</v>
      </c>
      <c r="M202" s="10">
        <v>101.82273866484391</v>
      </c>
      <c r="N202" s="11">
        <v>2.1</v>
      </c>
      <c r="O202" s="12">
        <v>2116.9157978649823</v>
      </c>
      <c r="P202" s="32" t="s">
        <v>75</v>
      </c>
      <c r="Q202" s="81" t="s">
        <v>92</v>
      </c>
      <c r="R202" s="82"/>
      <c r="S202" s="32"/>
      <c r="T202" s="32">
        <v>1142.5450000000001</v>
      </c>
      <c r="U202" s="32">
        <v>1142.5450000000001</v>
      </c>
      <c r="V202" s="74" t="s">
        <v>77</v>
      </c>
      <c r="W202" s="15"/>
      <c r="X202" s="15"/>
      <c r="Y202" s="16"/>
      <c r="Z202" s="17"/>
      <c r="AA202" s="18"/>
      <c r="AB202" s="75">
        <v>1256.8</v>
      </c>
      <c r="AC202" s="20">
        <v>46.292549164597183</v>
      </c>
      <c r="AD202" s="21">
        <v>45617</v>
      </c>
      <c r="AE202" s="22">
        <v>93808.921371362187</v>
      </c>
      <c r="AF202" s="23">
        <v>16201.375933333344</v>
      </c>
      <c r="AG202" s="24">
        <v>114944.57593333366</v>
      </c>
      <c r="AH202" s="15">
        <v>0.5</v>
      </c>
      <c r="AI202" s="76"/>
      <c r="AJ202" s="83"/>
      <c r="AK202" s="83"/>
      <c r="AL202" s="83"/>
      <c r="AM202" s="83"/>
      <c r="AN202" s="83"/>
      <c r="AO202" s="83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83"/>
      <c r="BC202" s="83"/>
      <c r="BD202" s="77"/>
      <c r="BE202" s="77"/>
      <c r="BF202" s="77"/>
      <c r="BG202" s="77"/>
      <c r="BH202" s="77"/>
      <c r="BI202" s="77"/>
      <c r="BJ202" s="77"/>
      <c r="BK202" s="77"/>
      <c r="BL202" s="77"/>
      <c r="BM202" s="77"/>
      <c r="BN202" s="77"/>
      <c r="BO202" s="77"/>
      <c r="BP202" s="77"/>
    </row>
    <row r="203" spans="1:68" ht="15" customHeight="1" x14ac:dyDescent="0.25">
      <c r="A203" s="1">
        <f t="shared" si="15"/>
        <v>89</v>
      </c>
      <c r="B203" s="1" t="str">
        <f t="shared" si="12"/>
        <v xml:space="preserve">Lindenwood </v>
      </c>
      <c r="C203" s="1">
        <f t="shared" si="13"/>
        <v>1</v>
      </c>
      <c r="D203" s="2" t="str">
        <f t="shared" si="14"/>
        <v>2024-11</v>
      </c>
      <c r="E203" s="3" t="s">
        <v>236</v>
      </c>
      <c r="F203" s="4" t="s">
        <v>74</v>
      </c>
      <c r="G203" s="39">
        <v>45617</v>
      </c>
      <c r="H203" s="40">
        <v>-120</v>
      </c>
      <c r="I203" s="40">
        <v>-101</v>
      </c>
      <c r="J203" s="7">
        <v>100</v>
      </c>
      <c r="K203" s="8">
        <v>4.1001294777729846E-2</v>
      </c>
      <c r="L203" s="9">
        <v>2.0500647388864923E-2</v>
      </c>
      <c r="M203" s="10">
        <v>-108.55085508550856</v>
      </c>
      <c r="N203" s="11">
        <v>2</v>
      </c>
      <c r="O203" s="12">
        <v>2210.3989887066691</v>
      </c>
      <c r="P203" s="32" t="s">
        <v>143</v>
      </c>
      <c r="Q203" s="81" t="s">
        <v>92</v>
      </c>
      <c r="R203" s="82"/>
      <c r="S203" s="80"/>
      <c r="T203" s="32">
        <v>1047.335</v>
      </c>
      <c r="U203" s="32">
        <v>1047.335</v>
      </c>
      <c r="V203" s="74" t="s">
        <v>77</v>
      </c>
      <c r="W203" s="15"/>
      <c r="X203" s="15"/>
      <c r="Y203" s="16"/>
      <c r="Z203" s="17"/>
      <c r="AA203" s="18"/>
      <c r="AB203" s="75">
        <v>1047.3399999999999</v>
      </c>
      <c r="AC203" s="20">
        <v>42.94209106603369</v>
      </c>
      <c r="AD203" s="21">
        <v>45617</v>
      </c>
      <c r="AE203" s="22">
        <v>93565.061040336455</v>
      </c>
      <c r="AF203" s="23">
        <v>8868.2759333333452</v>
      </c>
      <c r="AG203" s="24">
        <v>107820.93593333366</v>
      </c>
      <c r="AH203" s="15">
        <v>0.5</v>
      </c>
      <c r="AI203" s="76"/>
      <c r="AJ203" s="83"/>
      <c r="AK203" s="83"/>
      <c r="AL203" s="83"/>
      <c r="AM203" s="83"/>
      <c r="AN203" s="77"/>
      <c r="AO203" s="77"/>
      <c r="AP203" s="77"/>
      <c r="AQ203" s="77"/>
      <c r="AR203" s="77"/>
      <c r="AS203" s="77"/>
      <c r="AT203" s="83"/>
      <c r="AU203" s="83"/>
      <c r="AV203" s="83"/>
      <c r="AW203" s="83"/>
      <c r="AX203" s="77"/>
      <c r="AY203" s="77"/>
      <c r="AZ203" s="77"/>
      <c r="BA203" s="77"/>
      <c r="BB203" s="83"/>
      <c r="BC203" s="83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77"/>
    </row>
    <row r="204" spans="1:68" ht="15" customHeight="1" x14ac:dyDescent="0.25">
      <c r="A204" s="1">
        <f t="shared" si="15"/>
        <v>89</v>
      </c>
      <c r="B204" s="1" t="str">
        <f t="shared" si="12"/>
        <v xml:space="preserve">Lindenwood </v>
      </c>
      <c r="C204" s="1">
        <f t="shared" si="13"/>
        <v>1</v>
      </c>
      <c r="D204" s="2" t="str">
        <f t="shared" si="14"/>
        <v>2024-11</v>
      </c>
      <c r="E204" s="3" t="s">
        <v>236</v>
      </c>
      <c r="F204" s="4" t="s">
        <v>83</v>
      </c>
      <c r="G204" s="39">
        <v>45617</v>
      </c>
      <c r="H204" s="40">
        <v>-120</v>
      </c>
      <c r="I204" s="40">
        <v>-101</v>
      </c>
      <c r="J204" s="7">
        <v>100</v>
      </c>
      <c r="K204" s="8">
        <v>4.1001294777729846E-2</v>
      </c>
      <c r="L204" s="9">
        <v>2.0500647388864923E-2</v>
      </c>
      <c r="M204" s="10">
        <v>-108.55085508550856</v>
      </c>
      <c r="N204" s="11">
        <v>2</v>
      </c>
      <c r="O204" s="12">
        <v>2231.8701367429226</v>
      </c>
      <c r="P204" s="32" t="s">
        <v>143</v>
      </c>
      <c r="Q204" s="81" t="s">
        <v>92</v>
      </c>
      <c r="R204" s="82"/>
      <c r="S204" s="80"/>
      <c r="T204" s="32">
        <v>452.67</v>
      </c>
      <c r="U204" s="32">
        <v>599.92999999999984</v>
      </c>
      <c r="V204" s="74" t="s">
        <v>77</v>
      </c>
      <c r="W204" s="15"/>
      <c r="X204" s="15"/>
      <c r="Y204" s="16"/>
      <c r="Z204" s="17"/>
      <c r="AA204" s="18"/>
      <c r="AB204" s="75">
        <v>452.67</v>
      </c>
      <c r="AC204" s="20">
        <v>18.560056107034971</v>
      </c>
      <c r="AD204" s="21">
        <v>45617</v>
      </c>
      <c r="AE204" s="22">
        <v>93583.621096443487</v>
      </c>
      <c r="AF204" s="23">
        <v>9320.9459333333452</v>
      </c>
      <c r="AG204" s="24">
        <v>108868.27593333366</v>
      </c>
      <c r="AH204" s="15">
        <v>0.5</v>
      </c>
      <c r="AI204" s="76"/>
      <c r="AJ204" s="83"/>
      <c r="AK204" s="83"/>
      <c r="AL204" s="83"/>
      <c r="AM204" s="83"/>
      <c r="AN204" s="83"/>
      <c r="AO204" s="83"/>
      <c r="AP204" s="77"/>
      <c r="AQ204" s="77"/>
      <c r="AR204" s="77"/>
      <c r="AS204" s="77"/>
      <c r="AT204" s="77"/>
      <c r="AU204" s="77"/>
      <c r="AV204" s="77"/>
      <c r="AW204" s="77"/>
      <c r="AX204" s="83"/>
      <c r="AY204" s="83"/>
      <c r="AZ204" s="83"/>
      <c r="BA204" s="83"/>
      <c r="BB204" s="83"/>
      <c r="BC204" s="83"/>
      <c r="BD204" s="77"/>
      <c r="BE204" s="77"/>
      <c r="BF204" s="83"/>
      <c r="BG204" s="83"/>
      <c r="BH204" s="77"/>
      <c r="BI204" s="77"/>
      <c r="BJ204" s="77"/>
      <c r="BK204" s="77"/>
      <c r="BL204" s="77"/>
      <c r="BM204" s="77"/>
      <c r="BN204" s="77"/>
      <c r="BO204" s="77"/>
      <c r="BP204" s="77"/>
    </row>
    <row r="205" spans="1:68" ht="15" customHeight="1" x14ac:dyDescent="0.25">
      <c r="A205" s="1">
        <f t="shared" si="15"/>
        <v>89</v>
      </c>
      <c r="B205" s="1" t="str">
        <f t="shared" si="12"/>
        <v xml:space="preserve">Lindenwood </v>
      </c>
      <c r="C205" s="1">
        <f t="shared" si="13"/>
        <v>1</v>
      </c>
      <c r="D205" s="2" t="str">
        <f t="shared" si="14"/>
        <v>2024-11</v>
      </c>
      <c r="E205" s="3" t="s">
        <v>237</v>
      </c>
      <c r="F205" s="4" t="s">
        <v>74</v>
      </c>
      <c r="G205" s="39">
        <v>45617</v>
      </c>
      <c r="H205" s="40">
        <v>-114</v>
      </c>
      <c r="I205" s="40">
        <v>-108</v>
      </c>
      <c r="J205" s="7">
        <v>105</v>
      </c>
      <c r="K205" s="8">
        <v>3.8134290107637088E-2</v>
      </c>
      <c r="L205" s="9">
        <v>1.8602092735432729E-2</v>
      </c>
      <c r="M205" s="10">
        <v>-102.59605399792318</v>
      </c>
      <c r="N205" s="11">
        <v>2.0499999999999998</v>
      </c>
      <c r="O205" s="12">
        <v>1985.1793652681217</v>
      </c>
      <c r="P205" s="32" t="s">
        <v>143</v>
      </c>
      <c r="Q205" s="81" t="s">
        <v>92</v>
      </c>
      <c r="R205" s="79"/>
      <c r="S205" s="80"/>
      <c r="T205" s="32">
        <v>997.46</v>
      </c>
      <c r="U205" s="32">
        <v>997.46</v>
      </c>
      <c r="V205" s="74" t="s">
        <v>77</v>
      </c>
      <c r="W205" s="15"/>
      <c r="X205" s="15"/>
      <c r="Y205" s="16"/>
      <c r="Z205" s="17"/>
      <c r="AA205" s="18"/>
      <c r="AB205" s="75">
        <v>1047.33</v>
      </c>
      <c r="AC205" s="20">
        <v>38.037429010763688</v>
      </c>
      <c r="AD205" s="21">
        <v>45617</v>
      </c>
      <c r="AE205" s="22">
        <v>93621.658525454244</v>
      </c>
      <c r="AF205" s="23">
        <v>10368.275933333345</v>
      </c>
      <c r="AG205" s="24">
        <v>109320.94593333366</v>
      </c>
      <c r="AH205" s="15">
        <v>0.5</v>
      </c>
      <c r="AI205" s="76"/>
      <c r="AJ205" s="83"/>
      <c r="AK205" s="83"/>
      <c r="AL205" s="83"/>
      <c r="AM205" s="83"/>
      <c r="AN205" s="83"/>
      <c r="AO205" s="83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83"/>
      <c r="BC205" s="83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</row>
    <row r="206" spans="1:68" ht="15" customHeight="1" x14ac:dyDescent="0.25">
      <c r="A206" s="1">
        <f t="shared" si="15"/>
        <v>89</v>
      </c>
      <c r="B206" s="1" t="str">
        <f t="shared" si="12"/>
        <v xml:space="preserve">Lindenwood </v>
      </c>
      <c r="C206" s="1">
        <f t="shared" si="13"/>
        <v>1</v>
      </c>
      <c r="D206" s="2" t="str">
        <f t="shared" si="14"/>
        <v>2024-11</v>
      </c>
      <c r="E206" s="3" t="s">
        <v>237</v>
      </c>
      <c r="F206" s="4" t="s">
        <v>83</v>
      </c>
      <c r="G206" s="39">
        <v>45617</v>
      </c>
      <c r="H206" s="40">
        <v>-114</v>
      </c>
      <c r="I206" s="40">
        <v>-108</v>
      </c>
      <c r="J206" s="7">
        <v>105</v>
      </c>
      <c r="K206" s="8">
        <v>3.8134290107637088E-2</v>
      </c>
      <c r="L206" s="9">
        <v>1.8602092735432729E-2</v>
      </c>
      <c r="M206" s="10">
        <v>-102.59605399792318</v>
      </c>
      <c r="N206" s="11">
        <v>2.0499999999999998</v>
      </c>
      <c r="O206" s="12">
        <v>2004.1980252959463</v>
      </c>
      <c r="P206" s="32" t="s">
        <v>143</v>
      </c>
      <c r="Q206" s="81" t="s">
        <v>92</v>
      </c>
      <c r="R206" s="82"/>
      <c r="S206" s="80"/>
      <c r="T206" s="32">
        <v>501.23500000000001</v>
      </c>
      <c r="U206" s="32">
        <v>501.23500000000001</v>
      </c>
      <c r="V206" s="74" t="s">
        <v>77</v>
      </c>
      <c r="W206" s="15"/>
      <c r="X206" s="15"/>
      <c r="Y206" s="16"/>
      <c r="Z206" s="17"/>
      <c r="AA206" s="18"/>
      <c r="AB206" s="75">
        <v>526.29999999999995</v>
      </c>
      <c r="AC206" s="20">
        <v>19.114240902101475</v>
      </c>
      <c r="AD206" s="21">
        <v>45617</v>
      </c>
      <c r="AE206" s="22">
        <v>93640.772766356342</v>
      </c>
      <c r="AF206" s="23">
        <v>10894.575933333344</v>
      </c>
      <c r="AG206" s="24">
        <v>110368.27593333366</v>
      </c>
      <c r="AH206" s="15">
        <v>0.5</v>
      </c>
      <c r="AI206" s="76"/>
      <c r="AJ206" s="83"/>
      <c r="AK206" s="83"/>
      <c r="AL206" s="83"/>
      <c r="AM206" s="83"/>
      <c r="AN206" s="77"/>
      <c r="AO206" s="77"/>
      <c r="AP206" s="77"/>
      <c r="AQ206" s="77"/>
      <c r="AR206" s="77"/>
      <c r="AS206" s="77"/>
      <c r="AT206" s="83"/>
      <c r="AU206" s="83"/>
      <c r="AV206" s="83"/>
      <c r="AW206" s="83"/>
      <c r="AX206" s="77"/>
      <c r="AY206" s="77"/>
      <c r="AZ206" s="77"/>
      <c r="BA206" s="77"/>
      <c r="BB206" s="83"/>
      <c r="BC206" s="83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77"/>
    </row>
    <row r="207" spans="1:68" ht="15" customHeight="1" x14ac:dyDescent="0.25">
      <c r="A207" s="1">
        <f t="shared" si="15"/>
        <v>89</v>
      </c>
      <c r="B207" s="1" t="str">
        <f t="shared" si="12"/>
        <v xml:space="preserve">Lindenwood </v>
      </c>
      <c r="C207" s="1">
        <f t="shared" si="13"/>
        <v>1</v>
      </c>
      <c r="D207" s="2" t="str">
        <f t="shared" si="14"/>
        <v>2024-11</v>
      </c>
      <c r="E207" s="3" t="s">
        <v>238</v>
      </c>
      <c r="F207" s="4" t="s">
        <v>74</v>
      </c>
      <c r="G207" s="39">
        <v>45617</v>
      </c>
      <c r="H207" s="40">
        <v>-128</v>
      </c>
      <c r="I207" s="40">
        <v>104</v>
      </c>
      <c r="J207" s="7">
        <v>-107</v>
      </c>
      <c r="K207" s="8">
        <v>3.2788238423229643E-2</v>
      </c>
      <c r="L207" s="9">
        <v>1.694850971635542E-2</v>
      </c>
      <c r="M207" s="10">
        <v>-114.52631578947366</v>
      </c>
      <c r="N207" s="11">
        <v>1.9345794392523366</v>
      </c>
      <c r="O207" s="12">
        <v>1945.280220616622</v>
      </c>
      <c r="P207" s="32" t="s">
        <v>143</v>
      </c>
      <c r="Q207" s="81" t="s">
        <v>92</v>
      </c>
      <c r="R207" s="82"/>
      <c r="S207" s="32"/>
      <c r="T207" s="32">
        <v>1114.1849999999999</v>
      </c>
      <c r="U207" s="32">
        <v>1114.1849999999999</v>
      </c>
      <c r="V207" s="74" t="s">
        <v>77</v>
      </c>
      <c r="W207" s="15"/>
      <c r="X207" s="15"/>
      <c r="Y207" s="16"/>
      <c r="Z207" s="17"/>
      <c r="AA207" s="18"/>
      <c r="AB207" s="75">
        <v>1041.29</v>
      </c>
      <c r="AC207" s="20">
        <v>36.53216342758612</v>
      </c>
      <c r="AD207" s="21">
        <v>45617</v>
      </c>
      <c r="AE207" s="22">
        <v>93677.304929783932</v>
      </c>
      <c r="AF207" s="23">
        <v>11935.865933333345</v>
      </c>
      <c r="AG207" s="24">
        <v>110894.57593333366</v>
      </c>
      <c r="AH207" s="15">
        <v>0.5</v>
      </c>
      <c r="AI207" s="76"/>
      <c r="AJ207" s="77"/>
      <c r="AK207" s="77"/>
      <c r="AL207" s="77"/>
      <c r="AM207" s="77"/>
      <c r="AN207" s="83"/>
      <c r="AO207" s="83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7"/>
      <c r="BN207" s="77"/>
      <c r="BO207" s="77"/>
      <c r="BP207" s="77"/>
    </row>
    <row r="208" spans="1:68" ht="15" customHeight="1" x14ac:dyDescent="0.25">
      <c r="A208" s="1">
        <f t="shared" si="15"/>
        <v>89</v>
      </c>
      <c r="B208" s="1" t="str">
        <f t="shared" si="12"/>
        <v xml:space="preserve">Lindenwood </v>
      </c>
      <c r="C208" s="1">
        <f t="shared" si="13"/>
        <v>1</v>
      </c>
      <c r="D208" s="2" t="str">
        <f t="shared" si="14"/>
        <v>2024-11</v>
      </c>
      <c r="E208" s="3" t="s">
        <v>238</v>
      </c>
      <c r="F208" s="4" t="s">
        <v>83</v>
      </c>
      <c r="G208" s="39">
        <v>45617</v>
      </c>
      <c r="H208" s="40">
        <v>-128</v>
      </c>
      <c r="I208" s="40">
        <v>104</v>
      </c>
      <c r="J208" s="7">
        <v>-107</v>
      </c>
      <c r="K208" s="8">
        <v>3.2788238423229643E-2</v>
      </c>
      <c r="L208" s="9">
        <v>1.694850971635542E-2</v>
      </c>
      <c r="M208" s="10">
        <v>-114.52631578947366</v>
      </c>
      <c r="N208" s="11">
        <v>1.9345794392523366</v>
      </c>
      <c r="O208" s="12">
        <v>1963.5462252780546</v>
      </c>
      <c r="P208" s="32" t="s">
        <v>143</v>
      </c>
      <c r="Q208" s="81" t="s">
        <v>92</v>
      </c>
      <c r="R208" s="82"/>
      <c r="S208" s="32"/>
      <c r="T208" s="32">
        <v>490.82</v>
      </c>
      <c r="U208" s="32">
        <v>628.96</v>
      </c>
      <c r="V208" s="74" t="s">
        <v>77</v>
      </c>
      <c r="W208" s="15"/>
      <c r="X208" s="15"/>
      <c r="Y208" s="16"/>
      <c r="Z208" s="17"/>
      <c r="AA208" s="18"/>
      <c r="AB208" s="75">
        <v>458.71</v>
      </c>
      <c r="AC208" s="20">
        <v>16.093123182889574</v>
      </c>
      <c r="AD208" s="21">
        <v>45617</v>
      </c>
      <c r="AE208" s="22">
        <v>93693.398052966819</v>
      </c>
      <c r="AF208" s="23">
        <v>12394.575933333344</v>
      </c>
      <c r="AG208" s="24">
        <v>111935.86593333365</v>
      </c>
      <c r="AH208" s="15">
        <v>0.5</v>
      </c>
      <c r="AI208" s="76"/>
      <c r="AJ208" s="77"/>
      <c r="AK208" s="77"/>
      <c r="AL208" s="77"/>
      <c r="AM208" s="77"/>
      <c r="AN208" s="83"/>
      <c r="AO208" s="83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83"/>
      <c r="BC208" s="83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83"/>
    </row>
    <row r="209" spans="1:68" ht="15" customHeight="1" x14ac:dyDescent="0.25">
      <c r="A209" s="1">
        <f t="shared" si="15"/>
        <v>90</v>
      </c>
      <c r="B209" s="1" t="str">
        <f t="shared" si="12"/>
        <v xml:space="preserve">Magic </v>
      </c>
      <c r="C209" s="1">
        <f t="shared" si="13"/>
        <v>1</v>
      </c>
      <c r="D209" s="2" t="str">
        <f t="shared" si="14"/>
        <v>2024-11</v>
      </c>
      <c r="E209" s="3" t="s">
        <v>239</v>
      </c>
      <c r="F209" s="4" t="s">
        <v>74</v>
      </c>
      <c r="G209" s="39">
        <v>45617</v>
      </c>
      <c r="H209" s="40">
        <v>-118</v>
      </c>
      <c r="I209" s="40">
        <v>102</v>
      </c>
      <c r="J209" s="7">
        <v>-113</v>
      </c>
      <c r="K209" s="8">
        <v>-1.5474508946127946E-2</v>
      </c>
      <c r="L209" s="9">
        <v>-8.2094812718894739E-3</v>
      </c>
      <c r="M209" s="10">
        <v>-109.33944954128437</v>
      </c>
      <c r="N209" s="11">
        <v>1.8849557522123894</v>
      </c>
      <c r="O209" s="12">
        <v>-942.22483395566269</v>
      </c>
      <c r="P209" s="32" t="s">
        <v>75</v>
      </c>
      <c r="Q209" s="81" t="s">
        <v>92</v>
      </c>
      <c r="R209" s="82"/>
      <c r="S209" s="80"/>
      <c r="T209" s="32">
        <v>706.06500000000005</v>
      </c>
      <c r="U209" s="32">
        <v>706.06500000000005</v>
      </c>
      <c r="V209" s="74" t="s">
        <v>77</v>
      </c>
      <c r="W209" s="15"/>
      <c r="X209" s="15"/>
      <c r="Y209" s="16"/>
      <c r="Z209" s="17"/>
      <c r="AA209" s="18"/>
      <c r="AB209" s="75">
        <v>624.84</v>
      </c>
      <c r="AC209" s="20">
        <v>-10.92600915904783</v>
      </c>
      <c r="AD209" s="21">
        <v>45617</v>
      </c>
      <c r="AE209" s="22">
        <v>93129.501010901949</v>
      </c>
      <c r="AF209" s="23">
        <v>8392.6909333333497</v>
      </c>
      <c r="AG209" s="24">
        <v>107767.85093333366</v>
      </c>
      <c r="AH209" s="15">
        <v>0.5</v>
      </c>
      <c r="AI209" s="76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</row>
    <row r="210" spans="1:68" ht="15" customHeight="1" x14ac:dyDescent="0.25">
      <c r="A210" s="1">
        <f t="shared" si="15"/>
        <v>90</v>
      </c>
      <c r="B210" s="1" t="str">
        <f t="shared" si="12"/>
        <v xml:space="preserve">Magic </v>
      </c>
      <c r="C210" s="1">
        <f t="shared" si="13"/>
        <v>1</v>
      </c>
      <c r="D210" s="2" t="str">
        <f t="shared" si="14"/>
        <v>2024-11</v>
      </c>
      <c r="E210" s="3" t="s">
        <v>239</v>
      </c>
      <c r="F210" s="4" t="s">
        <v>83</v>
      </c>
      <c r="G210" s="39">
        <v>45617</v>
      </c>
      <c r="H210" s="40">
        <v>-118</v>
      </c>
      <c r="I210" s="40">
        <v>102</v>
      </c>
      <c r="J210" s="7">
        <v>-113</v>
      </c>
      <c r="K210" s="8">
        <v>-1.5474508946127946E-2</v>
      </c>
      <c r="L210" s="9">
        <v>-8.2094812718894739E-3</v>
      </c>
      <c r="M210" s="10">
        <v>-109.33944954128437</v>
      </c>
      <c r="N210" s="11">
        <v>1.8849557522123894</v>
      </c>
      <c r="O210" s="12">
        <v>-947.68787103165539</v>
      </c>
      <c r="P210" s="32" t="s">
        <v>75</v>
      </c>
      <c r="Q210" s="81" t="s">
        <v>92</v>
      </c>
      <c r="R210" s="82"/>
      <c r="S210" s="80"/>
      <c r="T210" s="32">
        <v>354.80500000000001</v>
      </c>
      <c r="U210" s="32">
        <v>354.80500000000001</v>
      </c>
      <c r="V210" s="74" t="s">
        <v>77</v>
      </c>
      <c r="W210" s="15"/>
      <c r="X210" s="15"/>
      <c r="Y210" s="16"/>
      <c r="Z210" s="17"/>
      <c r="AA210" s="18"/>
      <c r="AB210" s="75">
        <v>313.99</v>
      </c>
      <c r="AC210" s="20">
        <v>-5.4904331466309264</v>
      </c>
      <c r="AD210" s="21">
        <v>45617</v>
      </c>
      <c r="AE210" s="22">
        <v>93124.010577755325</v>
      </c>
      <c r="AF210" s="23">
        <v>8706.6809333333495</v>
      </c>
      <c r="AG210" s="24">
        <v>108392.69093333365</v>
      </c>
      <c r="AH210" s="15">
        <v>0.5</v>
      </c>
      <c r="AI210" s="76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  <c r="BM210" s="77"/>
      <c r="BN210" s="77"/>
      <c r="BO210" s="77"/>
      <c r="BP210" s="77"/>
    </row>
    <row r="211" spans="1:68" ht="15" customHeight="1" x14ac:dyDescent="0.25">
      <c r="A211" s="1">
        <f t="shared" si="15"/>
        <v>90</v>
      </c>
      <c r="B211" s="1" t="str">
        <f t="shared" si="12"/>
        <v xml:space="preserve">Magic </v>
      </c>
      <c r="C211" s="1">
        <f t="shared" si="13"/>
        <v>1</v>
      </c>
      <c r="D211" s="2" t="str">
        <f t="shared" si="14"/>
        <v>2024-11</v>
      </c>
      <c r="E211" s="3" t="s">
        <v>240</v>
      </c>
      <c r="F211" s="4" t="s">
        <v>74</v>
      </c>
      <c r="G211" s="39">
        <v>45617</v>
      </c>
      <c r="H211" s="40">
        <v>-103</v>
      </c>
      <c r="I211" s="40">
        <v>-111</v>
      </c>
      <c r="J211" s="7">
        <v>102</v>
      </c>
      <c r="K211" s="8">
        <v>-8.253286947092776E-3</v>
      </c>
      <c r="L211" s="9">
        <v>-4.0857856173726614E-3</v>
      </c>
      <c r="M211" s="10">
        <v>103.6810380527309</v>
      </c>
      <c r="N211" s="11">
        <v>2.02</v>
      </c>
      <c r="O211" s="12">
        <v>-423.55808304148189</v>
      </c>
      <c r="P211" s="32" t="s">
        <v>75</v>
      </c>
      <c r="Q211" s="81" t="s">
        <v>92</v>
      </c>
      <c r="R211" s="82"/>
      <c r="S211" s="80"/>
      <c r="T211" s="32">
        <v>616.08000000000004</v>
      </c>
      <c r="U211" s="32">
        <v>616.08000000000004</v>
      </c>
      <c r="V211" s="74" t="s">
        <v>77</v>
      </c>
      <c r="W211" s="15"/>
      <c r="X211" s="15"/>
      <c r="Y211" s="16"/>
      <c r="Z211" s="17"/>
      <c r="AA211" s="18"/>
      <c r="AB211" s="75">
        <v>628.4</v>
      </c>
      <c r="AC211" s="20">
        <v>-5.0846850223649174</v>
      </c>
      <c r="AD211" s="21">
        <v>45617</v>
      </c>
      <c r="AE211" s="22">
        <v>93259.710278563653</v>
      </c>
      <c r="AF211" s="23">
        <v>5321.0509333333466</v>
      </c>
      <c r="AG211" s="24">
        <v>104692.65093333366</v>
      </c>
      <c r="AH211" s="15">
        <v>0.5</v>
      </c>
      <c r="AI211" s="76"/>
      <c r="AJ211" s="76"/>
      <c r="AK211" s="76"/>
      <c r="AL211" s="76"/>
      <c r="AM211" s="76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6"/>
      <c r="BC211" s="76"/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76"/>
    </row>
    <row r="212" spans="1:68" ht="15" customHeight="1" x14ac:dyDescent="0.25">
      <c r="A212" s="1">
        <f t="shared" si="15"/>
        <v>90</v>
      </c>
      <c r="B212" s="1" t="str">
        <f t="shared" si="12"/>
        <v xml:space="preserve">Magic </v>
      </c>
      <c r="C212" s="1">
        <f t="shared" si="13"/>
        <v>1</v>
      </c>
      <c r="D212" s="2" t="str">
        <f t="shared" si="14"/>
        <v>2024-11</v>
      </c>
      <c r="E212" s="3" t="s">
        <v>240</v>
      </c>
      <c r="F212" s="4" t="s">
        <v>83</v>
      </c>
      <c r="G212" s="39">
        <v>45617</v>
      </c>
      <c r="H212" s="40">
        <v>-103</v>
      </c>
      <c r="I212" s="40">
        <v>-111</v>
      </c>
      <c r="J212" s="7">
        <v>102</v>
      </c>
      <c r="K212" s="8">
        <v>-8.253286947092776E-3</v>
      </c>
      <c r="L212" s="9">
        <v>-4.0857856173726614E-3</v>
      </c>
      <c r="M212" s="10">
        <v>103.6810380527309</v>
      </c>
      <c r="N212" s="11">
        <v>2.02</v>
      </c>
      <c r="O212" s="12">
        <v>-426.10041907949812</v>
      </c>
      <c r="P212" s="32" t="s">
        <v>75</v>
      </c>
      <c r="Q212" s="81" t="s">
        <v>92</v>
      </c>
      <c r="R212" s="82"/>
      <c r="S212" s="80"/>
      <c r="T212" s="32">
        <v>309.58499999999998</v>
      </c>
      <c r="U212" s="32">
        <v>309.58499999999998</v>
      </c>
      <c r="V212" s="74" t="s">
        <v>77</v>
      </c>
      <c r="W212" s="15"/>
      <c r="X212" s="15"/>
      <c r="Y212" s="16"/>
      <c r="Z212" s="17"/>
      <c r="AA212" s="18"/>
      <c r="AB212" s="75">
        <v>315.77999999999997</v>
      </c>
      <c r="AC212" s="20">
        <v>-2.5550938395157168</v>
      </c>
      <c r="AD212" s="21">
        <v>45617</v>
      </c>
      <c r="AE212" s="22">
        <v>93257.155184724135</v>
      </c>
      <c r="AF212" s="23">
        <v>5636.8309333333464</v>
      </c>
      <c r="AG212" s="24">
        <v>105321.05093333365</v>
      </c>
      <c r="AH212" s="15">
        <v>0.5</v>
      </c>
      <c r="AI212" s="76"/>
      <c r="AJ212" s="77"/>
      <c r="AK212" s="77"/>
      <c r="AL212" s="77"/>
      <c r="AM212" s="77"/>
      <c r="AN212" s="76"/>
      <c r="AO212" s="76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6"/>
      <c r="BC212" s="76"/>
      <c r="BD212" s="77"/>
      <c r="BE212" s="77"/>
      <c r="BF212" s="77"/>
      <c r="BG212" s="77"/>
      <c r="BH212" s="77"/>
      <c r="BI212" s="77"/>
      <c r="BJ212" s="77"/>
      <c r="BK212" s="77"/>
      <c r="BL212" s="77"/>
      <c r="BM212" s="77"/>
      <c r="BN212" s="77"/>
      <c r="BO212" s="77"/>
      <c r="BP212" s="77"/>
    </row>
    <row r="213" spans="1:68" ht="15" customHeight="1" x14ac:dyDescent="0.25">
      <c r="A213" s="1">
        <f t="shared" si="15"/>
        <v>91</v>
      </c>
      <c r="B213" s="1" t="str">
        <f t="shared" si="12"/>
        <v xml:space="preserve">Raptors </v>
      </c>
      <c r="C213" s="1">
        <f t="shared" si="13"/>
        <v>0</v>
      </c>
      <c r="D213" s="2" t="str">
        <f t="shared" si="14"/>
        <v>2024-11</v>
      </c>
      <c r="E213" s="3" t="s">
        <v>241</v>
      </c>
      <c r="F213" s="4" t="s">
        <v>74</v>
      </c>
      <c r="G213" s="39">
        <v>45617</v>
      </c>
      <c r="H213" s="40">
        <v>181</v>
      </c>
      <c r="I213" s="40">
        <v>-208</v>
      </c>
      <c r="J213" s="7">
        <v>210</v>
      </c>
      <c r="K213" s="8">
        <v>6.9827895302975951E-2</v>
      </c>
      <c r="L213" s="9">
        <v>2.2525127517089016E-2</v>
      </c>
      <c r="M213" s="10">
        <v>189.76623376623377</v>
      </c>
      <c r="N213" s="11">
        <v>3.1</v>
      </c>
      <c r="O213" s="12">
        <v>1814.3107867870992</v>
      </c>
      <c r="P213" s="32" t="s">
        <v>75</v>
      </c>
      <c r="Q213" s="81" t="s">
        <v>81</v>
      </c>
      <c r="R213" s="82"/>
      <c r="S213" s="80"/>
      <c r="T213" s="32">
        <v>498.73</v>
      </c>
      <c r="U213" s="32">
        <v>498.73</v>
      </c>
      <c r="V213" s="74" t="s">
        <v>77</v>
      </c>
      <c r="W213" s="15"/>
      <c r="X213" s="15"/>
      <c r="Y213" s="16"/>
      <c r="Z213" s="17"/>
      <c r="AA213" s="18"/>
      <c r="AB213" s="75">
        <v>1047.33</v>
      </c>
      <c r="AC213" s="20">
        <v>34.825266224453195</v>
      </c>
      <c r="AD213" s="21">
        <v>45617</v>
      </c>
      <c r="AE213" s="22">
        <v>92843.782995490445</v>
      </c>
      <c r="AF213" s="23">
        <v>10174.28093333335</v>
      </c>
      <c r="AG213" s="24">
        <v>109126.95093333366</v>
      </c>
      <c r="AH213" s="15">
        <v>0.5</v>
      </c>
      <c r="AI213" s="76"/>
      <c r="AJ213" s="77"/>
      <c r="AK213" s="77"/>
      <c r="AL213" s="77"/>
      <c r="AM213" s="77"/>
      <c r="AN213" s="76"/>
      <c r="AO213" s="76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6"/>
      <c r="BC213" s="76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76"/>
    </row>
    <row r="214" spans="1:68" ht="15" customHeight="1" x14ac:dyDescent="0.25">
      <c r="A214" s="1">
        <f t="shared" si="15"/>
        <v>91</v>
      </c>
      <c r="B214" s="1" t="str">
        <f t="shared" si="12"/>
        <v xml:space="preserve">Raptors </v>
      </c>
      <c r="C214" s="1">
        <f t="shared" si="13"/>
        <v>0</v>
      </c>
      <c r="D214" s="2" t="str">
        <f t="shared" si="14"/>
        <v>2024-11</v>
      </c>
      <c r="E214" s="3" t="s">
        <v>241</v>
      </c>
      <c r="F214" s="4" t="s">
        <v>83</v>
      </c>
      <c r="G214" s="39">
        <v>45617</v>
      </c>
      <c r="H214" s="40">
        <v>181</v>
      </c>
      <c r="I214" s="40">
        <v>-208</v>
      </c>
      <c r="J214" s="7">
        <v>210</v>
      </c>
      <c r="K214" s="8">
        <v>6.9827895302975951E-2</v>
      </c>
      <c r="L214" s="9">
        <v>2.2525127517089016E-2</v>
      </c>
      <c r="M214" s="10">
        <v>189.76623376623377</v>
      </c>
      <c r="N214" s="11">
        <v>3.1</v>
      </c>
      <c r="O214" s="12">
        <v>1831.7233700222578</v>
      </c>
      <c r="P214" s="32" t="s">
        <v>75</v>
      </c>
      <c r="Q214" s="81" t="s">
        <v>81</v>
      </c>
      <c r="R214" s="82"/>
      <c r="S214" s="80"/>
      <c r="T214" s="32">
        <v>250.61500000000001</v>
      </c>
      <c r="U214" s="32">
        <v>250.61500000000001</v>
      </c>
      <c r="V214" s="74" t="s">
        <v>77</v>
      </c>
      <c r="W214" s="15"/>
      <c r="X214" s="15"/>
      <c r="Y214" s="16"/>
      <c r="Z214" s="17"/>
      <c r="AA214" s="18"/>
      <c r="AB214" s="75">
        <v>526.29</v>
      </c>
      <c r="AC214" s="20">
        <v>17.499917981355317</v>
      </c>
      <c r="AD214" s="21">
        <v>45617</v>
      </c>
      <c r="AE214" s="22">
        <v>92861.282913471805</v>
      </c>
      <c r="AF214" s="23">
        <v>10700.570933333351</v>
      </c>
      <c r="AG214" s="24">
        <v>110174.28093333366</v>
      </c>
      <c r="AH214" s="15">
        <v>0.5</v>
      </c>
      <c r="AI214" s="76"/>
      <c r="AJ214" s="77"/>
      <c r="AK214" s="77"/>
      <c r="AL214" s="77"/>
      <c r="AM214" s="77"/>
      <c r="AN214" s="76"/>
      <c r="AO214" s="76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76"/>
    </row>
    <row r="215" spans="1:68" ht="15" customHeight="1" x14ac:dyDescent="0.25">
      <c r="A215" s="1">
        <f t="shared" si="15"/>
        <v>91</v>
      </c>
      <c r="B215" s="1" t="str">
        <f t="shared" si="12"/>
        <v xml:space="preserve">Raptors </v>
      </c>
      <c r="C215" s="1">
        <f t="shared" si="13"/>
        <v>0</v>
      </c>
      <c r="D215" s="2" t="str">
        <f t="shared" si="14"/>
        <v>2024-11</v>
      </c>
      <c r="E215" s="3" t="s">
        <v>105</v>
      </c>
      <c r="F215" s="4" t="s">
        <v>74</v>
      </c>
      <c r="G215" s="39">
        <v>45617</v>
      </c>
      <c r="H215" s="40">
        <v>181</v>
      </c>
      <c r="I215" s="40">
        <v>-208</v>
      </c>
      <c r="J215" s="7">
        <v>205</v>
      </c>
      <c r="K215" s="8">
        <v>5.2572606669056859E-2</v>
      </c>
      <c r="L215" s="9">
        <v>1.7236920219362906E-2</v>
      </c>
      <c r="M215" s="10">
        <v>189.76623376623377</v>
      </c>
      <c r="N215" s="11">
        <v>3.05</v>
      </c>
      <c r="O215" s="12">
        <v>1366.6442844362437</v>
      </c>
      <c r="P215" s="32" t="s">
        <v>75</v>
      </c>
      <c r="Q215" s="81" t="s">
        <v>81</v>
      </c>
      <c r="R215" s="82"/>
      <c r="S215" s="80"/>
      <c r="T215" s="32">
        <v>510.89499999999998</v>
      </c>
      <c r="U215" s="32">
        <v>510.89499999999998</v>
      </c>
      <c r="V215" s="74" t="s">
        <v>77</v>
      </c>
      <c r="W215" s="15"/>
      <c r="X215" s="15"/>
      <c r="Y215" s="16"/>
      <c r="Z215" s="17"/>
      <c r="AA215" s="18"/>
      <c r="AB215" s="75">
        <v>1047.33</v>
      </c>
      <c r="AC215" s="20">
        <v>26.859081884187802</v>
      </c>
      <c r="AD215" s="21">
        <v>45617</v>
      </c>
      <c r="AE215" s="22">
        <v>93341.377591946162</v>
      </c>
      <c r="AF215" s="23">
        <v>7628.3409333333457</v>
      </c>
      <c r="AG215" s="24">
        <v>106581.01093333364</v>
      </c>
      <c r="AH215" s="15">
        <v>0.5</v>
      </c>
      <c r="AI215" s="76"/>
      <c r="AJ215" s="77"/>
      <c r="AK215" s="77"/>
      <c r="AL215" s="77"/>
      <c r="AM215" s="77"/>
      <c r="AN215" s="83"/>
      <c r="AO215" s="83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83"/>
      <c r="BC215" s="83"/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77"/>
    </row>
    <row r="216" spans="1:68" ht="15" customHeight="1" x14ac:dyDescent="0.25">
      <c r="A216" s="1">
        <f t="shared" si="15"/>
        <v>91</v>
      </c>
      <c r="B216" s="1" t="str">
        <f t="shared" si="12"/>
        <v xml:space="preserve">Raptors </v>
      </c>
      <c r="C216" s="1">
        <f t="shared" si="13"/>
        <v>0</v>
      </c>
      <c r="D216" s="2" t="str">
        <f t="shared" si="14"/>
        <v>2024-11</v>
      </c>
      <c r="E216" s="3" t="s">
        <v>105</v>
      </c>
      <c r="F216" s="4" t="s">
        <v>83</v>
      </c>
      <c r="G216" s="39">
        <v>45617</v>
      </c>
      <c r="H216" s="40">
        <v>181</v>
      </c>
      <c r="I216" s="40">
        <v>-208</v>
      </c>
      <c r="J216" s="7">
        <v>205</v>
      </c>
      <c r="K216" s="8">
        <v>5.2572606669056859E-2</v>
      </c>
      <c r="L216" s="9">
        <v>1.7236920219362906E-2</v>
      </c>
      <c r="M216" s="10">
        <v>189.76623376623377</v>
      </c>
      <c r="N216" s="11">
        <v>3.05</v>
      </c>
      <c r="O216" s="12">
        <v>1380.0737644710493</v>
      </c>
      <c r="P216" s="32" t="s">
        <v>75</v>
      </c>
      <c r="Q216" s="81" t="s">
        <v>81</v>
      </c>
      <c r="R216" s="82"/>
      <c r="S216" s="80"/>
      <c r="T216" s="32">
        <v>256.73</v>
      </c>
      <c r="U216" s="32">
        <v>256.73</v>
      </c>
      <c r="V216" s="74" t="s">
        <v>77</v>
      </c>
      <c r="W216" s="15"/>
      <c r="X216" s="15"/>
      <c r="Y216" s="16"/>
      <c r="Z216" s="17"/>
      <c r="AA216" s="18"/>
      <c r="AB216" s="75">
        <v>526.29999999999995</v>
      </c>
      <c r="AC216" s="20">
        <v>13.496965310146969</v>
      </c>
      <c r="AD216" s="21">
        <v>45617</v>
      </c>
      <c r="AE216" s="22">
        <v>93354.874557256306</v>
      </c>
      <c r="AF216" s="23">
        <v>8154.6409333333459</v>
      </c>
      <c r="AG216" s="24">
        <v>107628.34093333365</v>
      </c>
      <c r="AH216" s="15">
        <v>0.5</v>
      </c>
      <c r="AI216" s="76"/>
      <c r="AJ216" s="83"/>
      <c r="AK216" s="83"/>
      <c r="AL216" s="83"/>
      <c r="AM216" s="83"/>
      <c r="AN216" s="83"/>
      <c r="AO216" s="83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83"/>
      <c r="BC216" s="83"/>
      <c r="BD216" s="77"/>
      <c r="BE216" s="77"/>
      <c r="BF216" s="77"/>
      <c r="BG216" s="77"/>
      <c r="BH216" s="77"/>
      <c r="BI216" s="77"/>
      <c r="BJ216" s="77"/>
      <c r="BK216" s="77"/>
      <c r="BL216" s="77"/>
      <c r="BM216" s="77"/>
      <c r="BN216" s="77"/>
      <c r="BO216" s="77"/>
      <c r="BP216" s="83"/>
    </row>
    <row r="217" spans="1:68" ht="15" customHeight="1" x14ac:dyDescent="0.25">
      <c r="A217" s="1">
        <f t="shared" si="15"/>
        <v>92</v>
      </c>
      <c r="B217" s="1" t="str">
        <f t="shared" si="12"/>
        <v xml:space="preserve">Raptors </v>
      </c>
      <c r="C217" s="1">
        <f t="shared" si="13"/>
        <v>1</v>
      </c>
      <c r="D217" s="2" t="str">
        <f t="shared" si="14"/>
        <v>2024-11</v>
      </c>
      <c r="E217" s="3" t="s">
        <v>242</v>
      </c>
      <c r="F217" s="4" t="s">
        <v>74</v>
      </c>
      <c r="G217" s="39">
        <v>45617</v>
      </c>
      <c r="H217" s="40">
        <v>-119</v>
      </c>
      <c r="I217" s="40">
        <v>104</v>
      </c>
      <c r="J217" s="7">
        <v>102</v>
      </c>
      <c r="K217" s="8">
        <v>6.1969854469854438E-2</v>
      </c>
      <c r="L217" s="9">
        <v>3.0678145777155663E-2</v>
      </c>
      <c r="M217" s="10">
        <v>-110.84931506849314</v>
      </c>
      <c r="N217" s="11">
        <v>2.02</v>
      </c>
      <c r="O217" s="12">
        <v>3208.9701174486786</v>
      </c>
      <c r="P217" s="32" t="s">
        <v>75</v>
      </c>
      <c r="Q217" s="81" t="s">
        <v>92</v>
      </c>
      <c r="R217" s="82"/>
      <c r="S217" s="80"/>
      <c r="T217" s="32">
        <v>616.08000000000004</v>
      </c>
      <c r="U217" s="32">
        <v>616.08000000000004</v>
      </c>
      <c r="V217" s="74" t="s">
        <v>77</v>
      </c>
      <c r="W217" s="15"/>
      <c r="X217" s="15"/>
      <c r="Y217" s="16"/>
      <c r="Z217" s="17"/>
      <c r="AA217" s="18"/>
      <c r="AB217" s="75">
        <v>628.4</v>
      </c>
      <c r="AC217" s="20">
        <v>38.178387941787925</v>
      </c>
      <c r="AD217" s="21">
        <v>45617</v>
      </c>
      <c r="AE217" s="22">
        <v>93295.333572665928</v>
      </c>
      <c r="AF217" s="23">
        <v>6265.230933333346</v>
      </c>
      <c r="AG217" s="24">
        <v>105636.83093333365</v>
      </c>
      <c r="AH217" s="15">
        <v>0.5</v>
      </c>
      <c r="AI217" s="76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  <c r="BI217" s="77"/>
      <c r="BJ217" s="77"/>
      <c r="BK217" s="77"/>
      <c r="BL217" s="77"/>
      <c r="BM217" s="77"/>
      <c r="BN217" s="77"/>
      <c r="BO217" s="77"/>
      <c r="BP217" s="77"/>
    </row>
    <row r="218" spans="1:68" ht="15" customHeight="1" x14ac:dyDescent="0.25">
      <c r="A218" s="1">
        <f t="shared" si="15"/>
        <v>92</v>
      </c>
      <c r="B218" s="1" t="str">
        <f t="shared" si="12"/>
        <v xml:space="preserve">Raptors </v>
      </c>
      <c r="C218" s="1">
        <f t="shared" si="13"/>
        <v>1</v>
      </c>
      <c r="D218" s="2" t="str">
        <f t="shared" si="14"/>
        <v>2024-11</v>
      </c>
      <c r="E218" s="3" t="s">
        <v>242</v>
      </c>
      <c r="F218" s="4" t="s">
        <v>83</v>
      </c>
      <c r="G218" s="39">
        <v>45617</v>
      </c>
      <c r="H218" s="40">
        <v>-119</v>
      </c>
      <c r="I218" s="40">
        <v>104</v>
      </c>
      <c r="J218" s="7">
        <v>102</v>
      </c>
      <c r="K218" s="8">
        <v>6.1969854469854438E-2</v>
      </c>
      <c r="L218" s="9">
        <v>3.0678145777155663E-2</v>
      </c>
      <c r="M218" s="10">
        <v>-110.84931506849314</v>
      </c>
      <c r="N218" s="11">
        <v>2.02</v>
      </c>
      <c r="O218" s="12">
        <v>3228.0592628157647</v>
      </c>
      <c r="P218" s="32" t="s">
        <v>75</v>
      </c>
      <c r="Q218" s="81" t="s">
        <v>92</v>
      </c>
      <c r="R218" s="82"/>
      <c r="S218" s="80"/>
      <c r="T218" s="32">
        <v>309.58499999999998</v>
      </c>
      <c r="U218" s="32">
        <v>309.58499999999998</v>
      </c>
      <c r="V218" s="74" t="s">
        <v>77</v>
      </c>
      <c r="W218" s="15"/>
      <c r="X218" s="15"/>
      <c r="Y218" s="16"/>
      <c r="Z218" s="17"/>
      <c r="AA218" s="18"/>
      <c r="AB218" s="75">
        <v>315.77999999999997</v>
      </c>
      <c r="AC218" s="20">
        <v>19.184937396049886</v>
      </c>
      <c r="AD218" s="21">
        <v>45617</v>
      </c>
      <c r="AE218" s="22">
        <v>93314.518510061971</v>
      </c>
      <c r="AF218" s="23">
        <v>6581.0109333333457</v>
      </c>
      <c r="AG218" s="24">
        <v>106265.23093333365</v>
      </c>
      <c r="AH218" s="15">
        <v>0.5</v>
      </c>
      <c r="AI218" s="76"/>
      <c r="AJ218" s="83"/>
      <c r="AK218" s="83"/>
      <c r="AL218" s="83"/>
      <c r="AM218" s="83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83"/>
      <c r="BC218" s="83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/>
      <c r="BP218" s="83"/>
    </row>
    <row r="219" spans="1:68" ht="15" customHeight="1" x14ac:dyDescent="0.25">
      <c r="A219" s="1">
        <f t="shared" si="15"/>
        <v>93</v>
      </c>
      <c r="B219" s="1" t="str">
        <f t="shared" si="12"/>
        <v xml:space="preserve">Timberwolves </v>
      </c>
      <c r="C219" s="1">
        <f t="shared" si="13"/>
        <v>0</v>
      </c>
      <c r="D219" s="2" t="str">
        <f t="shared" si="14"/>
        <v>2024-11</v>
      </c>
      <c r="E219" s="84" t="s">
        <v>243</v>
      </c>
      <c r="F219" s="85" t="s">
        <v>74</v>
      </c>
      <c r="G219" s="86">
        <v>45617</v>
      </c>
      <c r="H219" s="87">
        <v>-141</v>
      </c>
      <c r="I219" s="87">
        <v>128</v>
      </c>
      <c r="J219" s="88">
        <v>-121</v>
      </c>
      <c r="K219" s="8">
        <v>4.388769451931282E-2</v>
      </c>
      <c r="L219" s="9">
        <v>2.4029009216456343E-2</v>
      </c>
      <c r="M219" s="10">
        <v>-133.39419087136929</v>
      </c>
      <c r="N219" s="11">
        <v>1.8264462809917354</v>
      </c>
      <c r="O219" s="12">
        <v>2873.7993203124274</v>
      </c>
      <c r="P219" s="89" t="s">
        <v>75</v>
      </c>
      <c r="Q219" s="90" t="s">
        <v>76</v>
      </c>
      <c r="R219" s="91"/>
      <c r="S219" s="92"/>
      <c r="T219" s="89">
        <v>1815</v>
      </c>
      <c r="U219" s="89">
        <v>4494</v>
      </c>
      <c r="V219" s="93" t="s">
        <v>82</v>
      </c>
      <c r="W219" s="15"/>
      <c r="X219" s="15"/>
      <c r="Y219" s="16"/>
      <c r="Z219" s="17"/>
      <c r="AA219" s="18"/>
      <c r="AB219" s="75">
        <v>-1815</v>
      </c>
      <c r="AC219" s="20">
        <v>79.656165552552764</v>
      </c>
      <c r="AD219" s="21">
        <v>45617</v>
      </c>
      <c r="AE219" s="22">
        <v>93184.804748321825</v>
      </c>
      <c r="AF219" s="23">
        <v>6417.650933333347</v>
      </c>
      <c r="AG219" s="24">
        <v>108232.65093333366</v>
      </c>
      <c r="AH219" s="15">
        <v>0.5</v>
      </c>
      <c r="AI219" s="94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</row>
    <row r="220" spans="1:68" ht="15" customHeight="1" x14ac:dyDescent="0.25">
      <c r="A220" s="1">
        <f t="shared" si="15"/>
        <v>94</v>
      </c>
      <c r="B220" s="1" t="str">
        <f t="shared" si="12"/>
        <v xml:space="preserve">Virginia </v>
      </c>
      <c r="C220" s="1">
        <f t="shared" si="13"/>
        <v>0</v>
      </c>
      <c r="D220" s="2" t="str">
        <f t="shared" si="14"/>
        <v>2024-11</v>
      </c>
      <c r="E220" s="3" t="s">
        <v>244</v>
      </c>
      <c r="F220" s="4" t="s">
        <v>74</v>
      </c>
      <c r="G220" s="39">
        <v>45617</v>
      </c>
      <c r="H220" s="40">
        <v>291</v>
      </c>
      <c r="I220" s="40">
        <v>-385</v>
      </c>
      <c r="J220" s="7">
        <v>400</v>
      </c>
      <c r="K220" s="8">
        <v>0.21837867711709008</v>
      </c>
      <c r="L220" s="9">
        <v>4.3675735423418016E-2</v>
      </c>
      <c r="M220" s="10">
        <v>310.38144329896903</v>
      </c>
      <c r="N220" s="11">
        <v>5</v>
      </c>
      <c r="O220" s="12">
        <v>3021.8305295659998</v>
      </c>
      <c r="P220" s="32" t="s">
        <v>143</v>
      </c>
      <c r="Q220" s="81" t="s">
        <v>81</v>
      </c>
      <c r="R220" s="82"/>
      <c r="S220" s="80"/>
      <c r="T220" s="32">
        <v>130.91499999999999</v>
      </c>
      <c r="U220" s="32">
        <v>130.91499999999999</v>
      </c>
      <c r="V220" s="74" t="s">
        <v>82</v>
      </c>
      <c r="W220" s="15"/>
      <c r="X220" s="15"/>
      <c r="Y220" s="16"/>
      <c r="Z220" s="17"/>
      <c r="AA220" s="18"/>
      <c r="AB220" s="75">
        <v>-130.91499999999999</v>
      </c>
      <c r="AC220" s="20">
        <v>28.589044514783847</v>
      </c>
      <c r="AD220" s="21">
        <v>45617</v>
      </c>
      <c r="AE220" s="22">
        <v>92889.871957986586</v>
      </c>
      <c r="AF220" s="23">
        <v>10569.65593333335</v>
      </c>
      <c r="AG220" s="24">
        <v>110700.57093333366</v>
      </c>
      <c r="AH220" s="15">
        <v>0.5</v>
      </c>
      <c r="AI220" s="76"/>
      <c r="AJ220" s="76"/>
      <c r="AK220" s="76"/>
      <c r="AL220" s="76"/>
      <c r="AM220" s="76"/>
      <c r="AN220" s="76"/>
      <c r="AO220" s="76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6"/>
      <c r="BC220" s="76"/>
      <c r="BD220" s="77"/>
      <c r="BE220" s="77"/>
      <c r="BF220" s="77"/>
      <c r="BG220" s="77"/>
      <c r="BH220" s="77"/>
      <c r="BI220" s="77"/>
      <c r="BJ220" s="77"/>
      <c r="BK220" s="77"/>
      <c r="BL220" s="77"/>
      <c r="BM220" s="77"/>
      <c r="BN220" s="77"/>
      <c r="BO220" s="77"/>
      <c r="BP220" s="76"/>
    </row>
    <row r="221" spans="1:68" ht="15" customHeight="1" x14ac:dyDescent="0.25">
      <c r="A221" s="1">
        <f t="shared" si="15"/>
        <v>94</v>
      </c>
      <c r="B221" s="1" t="str">
        <f t="shared" si="12"/>
        <v xml:space="preserve">Virginia </v>
      </c>
      <c r="C221" s="1">
        <f t="shared" si="13"/>
        <v>0</v>
      </c>
      <c r="D221" s="2" t="str">
        <f t="shared" si="14"/>
        <v>2024-11</v>
      </c>
      <c r="E221" s="3" t="s">
        <v>244</v>
      </c>
      <c r="F221" s="4" t="s">
        <v>83</v>
      </c>
      <c r="G221" s="39">
        <v>45617</v>
      </c>
      <c r="H221" s="40">
        <v>291</v>
      </c>
      <c r="I221" s="40">
        <v>-385</v>
      </c>
      <c r="J221" s="7">
        <v>400</v>
      </c>
      <c r="K221" s="8">
        <v>0.21837867711709008</v>
      </c>
      <c r="L221" s="9">
        <v>4.3675735423418016E-2</v>
      </c>
      <c r="M221" s="10">
        <v>310.38144329896903</v>
      </c>
      <c r="N221" s="11">
        <v>5</v>
      </c>
      <c r="O221" s="12">
        <v>3018.2568990016521</v>
      </c>
      <c r="P221" s="32" t="s">
        <v>143</v>
      </c>
      <c r="Q221" s="81" t="s">
        <v>81</v>
      </c>
      <c r="R221" s="82"/>
      <c r="S221" s="80"/>
      <c r="T221" s="32">
        <v>65.784999999999997</v>
      </c>
      <c r="U221" s="32">
        <v>65.784999999999997</v>
      </c>
      <c r="V221" s="74" t="s">
        <v>82</v>
      </c>
      <c r="W221" s="15"/>
      <c r="X221" s="15"/>
      <c r="Y221" s="16"/>
      <c r="Z221" s="17"/>
      <c r="AA221" s="18"/>
      <c r="AB221" s="75">
        <v>-65.784999999999997</v>
      </c>
      <c r="AC221" s="20">
        <v>14.36604127414777</v>
      </c>
      <c r="AD221" s="21">
        <v>45617</v>
      </c>
      <c r="AE221" s="22">
        <v>92904.237999260731</v>
      </c>
      <c r="AF221" s="23">
        <v>10503.87093333335</v>
      </c>
      <c r="AG221" s="24">
        <v>110569.65593333366</v>
      </c>
      <c r="AH221" s="15">
        <v>0.5</v>
      </c>
      <c r="AI221" s="76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77"/>
    </row>
    <row r="222" spans="1:68" ht="15" customHeight="1" x14ac:dyDescent="0.25">
      <c r="A222" s="1">
        <f t="shared" si="15"/>
        <v>95</v>
      </c>
      <c r="B222" s="1" t="str">
        <f t="shared" si="12"/>
        <v xml:space="preserve">Arizona </v>
      </c>
      <c r="C222" s="1">
        <f t="shared" si="13"/>
        <v>0</v>
      </c>
      <c r="D222" s="2" t="str">
        <f t="shared" si="14"/>
        <v>2024-11</v>
      </c>
      <c r="E222" s="3" t="s">
        <v>245</v>
      </c>
      <c r="F222" s="4" t="s">
        <v>74</v>
      </c>
      <c r="G222" s="39">
        <v>45618</v>
      </c>
      <c r="H222" s="40">
        <v>-117</v>
      </c>
      <c r="I222" s="40">
        <v>108</v>
      </c>
      <c r="J222" s="7">
        <v>114</v>
      </c>
      <c r="K222" s="8">
        <v>0.13126770353636288</v>
      </c>
      <c r="L222" s="9">
        <v>6.1340048381477996E-2</v>
      </c>
      <c r="M222" s="10">
        <v>-112.14746543778806</v>
      </c>
      <c r="N222" s="11">
        <v>2.1399999999999997</v>
      </c>
      <c r="O222" s="12">
        <v>7257.6805531690416</v>
      </c>
      <c r="P222" s="32" t="s">
        <v>143</v>
      </c>
      <c r="Q222" s="81" t="s">
        <v>81</v>
      </c>
      <c r="R222" s="82"/>
      <c r="S222" s="32"/>
      <c r="T222" s="32">
        <v>1500</v>
      </c>
      <c r="U222" s="32">
        <v>2135.06</v>
      </c>
      <c r="V222" s="74" t="s">
        <v>82</v>
      </c>
      <c r="W222" s="15"/>
      <c r="X222" s="15"/>
      <c r="Y222" s="16"/>
      <c r="Z222" s="17"/>
      <c r="AA222" s="18"/>
      <c r="AB222" s="75">
        <v>-1500</v>
      </c>
      <c r="AC222" s="20">
        <v>196.90155530454433</v>
      </c>
      <c r="AD222" s="21">
        <v>45618</v>
      </c>
      <c r="AE222" s="22">
        <v>95115.768105731797</v>
      </c>
      <c r="AF222" s="23">
        <v>24559.275933333349</v>
      </c>
      <c r="AG222" s="24">
        <v>126059.27593333367</v>
      </c>
      <c r="AH222" s="15">
        <v>0.5</v>
      </c>
      <c r="AI222" s="76"/>
      <c r="AJ222" s="83"/>
      <c r="AK222" s="83"/>
      <c r="AL222" s="83"/>
      <c r="AM222" s="83"/>
      <c r="AN222" s="83"/>
      <c r="AO222" s="83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83"/>
      <c r="BC222" s="83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/>
      <c r="BP222" s="83"/>
    </row>
    <row r="223" spans="1:68" ht="15" customHeight="1" x14ac:dyDescent="0.25">
      <c r="A223" s="1">
        <f t="shared" si="15"/>
        <v>95</v>
      </c>
      <c r="B223" s="1" t="str">
        <f t="shared" si="12"/>
        <v xml:space="preserve">Arizona </v>
      </c>
      <c r="C223" s="1">
        <f t="shared" si="13"/>
        <v>0</v>
      </c>
      <c r="D223" s="2" t="str">
        <f t="shared" si="14"/>
        <v>2024-11</v>
      </c>
      <c r="E223" s="3" t="s">
        <v>246</v>
      </c>
      <c r="F223" s="4" t="s">
        <v>74</v>
      </c>
      <c r="G223" s="39">
        <v>45618</v>
      </c>
      <c r="H223" s="40">
        <v>-129</v>
      </c>
      <c r="I223" s="40">
        <v>111</v>
      </c>
      <c r="J223" s="7">
        <v>108</v>
      </c>
      <c r="K223" s="8">
        <v>0.12962189987828993</v>
      </c>
      <c r="L223" s="9">
        <v>6.2318221095331694E-2</v>
      </c>
      <c r="M223" s="10">
        <v>-118.86026200873366</v>
      </c>
      <c r="N223" s="11">
        <v>2.08</v>
      </c>
      <c r="O223" s="12">
        <v>7474.8194416402148</v>
      </c>
      <c r="P223" s="32" t="s">
        <v>143</v>
      </c>
      <c r="Q223" s="81" t="s">
        <v>76</v>
      </c>
      <c r="R223" s="82"/>
      <c r="S223" s="32"/>
      <c r="T223" s="32">
        <v>1500</v>
      </c>
      <c r="U223" s="32">
        <v>2337.0100000000002</v>
      </c>
      <c r="V223" s="74" t="s">
        <v>82</v>
      </c>
      <c r="W223" s="15"/>
      <c r="X223" s="15"/>
      <c r="Y223" s="16"/>
      <c r="Z223" s="17"/>
      <c r="AA223" s="18"/>
      <c r="AB223" s="75">
        <v>-1500</v>
      </c>
      <c r="AC223" s="20">
        <v>194.43284981743489</v>
      </c>
      <c r="AD223" s="21">
        <v>45618</v>
      </c>
      <c r="AE223" s="22">
        <v>95310.200955549226</v>
      </c>
      <c r="AF223" s="23">
        <v>23059.275933333349</v>
      </c>
      <c r="AG223" s="24">
        <v>124559.27593333367</v>
      </c>
      <c r="AH223" s="15">
        <v>0.5</v>
      </c>
      <c r="AI223" s="76"/>
      <c r="AJ223" s="77"/>
      <c r="AK223" s="77"/>
      <c r="AL223" s="77"/>
      <c r="AM223" s="77"/>
      <c r="AN223" s="83"/>
      <c r="AO223" s="83"/>
      <c r="AP223" s="77"/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83"/>
      <c r="BC223" s="83"/>
      <c r="BD223" s="77"/>
      <c r="BE223" s="77"/>
      <c r="BF223" s="77"/>
      <c r="BG223" s="77"/>
      <c r="BH223" s="77"/>
      <c r="BI223" s="77"/>
      <c r="BJ223" s="77"/>
      <c r="BK223" s="77"/>
      <c r="BL223" s="77"/>
      <c r="BM223" s="77"/>
      <c r="BN223" s="77"/>
      <c r="BO223" s="77"/>
      <c r="BP223" s="83"/>
    </row>
    <row r="224" spans="1:68" ht="15" customHeight="1" x14ac:dyDescent="0.25">
      <c r="A224" s="1">
        <f t="shared" si="15"/>
        <v>96</v>
      </c>
      <c r="B224" s="1" t="str">
        <f t="shared" si="12"/>
        <v xml:space="preserve">Arkansas </v>
      </c>
      <c r="C224" s="1">
        <f t="shared" si="13"/>
        <v>0</v>
      </c>
      <c r="D224" s="2" t="str">
        <f t="shared" si="14"/>
        <v>2024-11</v>
      </c>
      <c r="E224" s="3" t="s">
        <v>247</v>
      </c>
      <c r="F224" s="4" t="s">
        <v>74</v>
      </c>
      <c r="G224" s="39">
        <v>45618</v>
      </c>
      <c r="H224" s="40">
        <v>-145</v>
      </c>
      <c r="I224" s="40">
        <v>118</v>
      </c>
      <c r="J224" s="7">
        <v>-114</v>
      </c>
      <c r="K224" s="8">
        <v>5.7531102752425456E-2</v>
      </c>
      <c r="L224" s="9">
        <v>3.0647409877460285E-2</v>
      </c>
      <c r="M224" s="10">
        <v>-129.02040816326527</v>
      </c>
      <c r="N224" s="11">
        <v>1.8771929824561404</v>
      </c>
      <c r="O224" s="12">
        <v>4132.7320142101889</v>
      </c>
      <c r="P224" s="32" t="s">
        <v>143</v>
      </c>
      <c r="Q224" s="81" t="s">
        <v>76</v>
      </c>
      <c r="R224" s="82"/>
      <c r="S224" s="80"/>
      <c r="T224" s="32">
        <v>1177.2650000000001</v>
      </c>
      <c r="U224" s="32">
        <v>1177.2650000000001</v>
      </c>
      <c r="V224" s="74" t="s">
        <v>77</v>
      </c>
      <c r="W224" s="15"/>
      <c r="X224" s="15"/>
      <c r="Y224" s="16"/>
      <c r="Z224" s="17"/>
      <c r="AA224" s="18"/>
      <c r="AB224" s="75">
        <v>1032.69</v>
      </c>
      <c r="AC224" s="20">
        <v>67.729353681834155</v>
      </c>
      <c r="AD224" s="21">
        <v>45618</v>
      </c>
      <c r="AE224" s="22">
        <v>95521.655997539347</v>
      </c>
      <c r="AF224" s="23">
        <v>27058.555933333348</v>
      </c>
      <c r="AG224" s="24">
        <v>126025.86593333368</v>
      </c>
      <c r="AH224" s="15">
        <v>0.5</v>
      </c>
      <c r="AI224" s="76"/>
      <c r="AJ224" s="77"/>
      <c r="AK224" s="77"/>
      <c r="AL224" s="77"/>
      <c r="AM224" s="77"/>
      <c r="AN224" s="83"/>
      <c r="AO224" s="83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83"/>
      <c r="BC224" s="83"/>
      <c r="BD224" s="77"/>
      <c r="BE224" s="77"/>
      <c r="BF224" s="77"/>
      <c r="BG224" s="77"/>
      <c r="BH224" s="77"/>
      <c r="BI224" s="77"/>
      <c r="BJ224" s="77"/>
      <c r="BK224" s="77"/>
      <c r="BL224" s="77"/>
      <c r="BM224" s="77"/>
      <c r="BN224" s="77"/>
      <c r="BO224" s="77"/>
      <c r="BP224" s="77"/>
    </row>
    <row r="225" spans="1:68" ht="15" customHeight="1" x14ac:dyDescent="0.25">
      <c r="A225" s="1">
        <f t="shared" si="15"/>
        <v>96</v>
      </c>
      <c r="B225" s="1" t="str">
        <f t="shared" si="12"/>
        <v xml:space="preserve">Arkansas </v>
      </c>
      <c r="C225" s="1">
        <f t="shared" si="13"/>
        <v>0</v>
      </c>
      <c r="D225" s="2" t="str">
        <f t="shared" si="14"/>
        <v>2024-11</v>
      </c>
      <c r="E225" s="3" t="s">
        <v>247</v>
      </c>
      <c r="F225" s="4" t="s">
        <v>83</v>
      </c>
      <c r="G225" s="39">
        <v>45618</v>
      </c>
      <c r="H225" s="40">
        <v>-145</v>
      </c>
      <c r="I225" s="40">
        <v>118</v>
      </c>
      <c r="J225" s="7">
        <v>-114</v>
      </c>
      <c r="K225" s="8">
        <v>5.7531102752425456E-2</v>
      </c>
      <c r="L225" s="9">
        <v>3.0647409877460285E-2</v>
      </c>
      <c r="M225" s="10">
        <v>-129.02040816326527</v>
      </c>
      <c r="N225" s="11">
        <v>1.8771929824561404</v>
      </c>
      <c r="O225" s="12">
        <v>4166.5967370759881</v>
      </c>
      <c r="P225" s="32" t="s">
        <v>143</v>
      </c>
      <c r="Q225" s="81" t="s">
        <v>76</v>
      </c>
      <c r="R225" s="82"/>
      <c r="S225" s="80"/>
      <c r="T225" s="32">
        <v>532.73</v>
      </c>
      <c r="U225" s="32">
        <v>650.45000000000005</v>
      </c>
      <c r="V225" s="74" t="s">
        <v>77</v>
      </c>
      <c r="W225" s="15"/>
      <c r="X225" s="15"/>
      <c r="Y225" s="16"/>
      <c r="Z225" s="17"/>
      <c r="AA225" s="18"/>
      <c r="AB225" s="75">
        <v>467.31</v>
      </c>
      <c r="AC225" s="20">
        <v>30.648544369299614</v>
      </c>
      <c r="AD225" s="21">
        <v>45618</v>
      </c>
      <c r="AE225" s="22">
        <v>95552.304541908641</v>
      </c>
      <c r="AF225" s="23">
        <v>27525.865933333349</v>
      </c>
      <c r="AG225" s="24">
        <v>127058.55593333369</v>
      </c>
      <c r="AH225" s="15">
        <v>0.5</v>
      </c>
      <c r="AI225" s="76"/>
      <c r="AJ225" s="77"/>
      <c r="AK225" s="77"/>
      <c r="AL225" s="77"/>
      <c r="AM225" s="77"/>
      <c r="AN225" s="83"/>
      <c r="AO225" s="83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83"/>
      <c r="BC225" s="83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77"/>
    </row>
    <row r="226" spans="1:68" ht="15" customHeight="1" x14ac:dyDescent="0.25">
      <c r="A226" s="1">
        <f t="shared" si="15"/>
        <v>96</v>
      </c>
      <c r="B226" s="1" t="str">
        <f t="shared" si="12"/>
        <v xml:space="preserve">Arkansas </v>
      </c>
      <c r="C226" s="1">
        <f t="shared" si="13"/>
        <v>0</v>
      </c>
      <c r="D226" s="2" t="str">
        <f t="shared" si="14"/>
        <v>2024-11</v>
      </c>
      <c r="E226" s="3" t="s">
        <v>248</v>
      </c>
      <c r="F226" s="4" t="s">
        <v>74</v>
      </c>
      <c r="G226" s="39">
        <v>45618</v>
      </c>
      <c r="H226" s="40">
        <v>-108</v>
      </c>
      <c r="I226" s="40">
        <v>-114</v>
      </c>
      <c r="J226" s="7">
        <v>112</v>
      </c>
      <c r="K226" s="8">
        <v>4.6417221937468112E-2</v>
      </c>
      <c r="L226" s="9">
        <v>2.1894916008239673E-2</v>
      </c>
      <c r="M226" s="10">
        <v>102.59605399792315</v>
      </c>
      <c r="N226" s="11">
        <v>2.12</v>
      </c>
      <c r="O226" s="12">
        <v>2642.5876883014971</v>
      </c>
      <c r="P226" s="32" t="s">
        <v>143</v>
      </c>
      <c r="Q226" s="81" t="s">
        <v>76</v>
      </c>
      <c r="R226" s="82"/>
      <c r="S226" s="80"/>
      <c r="T226" s="32">
        <v>1500</v>
      </c>
      <c r="U226" s="32">
        <v>2199.9699999999998</v>
      </c>
      <c r="V226" s="74" t="s">
        <v>82</v>
      </c>
      <c r="W226" s="15"/>
      <c r="X226" s="15"/>
      <c r="Y226" s="16"/>
      <c r="Z226" s="17"/>
      <c r="AA226" s="18"/>
      <c r="AB226" s="75">
        <v>-1500</v>
      </c>
      <c r="AC226" s="20">
        <v>69.625832906202163</v>
      </c>
      <c r="AD226" s="21">
        <v>45618</v>
      </c>
      <c r="AE226" s="22">
        <v>95621.930374814838</v>
      </c>
      <c r="AF226" s="23">
        <v>26025.865933333349</v>
      </c>
      <c r="AG226" s="24">
        <v>127525.86593333368</v>
      </c>
      <c r="AH226" s="15">
        <v>0.5</v>
      </c>
      <c r="AI226" s="76"/>
      <c r="AJ226" s="77"/>
      <c r="AK226" s="77"/>
      <c r="AL226" s="77"/>
      <c r="AM226" s="77"/>
      <c r="AN226" s="83"/>
      <c r="AO226" s="83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83"/>
      <c r="BC226" s="83"/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77"/>
    </row>
    <row r="227" spans="1:68" ht="15" customHeight="1" x14ac:dyDescent="0.25">
      <c r="A227" s="1">
        <f t="shared" si="15"/>
        <v>96</v>
      </c>
      <c r="B227" s="1" t="str">
        <f t="shared" si="12"/>
        <v xml:space="preserve">Arkansas </v>
      </c>
      <c r="C227" s="1">
        <f t="shared" si="13"/>
        <v>0</v>
      </c>
      <c r="D227" s="2" t="str">
        <f t="shared" si="14"/>
        <v>2024-11</v>
      </c>
      <c r="E227" s="3" t="s">
        <v>248</v>
      </c>
      <c r="F227" s="4" t="s">
        <v>83</v>
      </c>
      <c r="G227" s="39">
        <v>45618</v>
      </c>
      <c r="H227" s="40">
        <v>-108</v>
      </c>
      <c r="I227" s="40">
        <v>-114</v>
      </c>
      <c r="J227" s="7">
        <v>112</v>
      </c>
      <c r="K227" s="8">
        <v>4.6417221937468112E-2</v>
      </c>
      <c r="L227" s="9">
        <v>2.1894916008239673E-2</v>
      </c>
      <c r="M227" s="10">
        <v>102.59605399792315</v>
      </c>
      <c r="N227" s="11">
        <v>2.12</v>
      </c>
      <c r="O227" s="12">
        <v>2611.5047271826566</v>
      </c>
      <c r="P227" s="32" t="s">
        <v>143</v>
      </c>
      <c r="Q227" s="81" t="s">
        <v>76</v>
      </c>
      <c r="R227" s="82"/>
      <c r="S227" s="80"/>
      <c r="T227" s="32">
        <v>0</v>
      </c>
      <c r="U227" s="32">
        <v>1859.28</v>
      </c>
      <c r="V227" s="74" t="s">
        <v>82</v>
      </c>
      <c r="W227" s="15"/>
      <c r="X227" s="15"/>
      <c r="Y227" s="16"/>
      <c r="Z227" s="17"/>
      <c r="AA227" s="18"/>
      <c r="AB227" s="75">
        <v>0</v>
      </c>
      <c r="AC227" s="20">
        <v>0</v>
      </c>
      <c r="AD227" s="21">
        <v>45618</v>
      </c>
      <c r="AE227" s="22">
        <v>95621.930374814838</v>
      </c>
      <c r="AF227" s="23">
        <v>26025.865933333349</v>
      </c>
      <c r="AG227" s="24">
        <v>126025.86593333368</v>
      </c>
      <c r="AH227" s="15">
        <v>0.5</v>
      </c>
      <c r="AI227" s="76"/>
      <c r="AJ227" s="77"/>
      <c r="AK227" s="77"/>
      <c r="AL227" s="77"/>
      <c r="AM227" s="77"/>
      <c r="AN227" s="83"/>
      <c r="AO227" s="83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83"/>
      <c r="BC227" s="83"/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77"/>
    </row>
    <row r="228" spans="1:68" ht="15" customHeight="1" x14ac:dyDescent="0.25">
      <c r="A228" s="1">
        <f t="shared" si="15"/>
        <v>96</v>
      </c>
      <c r="B228" s="1" t="str">
        <f t="shared" si="12"/>
        <v xml:space="preserve">Arkansas </v>
      </c>
      <c r="C228" s="1">
        <f t="shared" si="13"/>
        <v>0</v>
      </c>
      <c r="D228" s="2" t="str">
        <f t="shared" si="14"/>
        <v>2024-11</v>
      </c>
      <c r="E228" s="3" t="s">
        <v>249</v>
      </c>
      <c r="F228" s="4" t="s">
        <v>74</v>
      </c>
      <c r="G228" s="39">
        <v>45618</v>
      </c>
      <c r="H228" s="40">
        <v>-147</v>
      </c>
      <c r="I228" s="40">
        <v>117</v>
      </c>
      <c r="J228" s="7">
        <v>-115</v>
      </c>
      <c r="K228" s="8">
        <v>5.3680469081878068E-2</v>
      </c>
      <c r="L228" s="9">
        <v>2.8712809043795251E-2</v>
      </c>
      <c r="M228" s="10">
        <v>-129.14574898785429</v>
      </c>
      <c r="N228" s="11">
        <v>1.8695652173913042</v>
      </c>
      <c r="O228" s="12">
        <v>3889.9483698569575</v>
      </c>
      <c r="P228" s="32" t="s">
        <v>143</v>
      </c>
      <c r="Q228" s="81" t="s">
        <v>76</v>
      </c>
      <c r="R228" s="82"/>
      <c r="S228" s="80"/>
      <c r="T228" s="32">
        <v>1725</v>
      </c>
      <c r="U228" s="32">
        <v>3038.1899999999996</v>
      </c>
      <c r="V228" s="74" t="s">
        <v>82</v>
      </c>
      <c r="W228" s="15"/>
      <c r="X228" s="15"/>
      <c r="Y228" s="16"/>
      <c r="Z228" s="17"/>
      <c r="AA228" s="18"/>
      <c r="AB228" s="75">
        <v>-1725</v>
      </c>
      <c r="AC228" s="20">
        <v>92.598809166239661</v>
      </c>
      <c r="AD228" s="21">
        <v>45618</v>
      </c>
      <c r="AE228" s="22">
        <v>95714.529183981082</v>
      </c>
      <c r="AF228" s="23">
        <v>24300.865933333349</v>
      </c>
      <c r="AG228" s="24">
        <v>126025.86593333368</v>
      </c>
      <c r="AH228" s="15">
        <v>0.5</v>
      </c>
      <c r="AI228" s="76"/>
      <c r="AJ228" s="77"/>
      <c r="AK228" s="77"/>
      <c r="AL228" s="77"/>
      <c r="AM228" s="77"/>
      <c r="AN228" s="83"/>
      <c r="AO228" s="83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83"/>
      <c r="BC228" s="83"/>
      <c r="BD228" s="77"/>
      <c r="BE228" s="77"/>
      <c r="BF228" s="77"/>
      <c r="BG228" s="77"/>
      <c r="BH228" s="77"/>
      <c r="BI228" s="77"/>
      <c r="BJ228" s="77"/>
      <c r="BK228" s="77"/>
      <c r="BL228" s="77"/>
      <c r="BM228" s="77"/>
      <c r="BN228" s="77"/>
      <c r="BO228" s="77"/>
      <c r="BP228" s="77"/>
    </row>
    <row r="229" spans="1:68" ht="15" customHeight="1" x14ac:dyDescent="0.25">
      <c r="A229" s="1">
        <f t="shared" si="15"/>
        <v>96</v>
      </c>
      <c r="B229" s="1" t="str">
        <f t="shared" si="12"/>
        <v xml:space="preserve">Arkansas </v>
      </c>
      <c r="C229" s="1">
        <f t="shared" si="13"/>
        <v>0</v>
      </c>
      <c r="D229" s="2" t="str">
        <f t="shared" si="14"/>
        <v>2024-11</v>
      </c>
      <c r="E229" s="3" t="s">
        <v>249</v>
      </c>
      <c r="F229" s="4" t="s">
        <v>83</v>
      </c>
      <c r="G229" s="39">
        <v>45618</v>
      </c>
      <c r="H229" s="40">
        <v>-147</v>
      </c>
      <c r="I229" s="40">
        <v>117</v>
      </c>
      <c r="J229" s="36">
        <v>-115</v>
      </c>
      <c r="K229" s="8">
        <v>5.3680469081878068E-2</v>
      </c>
      <c r="L229" s="9">
        <v>2.8712809043795251E-2</v>
      </c>
      <c r="M229" s="10">
        <v>-129.14574898785429</v>
      </c>
      <c r="N229" s="11">
        <v>1.8695652173913042</v>
      </c>
      <c r="O229" s="12">
        <v>3836.7040545863697</v>
      </c>
      <c r="P229" s="32" t="s">
        <v>143</v>
      </c>
      <c r="Q229" s="81" t="s">
        <v>76</v>
      </c>
      <c r="R229" s="82"/>
      <c r="S229" s="80"/>
      <c r="T229" s="32">
        <v>0</v>
      </c>
      <c r="U229" s="32">
        <v>2393.56</v>
      </c>
      <c r="V229" s="74" t="s">
        <v>82</v>
      </c>
      <c r="W229" s="15"/>
      <c r="X229" s="15"/>
      <c r="Y229" s="16"/>
      <c r="Z229" s="17"/>
      <c r="AA229" s="18"/>
      <c r="AB229" s="75">
        <v>0</v>
      </c>
      <c r="AC229" s="20">
        <v>0</v>
      </c>
      <c r="AD229" s="21">
        <v>45618</v>
      </c>
      <c r="AE229" s="22">
        <v>95714.529183981082</v>
      </c>
      <c r="AF229" s="23">
        <v>24300.865933333349</v>
      </c>
      <c r="AG229" s="24">
        <v>124300.86593333368</v>
      </c>
      <c r="AH229" s="15">
        <v>0.5</v>
      </c>
      <c r="AI229" s="76"/>
      <c r="AJ229" s="83"/>
      <c r="AK229" s="83"/>
      <c r="AL229" s="83"/>
      <c r="AM229" s="83"/>
      <c r="AN229" s="83"/>
      <c r="AO229" s="83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83"/>
      <c r="BC229" s="83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/>
      <c r="BN229" s="77"/>
      <c r="BO229" s="77"/>
      <c r="BP229" s="83"/>
    </row>
    <row r="230" spans="1:68" ht="15" customHeight="1" x14ac:dyDescent="0.25">
      <c r="A230" s="1">
        <f t="shared" si="15"/>
        <v>97</v>
      </c>
      <c r="B230" s="1" t="str">
        <f t="shared" si="12"/>
        <v xml:space="preserve">Cal </v>
      </c>
      <c r="C230" s="1">
        <f t="shared" si="13"/>
        <v>1</v>
      </c>
      <c r="D230" s="2" t="str">
        <f t="shared" si="14"/>
        <v>2024-11</v>
      </c>
      <c r="E230" s="3" t="s">
        <v>250</v>
      </c>
      <c r="F230" s="4" t="s">
        <v>74</v>
      </c>
      <c r="G230" s="39">
        <v>45618</v>
      </c>
      <c r="H230" s="40">
        <v>-109</v>
      </c>
      <c r="I230" s="40">
        <v>-108</v>
      </c>
      <c r="J230" s="36">
        <v>120</v>
      </c>
      <c r="K230" s="8">
        <v>0.10243126160374857</v>
      </c>
      <c r="L230" s="9">
        <v>4.6559664365340259E-2</v>
      </c>
      <c r="M230" s="10">
        <v>-100.44302675881622</v>
      </c>
      <c r="N230" s="11">
        <v>2.2000000000000002</v>
      </c>
      <c r="O230" s="12">
        <v>5305.1227149957422</v>
      </c>
      <c r="P230" s="32" t="s">
        <v>143</v>
      </c>
      <c r="Q230" s="81" t="s">
        <v>92</v>
      </c>
      <c r="R230" s="82"/>
      <c r="S230" s="80"/>
      <c r="T230" s="32">
        <v>863.32500000000005</v>
      </c>
      <c r="U230" s="32">
        <v>863.32500000000005</v>
      </c>
      <c r="V230" s="74" t="s">
        <v>77</v>
      </c>
      <c r="W230" s="15"/>
      <c r="X230" s="15"/>
      <c r="Y230" s="16"/>
      <c r="Z230" s="17"/>
      <c r="AA230" s="18"/>
      <c r="AB230" s="75">
        <v>1035.99</v>
      </c>
      <c r="AC230" s="20">
        <v>88.431468924056247</v>
      </c>
      <c r="AD230" s="21">
        <v>45618</v>
      </c>
      <c r="AE230" s="22">
        <v>95802.960652905138</v>
      </c>
      <c r="AF230" s="23">
        <v>25336.855933333351</v>
      </c>
      <c r="AG230" s="24">
        <v>124300.86593333368</v>
      </c>
      <c r="AH230" s="15">
        <v>0.5</v>
      </c>
      <c r="AI230" s="76"/>
      <c r="AJ230" s="83"/>
      <c r="AK230" s="83"/>
      <c r="AL230" s="83"/>
      <c r="AM230" s="83"/>
      <c r="AN230" s="83"/>
      <c r="AO230" s="83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83"/>
      <c r="BC230" s="83"/>
      <c r="BD230" s="77"/>
      <c r="BE230" s="77"/>
      <c r="BF230" s="77"/>
      <c r="BG230" s="77"/>
      <c r="BH230" s="77"/>
      <c r="BI230" s="77"/>
      <c r="BJ230" s="77"/>
      <c r="BK230" s="77"/>
      <c r="BL230" s="77"/>
      <c r="BM230" s="77"/>
      <c r="BN230" s="77"/>
      <c r="BO230" s="77"/>
      <c r="BP230" s="83"/>
    </row>
    <row r="231" spans="1:68" ht="15" customHeight="1" x14ac:dyDescent="0.25">
      <c r="A231" s="1">
        <f t="shared" si="15"/>
        <v>97</v>
      </c>
      <c r="B231" s="1" t="str">
        <f t="shared" si="12"/>
        <v xml:space="preserve">Cal </v>
      </c>
      <c r="C231" s="1">
        <f t="shared" si="13"/>
        <v>1</v>
      </c>
      <c r="D231" s="2" t="str">
        <f t="shared" si="14"/>
        <v>2024-11</v>
      </c>
      <c r="E231" s="3" t="s">
        <v>250</v>
      </c>
      <c r="F231" s="4" t="s">
        <v>83</v>
      </c>
      <c r="G231" s="39">
        <v>45618</v>
      </c>
      <c r="H231" s="40">
        <v>-109</v>
      </c>
      <c r="I231" s="40">
        <v>-108</v>
      </c>
      <c r="J231" s="36">
        <v>120</v>
      </c>
      <c r="K231" s="8">
        <v>0.10243126160374857</v>
      </c>
      <c r="L231" s="9">
        <v>4.6559664365340259E-2</v>
      </c>
      <c r="M231" s="10">
        <v>-100.44302675881622</v>
      </c>
      <c r="N231" s="11">
        <v>2.2000000000000002</v>
      </c>
      <c r="O231" s="12">
        <v>5349.3384494577704</v>
      </c>
      <c r="P231" s="32" t="s">
        <v>143</v>
      </c>
      <c r="Q231" s="81" t="s">
        <v>92</v>
      </c>
      <c r="R231" s="82"/>
      <c r="S231" s="80"/>
      <c r="T231" s="32">
        <v>438.33</v>
      </c>
      <c r="U231" s="32">
        <v>438.33</v>
      </c>
      <c r="V231" s="74" t="s">
        <v>77</v>
      </c>
      <c r="W231" s="15"/>
      <c r="X231" s="15"/>
      <c r="Y231" s="16"/>
      <c r="Z231" s="17"/>
      <c r="AA231" s="18"/>
      <c r="AB231" s="75">
        <v>526</v>
      </c>
      <c r="AC231" s="20">
        <v>44.898694898771112</v>
      </c>
      <c r="AD231" s="21">
        <v>45618</v>
      </c>
      <c r="AE231" s="22">
        <v>95847.859347803911</v>
      </c>
      <c r="AF231" s="23">
        <v>25862.855933333351</v>
      </c>
      <c r="AG231" s="24">
        <v>125336.85593333369</v>
      </c>
      <c r="AH231" s="15">
        <v>0.5</v>
      </c>
      <c r="AI231" s="76"/>
      <c r="AJ231" s="83"/>
      <c r="AK231" s="83"/>
      <c r="AL231" s="83"/>
      <c r="AM231" s="83"/>
      <c r="AN231" s="83"/>
      <c r="AO231" s="83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83"/>
      <c r="BC231" s="83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83"/>
    </row>
    <row r="232" spans="1:68" ht="15" customHeight="1" x14ac:dyDescent="0.25">
      <c r="A232" s="1">
        <f t="shared" si="15"/>
        <v>98</v>
      </c>
      <c r="B232" s="1" t="str">
        <f t="shared" si="12"/>
        <v xml:space="preserve">Drexel </v>
      </c>
      <c r="C232" s="1">
        <f t="shared" si="13"/>
        <v>0</v>
      </c>
      <c r="D232" s="2" t="str">
        <f t="shared" si="14"/>
        <v>2024-11</v>
      </c>
      <c r="E232" s="3" t="s">
        <v>251</v>
      </c>
      <c r="F232" s="4" t="s">
        <v>74</v>
      </c>
      <c r="G232" s="39">
        <v>45618</v>
      </c>
      <c r="H232" s="40">
        <v>227</v>
      </c>
      <c r="I232" s="40">
        <v>-278</v>
      </c>
      <c r="J232" s="36">
        <v>270</v>
      </c>
      <c r="K232" s="8">
        <v>8.6662626450981314E-2</v>
      </c>
      <c r="L232" s="9">
        <v>2.3422331473238189E-2</v>
      </c>
      <c r="M232" s="10">
        <v>240.49206349206355</v>
      </c>
      <c r="N232" s="11">
        <v>3.7</v>
      </c>
      <c r="O232" s="12">
        <v>1920.1574292493258</v>
      </c>
      <c r="P232" s="32" t="s">
        <v>143</v>
      </c>
      <c r="Q232" s="78" t="s">
        <v>81</v>
      </c>
      <c r="R232" s="79"/>
      <c r="S232" s="32"/>
      <c r="T232" s="32">
        <v>767.4</v>
      </c>
      <c r="U232" s="32">
        <v>767.4</v>
      </c>
      <c r="V232" s="74" t="s">
        <v>77</v>
      </c>
      <c r="W232" s="15"/>
      <c r="X232" s="15"/>
      <c r="Y232" s="16"/>
      <c r="Z232" s="17"/>
      <c r="AA232" s="18"/>
      <c r="AB232" s="75">
        <v>2071.98</v>
      </c>
      <c r="AC232" s="20">
        <v>66.504899538483059</v>
      </c>
      <c r="AD232" s="21">
        <v>45618</v>
      </c>
      <c r="AE232" s="22">
        <v>96330.104612244482</v>
      </c>
      <c r="AF232" s="23">
        <v>21718.135933333353</v>
      </c>
      <c r="AG232" s="24">
        <v>119646.15593333369</v>
      </c>
      <c r="AH232" s="15">
        <v>0.5</v>
      </c>
      <c r="AI232" s="76"/>
      <c r="AJ232" s="77"/>
      <c r="AK232" s="77"/>
      <c r="AL232" s="77"/>
      <c r="AM232" s="77"/>
      <c r="AN232" s="76"/>
      <c r="AO232" s="76"/>
      <c r="AP232" s="77"/>
      <c r="AQ232" s="77"/>
      <c r="AR232" s="77"/>
      <c r="AS232" s="77"/>
      <c r="AT232" s="77"/>
      <c r="AU232" s="77"/>
      <c r="AV232" s="77"/>
      <c r="AW232" s="77"/>
      <c r="AX232" s="76"/>
      <c r="AY232" s="76"/>
      <c r="AZ232" s="76"/>
      <c r="BA232" s="76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  <c r="BM232" s="77"/>
      <c r="BN232" s="77"/>
      <c r="BO232" s="77"/>
      <c r="BP232" s="77"/>
    </row>
    <row r="233" spans="1:68" ht="15" customHeight="1" x14ac:dyDescent="0.25">
      <c r="A233" s="1">
        <f t="shared" si="15"/>
        <v>99</v>
      </c>
      <c r="B233" s="1" t="str">
        <f t="shared" si="12"/>
        <v xml:space="preserve">Florida </v>
      </c>
      <c r="C233" s="1">
        <f t="shared" si="13"/>
        <v>0</v>
      </c>
      <c r="D233" s="2" t="str">
        <f t="shared" si="14"/>
        <v>2024-11</v>
      </c>
      <c r="E233" s="3" t="s">
        <v>252</v>
      </c>
      <c r="F233" s="4" t="s">
        <v>74</v>
      </c>
      <c r="G233" s="39">
        <v>45618</v>
      </c>
      <c r="H233" s="40">
        <v>-163</v>
      </c>
      <c r="I233" s="40">
        <v>132</v>
      </c>
      <c r="J233" s="36">
        <v>-112</v>
      </c>
      <c r="K233" s="8">
        <v>0.1164184558345142</v>
      </c>
      <c r="L233" s="9">
        <v>6.1504089874837686E-2</v>
      </c>
      <c r="M233" s="10">
        <v>-143.78707224334599</v>
      </c>
      <c r="N233" s="11">
        <v>1.8928571428571428</v>
      </c>
      <c r="O233" s="12">
        <v>8120.5089962152142</v>
      </c>
      <c r="P233" s="32" t="s">
        <v>143</v>
      </c>
      <c r="Q233" s="81" t="s">
        <v>76</v>
      </c>
      <c r="R233" s="82"/>
      <c r="S233" s="32"/>
      <c r="T233" s="32">
        <v>1151.0999999999999</v>
      </c>
      <c r="U233" s="32">
        <v>1151.0999999999999</v>
      </c>
      <c r="V233" s="74" t="s">
        <v>77</v>
      </c>
      <c r="W233" s="15"/>
      <c r="X233" s="15"/>
      <c r="Y233" s="16"/>
      <c r="Z233" s="17"/>
      <c r="AA233" s="18"/>
      <c r="AB233" s="75">
        <v>1027.77</v>
      </c>
      <c r="AC233" s="20">
        <v>134.00928451110929</v>
      </c>
      <c r="AD233" s="21">
        <v>45618</v>
      </c>
      <c r="AE233" s="22">
        <v>94857.19270926436</v>
      </c>
      <c r="AF233" s="23">
        <v>25586.275933333349</v>
      </c>
      <c r="AG233" s="24">
        <v>124558.50593333367</v>
      </c>
      <c r="AH233" s="15">
        <v>0.5</v>
      </c>
      <c r="AI233" s="76"/>
      <c r="AJ233" s="83"/>
      <c r="AK233" s="83"/>
      <c r="AL233" s="83"/>
      <c r="AM233" s="83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83"/>
      <c r="BC233" s="83"/>
      <c r="BD233" s="77"/>
      <c r="BE233" s="77"/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83"/>
    </row>
    <row r="234" spans="1:68" ht="15" customHeight="1" x14ac:dyDescent="0.25">
      <c r="A234" s="1">
        <f t="shared" si="15"/>
        <v>99</v>
      </c>
      <c r="B234" s="1" t="str">
        <f t="shared" si="12"/>
        <v xml:space="preserve">Florida </v>
      </c>
      <c r="C234" s="1">
        <f t="shared" si="13"/>
        <v>0</v>
      </c>
      <c r="D234" s="2" t="str">
        <f t="shared" si="14"/>
        <v>2024-11</v>
      </c>
      <c r="E234" s="3" t="s">
        <v>252</v>
      </c>
      <c r="F234" s="4" t="s">
        <v>83</v>
      </c>
      <c r="G234" s="39">
        <v>45618</v>
      </c>
      <c r="H234" s="40">
        <v>-163</v>
      </c>
      <c r="I234" s="40">
        <v>132</v>
      </c>
      <c r="J234" s="36">
        <v>-112</v>
      </c>
      <c r="K234" s="8">
        <v>0.1164184558345142</v>
      </c>
      <c r="L234" s="9">
        <v>6.1504089874837686E-2</v>
      </c>
      <c r="M234" s="10">
        <v>-143.78707224334599</v>
      </c>
      <c r="N234" s="11">
        <v>1.8928571428571428</v>
      </c>
      <c r="O234" s="12">
        <v>8187.5137781729154</v>
      </c>
      <c r="P234" s="32" t="s">
        <v>143</v>
      </c>
      <c r="Q234" s="81" t="s">
        <v>76</v>
      </c>
      <c r="R234" s="82"/>
      <c r="S234" s="32"/>
      <c r="T234" s="32">
        <v>529.76</v>
      </c>
      <c r="U234" s="32">
        <v>627.12000000000012</v>
      </c>
      <c r="V234" s="74" t="s">
        <v>77</v>
      </c>
      <c r="W234" s="15"/>
      <c r="X234" s="15"/>
      <c r="Y234" s="16"/>
      <c r="Z234" s="17"/>
      <c r="AA234" s="18"/>
      <c r="AB234" s="75">
        <v>473</v>
      </c>
      <c r="AC234" s="20">
        <v>61.673841162892238</v>
      </c>
      <c r="AD234" s="21">
        <v>45618</v>
      </c>
      <c r="AE234" s="22">
        <v>94918.86655042725</v>
      </c>
      <c r="AF234" s="23">
        <v>26059.275933333349</v>
      </c>
      <c r="AG234" s="24">
        <v>125586.27593333367</v>
      </c>
      <c r="AH234" s="15">
        <v>0.5</v>
      </c>
      <c r="AI234" s="76"/>
      <c r="AJ234" s="83"/>
      <c r="AK234" s="83"/>
      <c r="AL234" s="83"/>
      <c r="AM234" s="83"/>
      <c r="AN234" s="83"/>
      <c r="AO234" s="83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83"/>
      <c r="BC234" s="83"/>
      <c r="BD234" s="77"/>
      <c r="BE234" s="77"/>
      <c r="BF234" s="77"/>
      <c r="BG234" s="77"/>
      <c r="BH234" s="77"/>
      <c r="BI234" s="77"/>
      <c r="BJ234" s="77"/>
      <c r="BK234" s="77"/>
      <c r="BL234" s="77"/>
      <c r="BM234" s="77"/>
      <c r="BN234" s="77"/>
      <c r="BO234" s="77"/>
      <c r="BP234" s="83"/>
    </row>
    <row r="235" spans="1:68" ht="15" customHeight="1" x14ac:dyDescent="0.25">
      <c r="A235" s="1">
        <f t="shared" si="15"/>
        <v>100</v>
      </c>
      <c r="B235" s="1" t="str">
        <f t="shared" si="12"/>
        <v xml:space="preserve">Jackson </v>
      </c>
      <c r="C235" s="1">
        <f t="shared" si="13"/>
        <v>0</v>
      </c>
      <c r="D235" s="2" t="str">
        <f t="shared" si="14"/>
        <v>2024-11</v>
      </c>
      <c r="E235" s="3" t="s">
        <v>253</v>
      </c>
      <c r="F235" s="4" t="s">
        <v>74</v>
      </c>
      <c r="G235" s="39">
        <v>45618</v>
      </c>
      <c r="H235" s="40">
        <v>-128</v>
      </c>
      <c r="I235" s="40">
        <v>106</v>
      </c>
      <c r="J235" s="36">
        <v>-106</v>
      </c>
      <c r="K235" s="8">
        <v>4.2211838962601771E-2</v>
      </c>
      <c r="L235" s="9">
        <v>2.1720655000173728E-2</v>
      </c>
      <c r="M235" s="10">
        <v>-115.64912280701752</v>
      </c>
      <c r="N235" s="11">
        <v>1.9433962264150944</v>
      </c>
      <c r="O235" s="12">
        <v>2753.115919432696</v>
      </c>
      <c r="P235" s="32" t="s">
        <v>143</v>
      </c>
      <c r="Q235" s="81" t="s">
        <v>76</v>
      </c>
      <c r="R235" s="82"/>
      <c r="S235" s="32"/>
      <c r="T235" s="32">
        <v>1590</v>
      </c>
      <c r="U235" s="32">
        <v>2772.0699999999997</v>
      </c>
      <c r="V235" s="74" t="s">
        <v>82</v>
      </c>
      <c r="W235" s="15"/>
      <c r="X235" s="15"/>
      <c r="Y235" s="16"/>
      <c r="Z235" s="17"/>
      <c r="AA235" s="18"/>
      <c r="AB235" s="75">
        <v>-1590</v>
      </c>
      <c r="AC235" s="20">
        <v>67.116823950536812</v>
      </c>
      <c r="AD235" s="21">
        <v>45618</v>
      </c>
      <c r="AE235" s="22">
        <v>95377.317779499761</v>
      </c>
      <c r="AF235" s="23">
        <v>21469.275933333349</v>
      </c>
      <c r="AG235" s="24">
        <v>123059.27593333367</v>
      </c>
      <c r="AH235" s="15">
        <v>0.5</v>
      </c>
      <c r="AI235" s="76"/>
      <c r="AJ235" s="77"/>
      <c r="AK235" s="77"/>
      <c r="AL235" s="77"/>
      <c r="AM235" s="77"/>
      <c r="AN235" s="83"/>
      <c r="AO235" s="83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83"/>
      <c r="BC235" s="83"/>
      <c r="BD235" s="77"/>
      <c r="BE235" s="77"/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83"/>
    </row>
    <row r="236" spans="1:68" ht="15" customHeight="1" x14ac:dyDescent="0.25">
      <c r="A236" s="1">
        <f t="shared" si="15"/>
        <v>100</v>
      </c>
      <c r="B236" s="1" t="str">
        <f t="shared" si="12"/>
        <v xml:space="preserve">Jackson </v>
      </c>
      <c r="C236" s="1">
        <f t="shared" si="13"/>
        <v>0</v>
      </c>
      <c r="D236" s="2" t="str">
        <f t="shared" si="14"/>
        <v>2024-11</v>
      </c>
      <c r="E236" s="3" t="s">
        <v>254</v>
      </c>
      <c r="F236" s="4" t="s">
        <v>74</v>
      </c>
      <c r="G236" s="71">
        <v>45618</v>
      </c>
      <c r="H236" s="40">
        <v>-121</v>
      </c>
      <c r="I236" s="40">
        <v>103</v>
      </c>
      <c r="J236" s="36">
        <v>104</v>
      </c>
      <c r="K236" s="8">
        <v>7.3838373015022607E-2</v>
      </c>
      <c r="L236" s="9">
        <v>3.6195280889716963E-2</v>
      </c>
      <c r="M236" s="10">
        <v>-111.14479638009048</v>
      </c>
      <c r="N236" s="11">
        <v>2.04</v>
      </c>
      <c r="O236" s="12">
        <v>4320.2956629678165</v>
      </c>
      <c r="P236" s="32" t="s">
        <v>143</v>
      </c>
      <c r="Q236" s="78" t="s">
        <v>76</v>
      </c>
      <c r="R236" s="79"/>
      <c r="S236" s="32"/>
      <c r="T236" s="32">
        <v>1500</v>
      </c>
      <c r="U236" s="32">
        <v>2484.59</v>
      </c>
      <c r="V236" s="74" t="s">
        <v>82</v>
      </c>
      <c r="W236" s="15"/>
      <c r="X236" s="15"/>
      <c r="Y236" s="16"/>
      <c r="Z236" s="17"/>
      <c r="AA236" s="18"/>
      <c r="AB236" s="75">
        <v>-1500</v>
      </c>
      <c r="AC236" s="20">
        <v>110.75755952253391</v>
      </c>
      <c r="AD236" s="21">
        <v>45618</v>
      </c>
      <c r="AE236" s="22">
        <v>96236.895244768777</v>
      </c>
      <c r="AF236" s="23">
        <v>20201.150933333352</v>
      </c>
      <c r="AG236" s="24">
        <v>121701.15093333369</v>
      </c>
      <c r="AH236" s="15">
        <v>0.5</v>
      </c>
      <c r="AI236" s="76"/>
      <c r="AJ236" s="77"/>
      <c r="AK236" s="77"/>
      <c r="AL236" s="77"/>
      <c r="AM236" s="77"/>
      <c r="AN236" s="76"/>
      <c r="AO236" s="76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6"/>
      <c r="BC236" s="76"/>
      <c r="BD236" s="77"/>
      <c r="BE236" s="77"/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76"/>
    </row>
    <row r="237" spans="1:68" ht="15" customHeight="1" x14ac:dyDescent="0.25">
      <c r="A237" s="1">
        <f t="shared" si="15"/>
        <v>101</v>
      </c>
      <c r="B237" s="1" t="str">
        <f t="shared" si="12"/>
        <v xml:space="preserve">Louisana </v>
      </c>
      <c r="C237" s="1">
        <f t="shared" si="13"/>
        <v>1</v>
      </c>
      <c r="D237" s="2" t="str">
        <f t="shared" si="14"/>
        <v>2024-11</v>
      </c>
      <c r="E237" s="3" t="s">
        <v>255</v>
      </c>
      <c r="F237" s="4" t="s">
        <v>74</v>
      </c>
      <c r="G237" s="39">
        <v>45618</v>
      </c>
      <c r="H237" s="40">
        <v>108</v>
      </c>
      <c r="I237" s="40">
        <v>-133</v>
      </c>
      <c r="J237" s="36">
        <v>125</v>
      </c>
      <c r="K237" s="8">
        <v>2.8667294560866627E-2</v>
      </c>
      <c r="L237" s="9">
        <v>1.2741019804829612E-2</v>
      </c>
      <c r="M237" s="10">
        <v>118.72961373390557</v>
      </c>
      <c r="N237" s="11">
        <v>2.25</v>
      </c>
      <c r="O237" s="12">
        <v>1461.1083157413184</v>
      </c>
      <c r="P237" s="32" t="s">
        <v>143</v>
      </c>
      <c r="Q237" s="81" t="s">
        <v>92</v>
      </c>
      <c r="R237" s="82"/>
      <c r="S237" s="80"/>
      <c r="T237" s="32">
        <v>828.79499999999996</v>
      </c>
      <c r="U237" s="32">
        <v>828.79499999999996</v>
      </c>
      <c r="V237" s="74" t="s">
        <v>82</v>
      </c>
      <c r="W237" s="15"/>
      <c r="X237" s="15"/>
      <c r="Y237" s="16"/>
      <c r="Z237" s="17"/>
      <c r="AA237" s="18"/>
      <c r="AB237" s="75">
        <v>-828.79499999999996</v>
      </c>
      <c r="AC237" s="20">
        <v>23.759310395573454</v>
      </c>
      <c r="AD237" s="21">
        <v>45618</v>
      </c>
      <c r="AE237" s="22">
        <v>95982.803458199487</v>
      </c>
      <c r="AF237" s="23">
        <v>26590.650933333352</v>
      </c>
      <c r="AG237" s="24">
        <v>127419.4459333337</v>
      </c>
      <c r="AH237" s="15">
        <v>0.5</v>
      </c>
      <c r="AI237" s="76"/>
      <c r="AJ237" s="77"/>
      <c r="AK237" s="77"/>
      <c r="AL237" s="77"/>
      <c r="AM237" s="77"/>
      <c r="AN237" s="83"/>
      <c r="AO237" s="83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83"/>
      <c r="BC237" s="83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83"/>
    </row>
    <row r="238" spans="1:68" ht="15" customHeight="1" x14ac:dyDescent="0.25">
      <c r="A238" s="1">
        <f t="shared" si="15"/>
        <v>101</v>
      </c>
      <c r="B238" s="1" t="str">
        <f t="shared" si="12"/>
        <v xml:space="preserve">Louisana </v>
      </c>
      <c r="C238" s="1">
        <f t="shared" si="13"/>
        <v>1</v>
      </c>
      <c r="D238" s="2" t="str">
        <f t="shared" si="14"/>
        <v>2024-11</v>
      </c>
      <c r="E238" s="3" t="s">
        <v>255</v>
      </c>
      <c r="F238" s="4" t="s">
        <v>83</v>
      </c>
      <c r="G238" s="71">
        <v>45618</v>
      </c>
      <c r="H238" s="40">
        <v>108</v>
      </c>
      <c r="I238" s="40">
        <v>-133</v>
      </c>
      <c r="J238" s="36">
        <v>125</v>
      </c>
      <c r="K238" s="8">
        <v>2.8667294560866627E-2</v>
      </c>
      <c r="L238" s="9">
        <v>1.2741019804829612E-2</v>
      </c>
      <c r="M238" s="10">
        <v>118.72961373390557</v>
      </c>
      <c r="N238" s="11">
        <v>2.25</v>
      </c>
      <c r="O238" s="12">
        <v>1451.6045915830891</v>
      </c>
      <c r="P238" s="32" t="s">
        <v>143</v>
      </c>
      <c r="Q238" s="78" t="s">
        <v>92</v>
      </c>
      <c r="R238" s="79"/>
      <c r="S238" s="32"/>
      <c r="T238" s="32">
        <v>416.48</v>
      </c>
      <c r="U238" s="32">
        <v>416.48</v>
      </c>
      <c r="V238" s="74" t="s">
        <v>82</v>
      </c>
      <c r="W238" s="15"/>
      <c r="X238" s="15"/>
      <c r="Y238" s="16"/>
      <c r="Z238" s="17"/>
      <c r="AA238" s="18"/>
      <c r="AB238" s="75">
        <v>-416.48</v>
      </c>
      <c r="AC238" s="20">
        <v>11.939354838709733</v>
      </c>
      <c r="AD238" s="21">
        <v>45618</v>
      </c>
      <c r="AE238" s="22">
        <v>95994.742813038203</v>
      </c>
      <c r="AF238" s="23">
        <v>26174.170933333353</v>
      </c>
      <c r="AG238" s="24">
        <v>126590.6509333337</v>
      </c>
      <c r="AH238" s="15">
        <v>0.5</v>
      </c>
      <c r="AI238" s="76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</row>
    <row r="239" spans="1:68" ht="15" customHeight="1" x14ac:dyDescent="0.25">
      <c r="A239" s="1">
        <f t="shared" si="15"/>
        <v>101</v>
      </c>
      <c r="B239" s="1" t="str">
        <f t="shared" si="12"/>
        <v xml:space="preserve">Louisana </v>
      </c>
      <c r="C239" s="1">
        <f t="shared" si="13"/>
        <v>1</v>
      </c>
      <c r="D239" s="2" t="str">
        <f t="shared" si="14"/>
        <v>2024-11</v>
      </c>
      <c r="E239" s="3" t="s">
        <v>256</v>
      </c>
      <c r="F239" s="4" t="s">
        <v>74</v>
      </c>
      <c r="G239" s="71">
        <v>45618</v>
      </c>
      <c r="H239" s="40">
        <v>112</v>
      </c>
      <c r="I239" s="40">
        <v>-141</v>
      </c>
      <c r="J239" s="36">
        <v>130</v>
      </c>
      <c r="K239" s="8">
        <v>2.6633575344495487E-2</v>
      </c>
      <c r="L239" s="9">
        <v>1.1579815367171953E-2</v>
      </c>
      <c r="M239" s="10">
        <v>124.03319502074686</v>
      </c>
      <c r="N239" s="11">
        <v>2.2999999999999998</v>
      </c>
      <c r="O239" s="12">
        <v>1292.4881877239216</v>
      </c>
      <c r="P239" s="32" t="s">
        <v>143</v>
      </c>
      <c r="Q239" s="78" t="s">
        <v>92</v>
      </c>
      <c r="R239" s="79"/>
      <c r="S239" s="32"/>
      <c r="T239" s="32">
        <v>796.91499999999996</v>
      </c>
      <c r="U239" s="32">
        <v>796.91499999999996</v>
      </c>
      <c r="V239" s="74" t="s">
        <v>82</v>
      </c>
      <c r="W239" s="15"/>
      <c r="X239" s="15"/>
      <c r="Y239" s="16"/>
      <c r="Z239" s="17"/>
      <c r="AA239" s="18"/>
      <c r="AB239" s="75">
        <v>-796.91499999999996</v>
      </c>
      <c r="AC239" s="20">
        <v>21.224695695658621</v>
      </c>
      <c r="AD239" s="21">
        <v>45618</v>
      </c>
      <c r="AE239" s="22">
        <v>96015.967508733855</v>
      </c>
      <c r="AF239" s="23">
        <v>25377.255933333352</v>
      </c>
      <c r="AG239" s="24">
        <v>126174.17093333371</v>
      </c>
      <c r="AH239" s="15">
        <v>0.5</v>
      </c>
      <c r="AI239" s="76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7"/>
      <c r="BN239" s="77"/>
      <c r="BO239" s="77"/>
      <c r="BP239" s="77"/>
    </row>
    <row r="240" spans="1:68" ht="15" customHeight="1" x14ac:dyDescent="0.25">
      <c r="A240" s="1">
        <f t="shared" si="15"/>
        <v>101</v>
      </c>
      <c r="B240" s="1" t="str">
        <f t="shared" si="12"/>
        <v xml:space="preserve">Louisana </v>
      </c>
      <c r="C240" s="1">
        <f t="shared" si="13"/>
        <v>1</v>
      </c>
      <c r="D240" s="2" t="str">
        <f t="shared" si="14"/>
        <v>2024-11</v>
      </c>
      <c r="E240" s="3" t="s">
        <v>256</v>
      </c>
      <c r="F240" s="4" t="s">
        <v>83</v>
      </c>
      <c r="G240" s="71">
        <v>45618</v>
      </c>
      <c r="H240" s="40">
        <v>112</v>
      </c>
      <c r="I240" s="40">
        <v>-141</v>
      </c>
      <c r="J240" s="36">
        <v>130</v>
      </c>
      <c r="K240" s="8">
        <v>2.6633575344495487E-2</v>
      </c>
      <c r="L240" s="9">
        <v>1.1579815367171953E-2</v>
      </c>
      <c r="M240" s="10">
        <v>124.03319502074686</v>
      </c>
      <c r="N240" s="11">
        <v>2.2999999999999998</v>
      </c>
      <c r="O240" s="12">
        <v>1284.3248432255914</v>
      </c>
      <c r="P240" s="32" t="s">
        <v>143</v>
      </c>
      <c r="Q240" s="80" t="s">
        <v>92</v>
      </c>
      <c r="R240" s="79"/>
      <c r="S240" s="32"/>
      <c r="T240" s="32">
        <v>400.46</v>
      </c>
      <c r="U240" s="32">
        <v>400.46</v>
      </c>
      <c r="V240" s="74" t="s">
        <v>82</v>
      </c>
      <c r="W240" s="15"/>
      <c r="X240" s="15"/>
      <c r="Y240" s="16"/>
      <c r="Z240" s="17"/>
      <c r="AA240" s="18"/>
      <c r="AB240" s="75">
        <v>-400.46</v>
      </c>
      <c r="AC240" s="20">
        <v>10.665681582456662</v>
      </c>
      <c r="AD240" s="21">
        <v>45618</v>
      </c>
      <c r="AE240" s="22">
        <v>96026.633190316308</v>
      </c>
      <c r="AF240" s="23">
        <v>24976.795933333353</v>
      </c>
      <c r="AG240" s="24">
        <v>125377.25593333371</v>
      </c>
      <c r="AH240" s="15">
        <v>0.5</v>
      </c>
      <c r="AI240" s="76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77"/>
    </row>
    <row r="241" spans="1:68" ht="15" customHeight="1" x14ac:dyDescent="0.25">
      <c r="A241" s="1">
        <f t="shared" si="15"/>
        <v>101</v>
      </c>
      <c r="B241" s="1" t="str">
        <f t="shared" si="12"/>
        <v xml:space="preserve">Louisana </v>
      </c>
      <c r="C241" s="1">
        <f t="shared" si="13"/>
        <v>1</v>
      </c>
      <c r="D241" s="2" t="str">
        <f t="shared" si="14"/>
        <v>2024-11</v>
      </c>
      <c r="E241" s="3" t="s">
        <v>257</v>
      </c>
      <c r="F241" s="4" t="s">
        <v>74</v>
      </c>
      <c r="G241" s="71">
        <v>45618</v>
      </c>
      <c r="H241" s="40">
        <v>117</v>
      </c>
      <c r="I241" s="40">
        <v>-146</v>
      </c>
      <c r="J241" s="36">
        <v>138</v>
      </c>
      <c r="K241" s="8">
        <v>4.0261540101631035E-2</v>
      </c>
      <c r="L241" s="9">
        <v>1.6916613488080268E-2</v>
      </c>
      <c r="M241" s="10">
        <v>128.78861788617888</v>
      </c>
      <c r="N241" s="11">
        <v>2.38</v>
      </c>
      <c r="O241" s="12">
        <v>1823.100826537418</v>
      </c>
      <c r="P241" s="32" t="s">
        <v>143</v>
      </c>
      <c r="Q241" s="80" t="s">
        <v>92</v>
      </c>
      <c r="R241" s="79"/>
      <c r="S241" s="32"/>
      <c r="T241" s="32">
        <v>750.72</v>
      </c>
      <c r="U241" s="32">
        <v>750.72</v>
      </c>
      <c r="V241" s="74" t="s">
        <v>82</v>
      </c>
      <c r="W241" s="15"/>
      <c r="X241" s="15"/>
      <c r="Y241" s="16"/>
      <c r="Z241" s="17"/>
      <c r="AA241" s="18"/>
      <c r="AB241" s="75">
        <v>-750.72</v>
      </c>
      <c r="AC241" s="20">
        <v>30.225143385096452</v>
      </c>
      <c r="AD241" s="21">
        <v>45618</v>
      </c>
      <c r="AE241" s="22">
        <v>96056.858333701399</v>
      </c>
      <c r="AF241" s="23">
        <v>24226.075933333352</v>
      </c>
      <c r="AG241" s="24">
        <v>124976.79593333371</v>
      </c>
      <c r="AH241" s="15">
        <v>0.5</v>
      </c>
      <c r="AI241" s="76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7"/>
      <c r="BO241" s="77"/>
      <c r="BP241" s="77"/>
    </row>
    <row r="242" spans="1:68" ht="15" customHeight="1" x14ac:dyDescent="0.25">
      <c r="A242" s="1">
        <f t="shared" si="15"/>
        <v>101</v>
      </c>
      <c r="B242" s="1" t="str">
        <f t="shared" si="12"/>
        <v xml:space="preserve">Louisana </v>
      </c>
      <c r="C242" s="1">
        <f t="shared" si="13"/>
        <v>1</v>
      </c>
      <c r="D242" s="2" t="str">
        <f t="shared" si="14"/>
        <v>2024-11</v>
      </c>
      <c r="E242" s="3" t="s">
        <v>258</v>
      </c>
      <c r="F242" s="4" t="s">
        <v>74</v>
      </c>
      <c r="G242" s="71">
        <v>45618</v>
      </c>
      <c r="H242" s="40">
        <v>122</v>
      </c>
      <c r="I242" s="40">
        <v>-151</v>
      </c>
      <c r="J242" s="36">
        <v>145</v>
      </c>
      <c r="K242" s="8">
        <v>4.9008904506840513E-2</v>
      </c>
      <c r="L242" s="9">
        <v>2.0003634492587963E-2</v>
      </c>
      <c r="M242" s="10">
        <v>133.55378486055778</v>
      </c>
      <c r="N242" s="11">
        <v>2.4500000000000002</v>
      </c>
      <c r="O242" s="12">
        <v>2099.3737560952654</v>
      </c>
      <c r="P242" s="32" t="s">
        <v>143</v>
      </c>
      <c r="Q242" s="80" t="s">
        <v>92</v>
      </c>
      <c r="R242" s="79"/>
      <c r="S242" s="32"/>
      <c r="T242" s="32">
        <v>714.47500000000002</v>
      </c>
      <c r="U242" s="32">
        <v>714.47500000000002</v>
      </c>
      <c r="V242" s="74" t="s">
        <v>82</v>
      </c>
      <c r="W242" s="15"/>
      <c r="X242" s="15"/>
      <c r="Y242" s="16"/>
      <c r="Z242" s="17"/>
      <c r="AA242" s="18"/>
      <c r="AB242" s="75">
        <v>-714.47500000000002</v>
      </c>
      <c r="AC242" s="20">
        <v>35.015637047524876</v>
      </c>
      <c r="AD242" s="21">
        <v>45618</v>
      </c>
      <c r="AE242" s="22">
        <v>96091.873970748929</v>
      </c>
      <c r="AF242" s="23">
        <v>23511.600933333353</v>
      </c>
      <c r="AG242" s="24">
        <v>124226.0759333337</v>
      </c>
      <c r="AH242" s="15">
        <v>0.5</v>
      </c>
      <c r="AI242" s="76"/>
      <c r="AJ242" s="76"/>
      <c r="AK242" s="76"/>
      <c r="AL242" s="76"/>
      <c r="AM242" s="76"/>
      <c r="AN242" s="76"/>
      <c r="AO242" s="76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77"/>
    </row>
    <row r="243" spans="1:68" ht="15" customHeight="1" x14ac:dyDescent="0.25">
      <c r="A243" s="1">
        <f t="shared" si="15"/>
        <v>101</v>
      </c>
      <c r="B243" s="1" t="str">
        <f t="shared" si="12"/>
        <v xml:space="preserve">Louisana </v>
      </c>
      <c r="C243" s="1">
        <f t="shared" si="13"/>
        <v>1</v>
      </c>
      <c r="D243" s="2" t="str">
        <f t="shared" si="14"/>
        <v>2024-11</v>
      </c>
      <c r="E243" s="3" t="s">
        <v>259</v>
      </c>
      <c r="F243" s="4" t="s">
        <v>74</v>
      </c>
      <c r="G243" s="71">
        <v>45618</v>
      </c>
      <c r="H243" s="40">
        <v>-102</v>
      </c>
      <c r="I243" s="40">
        <v>-120</v>
      </c>
      <c r="J243" s="36">
        <v>112</v>
      </c>
      <c r="K243" s="8">
        <v>1.912596401028295E-2</v>
      </c>
      <c r="L243" s="9">
        <v>9.0216811369259187E-3</v>
      </c>
      <c r="M243" s="10">
        <v>108.02139037433153</v>
      </c>
      <c r="N243" s="11">
        <v>2.12</v>
      </c>
      <c r="O243" s="12">
        <v>1054.5885867425759</v>
      </c>
      <c r="P243" s="32" t="s">
        <v>143</v>
      </c>
      <c r="Q243" s="80" t="s">
        <v>92</v>
      </c>
      <c r="R243" s="79"/>
      <c r="S243" s="32"/>
      <c r="T243" s="32">
        <v>924.99</v>
      </c>
      <c r="U243" s="32">
        <v>924.99</v>
      </c>
      <c r="V243" s="74" t="s">
        <v>82</v>
      </c>
      <c r="W243" s="15"/>
      <c r="X243" s="15"/>
      <c r="Y243" s="16"/>
      <c r="Z243" s="17"/>
      <c r="AA243" s="18"/>
      <c r="AB243" s="75">
        <v>-924.99</v>
      </c>
      <c r="AC243" s="20">
        <v>17.691325449871627</v>
      </c>
      <c r="AD243" s="21">
        <v>45618</v>
      </c>
      <c r="AE243" s="22">
        <v>96109.565296198794</v>
      </c>
      <c r="AF243" s="23">
        <v>22586.610933333352</v>
      </c>
      <c r="AG243" s="24">
        <v>123511.6009333337</v>
      </c>
      <c r="AH243" s="15">
        <v>0.5</v>
      </c>
      <c r="AI243" s="76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7"/>
      <c r="BN243" s="77"/>
      <c r="BO243" s="77"/>
      <c r="BP243" s="77"/>
    </row>
    <row r="244" spans="1:68" ht="15" customHeight="1" x14ac:dyDescent="0.25">
      <c r="A244" s="1">
        <f t="shared" si="15"/>
        <v>101</v>
      </c>
      <c r="B244" s="1" t="str">
        <f t="shared" si="12"/>
        <v xml:space="preserve">Louisana </v>
      </c>
      <c r="C244" s="1">
        <f t="shared" si="13"/>
        <v>1</v>
      </c>
      <c r="D244" s="2" t="str">
        <f t="shared" si="14"/>
        <v>2024-11</v>
      </c>
      <c r="E244" s="3" t="s">
        <v>260</v>
      </c>
      <c r="F244" s="4" t="s">
        <v>74</v>
      </c>
      <c r="G244" s="71">
        <v>45618</v>
      </c>
      <c r="H244" s="40">
        <v>102</v>
      </c>
      <c r="I244" s="40">
        <v>-127</v>
      </c>
      <c r="J244" s="36">
        <v>117</v>
      </c>
      <c r="K244" s="8">
        <v>1.8716135169789316E-2</v>
      </c>
      <c r="L244" s="9">
        <v>8.624947082852219E-3</v>
      </c>
      <c r="M244" s="10">
        <v>113.01321585903086</v>
      </c>
      <c r="N244" s="11">
        <v>2.17</v>
      </c>
      <c r="O244" s="12">
        <v>980.49041890369494</v>
      </c>
      <c r="P244" s="32" t="s">
        <v>143</v>
      </c>
      <c r="Q244" s="78" t="s">
        <v>92</v>
      </c>
      <c r="R244" s="79"/>
      <c r="S244" s="32"/>
      <c r="T244" s="32">
        <v>885.46</v>
      </c>
      <c r="U244" s="32">
        <v>885.46</v>
      </c>
      <c r="V244" s="74" t="s">
        <v>82</v>
      </c>
      <c r="W244" s="15"/>
      <c r="X244" s="15"/>
      <c r="Y244" s="16"/>
      <c r="Z244" s="17"/>
      <c r="AA244" s="18"/>
      <c r="AB244" s="75">
        <v>-885.46</v>
      </c>
      <c r="AC244" s="20">
        <v>16.57238904744165</v>
      </c>
      <c r="AD244" s="21">
        <v>45618</v>
      </c>
      <c r="AE244" s="22">
        <v>96126.137685246242</v>
      </c>
      <c r="AF244" s="23">
        <v>21701.150933333352</v>
      </c>
      <c r="AG244" s="24">
        <v>122586.61093333369</v>
      </c>
      <c r="AH244" s="15">
        <v>0.5</v>
      </c>
      <c r="AI244" s="76"/>
      <c r="AJ244" s="77"/>
      <c r="AK244" s="77"/>
      <c r="AL244" s="77"/>
      <c r="AM244" s="77"/>
      <c r="AN244" s="76"/>
      <c r="AO244" s="76"/>
      <c r="AP244" s="77"/>
      <c r="AQ244" s="77"/>
      <c r="AR244" s="77"/>
      <c r="AS244" s="77"/>
      <c r="AT244" s="77"/>
      <c r="AU244" s="77"/>
      <c r="AV244" s="77"/>
      <c r="AW244" s="77"/>
      <c r="AX244" s="76"/>
      <c r="AY244" s="76"/>
      <c r="AZ244" s="76"/>
      <c r="BA244" s="76"/>
      <c r="BB244" s="76"/>
      <c r="BC244" s="76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/>
      <c r="BN244" s="77"/>
      <c r="BO244" s="77"/>
      <c r="BP244" s="76"/>
    </row>
    <row r="245" spans="1:68" ht="15" customHeight="1" x14ac:dyDescent="0.25">
      <c r="A245" s="1">
        <f t="shared" si="15"/>
        <v>102</v>
      </c>
      <c r="B245" s="1" t="str">
        <f t="shared" si="12"/>
        <v xml:space="preserve">Norfolk </v>
      </c>
      <c r="C245" s="1">
        <f t="shared" si="13"/>
        <v>0</v>
      </c>
      <c r="D245" s="2" t="str">
        <f t="shared" si="14"/>
        <v>2024-11</v>
      </c>
      <c r="E245" s="3" t="s">
        <v>261</v>
      </c>
      <c r="F245" s="4" t="s">
        <v>74</v>
      </c>
      <c r="G245" s="39">
        <v>45618</v>
      </c>
      <c r="H245" s="40">
        <v>-123</v>
      </c>
      <c r="I245" s="40">
        <v>100</v>
      </c>
      <c r="J245" s="36">
        <v>-107</v>
      </c>
      <c r="K245" s="8">
        <v>1.4726102464978264E-2</v>
      </c>
      <c r="L245" s="9">
        <v>7.6120433031530155E-3</v>
      </c>
      <c r="M245" s="10">
        <v>-110.31390134529148</v>
      </c>
      <c r="N245" s="11">
        <v>1.9345794392523366</v>
      </c>
      <c r="O245" s="12">
        <v>956.99141700142945</v>
      </c>
      <c r="P245" s="32" t="s">
        <v>143</v>
      </c>
      <c r="Q245" s="81" t="s">
        <v>76</v>
      </c>
      <c r="R245" s="82"/>
      <c r="S245" s="32"/>
      <c r="T245" s="32">
        <v>1605</v>
      </c>
      <c r="U245" s="32">
        <v>2803.4799999999996</v>
      </c>
      <c r="V245" s="74" t="s">
        <v>77</v>
      </c>
      <c r="W245" s="15"/>
      <c r="X245" s="15"/>
      <c r="Y245" s="16"/>
      <c r="Z245" s="17"/>
      <c r="AA245" s="18"/>
      <c r="AB245" s="75">
        <v>1500</v>
      </c>
      <c r="AC245" s="20">
        <v>23.635394456290115</v>
      </c>
      <c r="AD245" s="21">
        <v>45618</v>
      </c>
      <c r="AE245" s="22">
        <v>95400.953173956048</v>
      </c>
      <c r="AF245" s="23">
        <v>22969.275933333349</v>
      </c>
      <c r="AG245" s="24">
        <v>121469.27593333367</v>
      </c>
      <c r="AH245" s="15">
        <v>0.5</v>
      </c>
      <c r="AI245" s="76"/>
      <c r="AJ245" s="77"/>
      <c r="AK245" s="77"/>
      <c r="AL245" s="77"/>
      <c r="AM245" s="77"/>
      <c r="AN245" s="83"/>
      <c r="AO245" s="83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83"/>
      <c r="BC245" s="83"/>
      <c r="BD245" s="77"/>
      <c r="BE245" s="77"/>
      <c r="BF245" s="77"/>
      <c r="BG245" s="77"/>
      <c r="BH245" s="77"/>
      <c r="BI245" s="77"/>
      <c r="BJ245" s="77"/>
      <c r="BK245" s="77"/>
      <c r="BL245" s="77"/>
      <c r="BM245" s="77"/>
      <c r="BN245" s="77"/>
      <c r="BO245" s="77"/>
      <c r="BP245" s="83"/>
    </row>
    <row r="246" spans="1:68" ht="15" customHeight="1" x14ac:dyDescent="0.25">
      <c r="A246" s="1">
        <f t="shared" si="15"/>
        <v>102</v>
      </c>
      <c r="B246" s="1" t="str">
        <f t="shared" si="12"/>
        <v xml:space="preserve">Norfolk </v>
      </c>
      <c r="C246" s="1">
        <f t="shared" si="13"/>
        <v>0</v>
      </c>
      <c r="D246" s="2" t="str">
        <f t="shared" si="14"/>
        <v>2024-11</v>
      </c>
      <c r="E246" s="3" t="s">
        <v>262</v>
      </c>
      <c r="F246" s="4" t="s">
        <v>74</v>
      </c>
      <c r="G246" s="39">
        <v>45618</v>
      </c>
      <c r="H246" s="40">
        <v>-114</v>
      </c>
      <c r="I246" s="40">
        <v>-108</v>
      </c>
      <c r="J246" s="36">
        <v>100</v>
      </c>
      <c r="K246" s="8">
        <v>1.2813941568426523E-2</v>
      </c>
      <c r="L246" s="9">
        <v>6.4069707842132617E-3</v>
      </c>
      <c r="M246" s="10">
        <v>-102.59605399792318</v>
      </c>
      <c r="N246" s="11">
        <v>2</v>
      </c>
      <c r="O246" s="12">
        <v>787.86055826072777</v>
      </c>
      <c r="P246" s="32" t="s">
        <v>143</v>
      </c>
      <c r="Q246" s="81" t="s">
        <v>76</v>
      </c>
      <c r="R246" s="82"/>
      <c r="S246" s="32"/>
      <c r="T246" s="32">
        <v>1500</v>
      </c>
      <c r="U246" s="32">
        <v>2643.9700000000003</v>
      </c>
      <c r="V246" s="74" t="s">
        <v>77</v>
      </c>
      <c r="W246" s="15"/>
      <c r="X246" s="15"/>
      <c r="Y246" s="16"/>
      <c r="Z246" s="17"/>
      <c r="AA246" s="18"/>
      <c r="AB246" s="75">
        <v>1500</v>
      </c>
      <c r="AC246" s="20">
        <v>19.220912352639786</v>
      </c>
      <c r="AD246" s="21">
        <v>45618</v>
      </c>
      <c r="AE246" s="22">
        <v>95420.174086308689</v>
      </c>
      <c r="AF246" s="23">
        <v>24469.275933333349</v>
      </c>
      <c r="AG246" s="24">
        <v>122969.27593333367</v>
      </c>
      <c r="AH246" s="15">
        <v>0.5</v>
      </c>
      <c r="AI246" s="76"/>
      <c r="AJ246" s="83"/>
      <c r="AK246" s="83"/>
      <c r="AL246" s="83"/>
      <c r="AM246" s="83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83"/>
      <c r="BC246" s="83"/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83"/>
    </row>
    <row r="247" spans="1:68" ht="15" customHeight="1" x14ac:dyDescent="0.25">
      <c r="A247" s="1">
        <f t="shared" si="15"/>
        <v>103</v>
      </c>
      <c r="B247" s="1" t="str">
        <f t="shared" si="12"/>
        <v xml:space="preserve">Pacific </v>
      </c>
      <c r="C247" s="1">
        <f t="shared" si="13"/>
        <v>1</v>
      </c>
      <c r="D247" s="2" t="str">
        <f t="shared" si="14"/>
        <v>2024-11</v>
      </c>
      <c r="E247" s="3" t="s">
        <v>263</v>
      </c>
      <c r="F247" s="4" t="s">
        <v>74</v>
      </c>
      <c r="G247" s="39">
        <v>45618</v>
      </c>
      <c r="H247" s="40">
        <v>-108</v>
      </c>
      <c r="I247" s="40">
        <v>100</v>
      </c>
      <c r="J247" s="36">
        <v>112</v>
      </c>
      <c r="K247" s="8">
        <v>8.0000000000000113E-2</v>
      </c>
      <c r="L247" s="9">
        <v>3.7735849056603821E-2</v>
      </c>
      <c r="M247" s="10">
        <v>-103.84615384615385</v>
      </c>
      <c r="N247" s="11">
        <v>2.12</v>
      </c>
      <c r="O247" s="12">
        <v>4495.1019976190664</v>
      </c>
      <c r="P247" s="32" t="s">
        <v>143</v>
      </c>
      <c r="Q247" s="81" t="s">
        <v>92</v>
      </c>
      <c r="R247" s="82"/>
      <c r="S247" s="80"/>
      <c r="T247" s="32">
        <v>924.99</v>
      </c>
      <c r="U247" s="32">
        <v>924.99</v>
      </c>
      <c r="V247" s="74" t="s">
        <v>77</v>
      </c>
      <c r="W247" s="15"/>
      <c r="X247" s="15"/>
      <c r="Y247" s="16"/>
      <c r="Z247" s="17"/>
      <c r="AA247" s="18"/>
      <c r="AB247" s="75">
        <v>1035.99</v>
      </c>
      <c r="AC247" s="20">
        <v>73.999200000000101</v>
      </c>
      <c r="AD247" s="21">
        <v>45618</v>
      </c>
      <c r="AE247" s="22">
        <v>95921.858547803917</v>
      </c>
      <c r="AF247" s="23">
        <v>26898.845933333352</v>
      </c>
      <c r="AG247" s="24">
        <v>125862.85593333369</v>
      </c>
      <c r="AH247" s="15">
        <v>0.5</v>
      </c>
      <c r="AI247" s="76"/>
      <c r="AJ247" s="83"/>
      <c r="AK247" s="83"/>
      <c r="AL247" s="83"/>
      <c r="AM247" s="83"/>
      <c r="AN247" s="83"/>
      <c r="AO247" s="83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83"/>
      <c r="BC247" s="83"/>
      <c r="BD247" s="77"/>
      <c r="BE247" s="77"/>
      <c r="BF247" s="77"/>
      <c r="BG247" s="77"/>
      <c r="BH247" s="77"/>
      <c r="BI247" s="77"/>
      <c r="BJ247" s="77"/>
      <c r="BK247" s="77"/>
      <c r="BL247" s="77"/>
      <c r="BM247" s="77"/>
      <c r="BN247" s="77"/>
      <c r="BO247" s="77"/>
      <c r="BP247" s="77"/>
    </row>
    <row r="248" spans="1:68" ht="15" customHeight="1" x14ac:dyDescent="0.25">
      <c r="A248" s="1">
        <f t="shared" si="15"/>
        <v>103</v>
      </c>
      <c r="B248" s="1" t="str">
        <f t="shared" si="12"/>
        <v xml:space="preserve">Pacific </v>
      </c>
      <c r="C248" s="1">
        <f t="shared" si="13"/>
        <v>1</v>
      </c>
      <c r="D248" s="2" t="str">
        <f t="shared" si="14"/>
        <v>2024-11</v>
      </c>
      <c r="E248" s="3" t="s">
        <v>263</v>
      </c>
      <c r="F248" s="4" t="s">
        <v>83</v>
      </c>
      <c r="G248" s="39">
        <v>45618</v>
      </c>
      <c r="H248" s="40">
        <v>-108</v>
      </c>
      <c r="I248" s="40">
        <v>100</v>
      </c>
      <c r="J248" s="36">
        <v>112</v>
      </c>
      <c r="K248" s="8">
        <v>8.0000000000000113E-2</v>
      </c>
      <c r="L248" s="9">
        <v>3.7735849056603821E-2</v>
      </c>
      <c r="M248" s="10">
        <v>-103.84615384615385</v>
      </c>
      <c r="N248" s="11">
        <v>2.12</v>
      </c>
      <c r="O248" s="12">
        <v>4532.1016404762095</v>
      </c>
      <c r="P248" s="32" t="s">
        <v>143</v>
      </c>
      <c r="Q248" s="81" t="s">
        <v>92</v>
      </c>
      <c r="R248" s="82"/>
      <c r="S248" s="80"/>
      <c r="T248" s="32">
        <v>464.82</v>
      </c>
      <c r="U248" s="32">
        <v>464.82</v>
      </c>
      <c r="V248" s="74" t="s">
        <v>77</v>
      </c>
      <c r="W248" s="15"/>
      <c r="X248" s="15"/>
      <c r="Y248" s="16"/>
      <c r="Z248" s="17"/>
      <c r="AA248" s="18"/>
      <c r="AB248" s="75">
        <v>520.6</v>
      </c>
      <c r="AC248" s="20">
        <v>37.185600000000051</v>
      </c>
      <c r="AD248" s="21">
        <v>45618</v>
      </c>
      <c r="AE248" s="22">
        <v>95959.044147803914</v>
      </c>
      <c r="AF248" s="23">
        <v>27419.445933333351</v>
      </c>
      <c r="AG248" s="24">
        <v>126898.84593333369</v>
      </c>
      <c r="AH248" s="15">
        <v>0.5</v>
      </c>
      <c r="AI248" s="76"/>
      <c r="AJ248" s="77"/>
      <c r="AK248" s="77"/>
      <c r="AL248" s="77"/>
      <c r="AM248" s="77"/>
      <c r="AN248" s="83"/>
      <c r="AO248" s="83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83"/>
      <c r="BC248" s="83"/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77"/>
    </row>
    <row r="249" spans="1:68" ht="15" customHeight="1" x14ac:dyDescent="0.25">
      <c r="A249" s="1">
        <f t="shared" si="15"/>
        <v>104</v>
      </c>
      <c r="B249" s="1" t="str">
        <f t="shared" si="12"/>
        <v xml:space="preserve">Wisconsin </v>
      </c>
      <c r="C249" s="1">
        <f t="shared" si="13"/>
        <v>1</v>
      </c>
      <c r="D249" s="2" t="str">
        <f t="shared" si="14"/>
        <v>2024-11</v>
      </c>
      <c r="E249" s="3" t="s">
        <v>264</v>
      </c>
      <c r="F249" s="4" t="s">
        <v>74</v>
      </c>
      <c r="G249" s="39">
        <v>45618</v>
      </c>
      <c r="H249" s="40">
        <v>106</v>
      </c>
      <c r="I249" s="40">
        <v>-132</v>
      </c>
      <c r="J249" s="36">
        <v>123</v>
      </c>
      <c r="K249" s="8">
        <v>2.6670900142879688E-2</v>
      </c>
      <c r="L249" s="9">
        <v>1.1960044907120937E-2</v>
      </c>
      <c r="M249" s="10">
        <v>117.20689655172413</v>
      </c>
      <c r="N249" s="11">
        <v>2.23</v>
      </c>
      <c r="O249" s="12">
        <v>1349.4746460465369</v>
      </c>
      <c r="P249" s="32" t="s">
        <v>143</v>
      </c>
      <c r="Q249" s="81" t="s">
        <v>92</v>
      </c>
      <c r="R249" s="82"/>
      <c r="S249" s="80"/>
      <c r="T249" s="32">
        <v>842.27</v>
      </c>
      <c r="U249" s="32">
        <v>842.27</v>
      </c>
      <c r="V249" s="74" t="s">
        <v>77</v>
      </c>
      <c r="W249" s="15"/>
      <c r="X249" s="15"/>
      <c r="Y249" s="16"/>
      <c r="Z249" s="17"/>
      <c r="AA249" s="18"/>
      <c r="AB249" s="75">
        <v>1035.99</v>
      </c>
      <c r="AC249" s="20">
        <v>22.464099063343273</v>
      </c>
      <c r="AD249" s="21">
        <v>45618</v>
      </c>
      <c r="AE249" s="22">
        <v>95442.638185372038</v>
      </c>
      <c r="AF249" s="23">
        <v>25505.26593333335</v>
      </c>
      <c r="AG249" s="24">
        <v>124469.27593333367</v>
      </c>
      <c r="AH249" s="15">
        <v>0.5</v>
      </c>
      <c r="AI249" s="76"/>
      <c r="AJ249" s="77"/>
      <c r="AK249" s="77"/>
      <c r="AL249" s="77"/>
      <c r="AM249" s="77"/>
      <c r="AN249" s="83"/>
      <c r="AO249" s="83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83"/>
      <c r="BC249" s="83"/>
      <c r="BD249" s="77"/>
      <c r="BE249" s="77"/>
      <c r="BF249" s="77"/>
      <c r="BG249" s="77"/>
      <c r="BH249" s="77"/>
      <c r="BI249" s="77"/>
      <c r="BJ249" s="77"/>
      <c r="BK249" s="77"/>
      <c r="BL249" s="77"/>
      <c r="BM249" s="77"/>
      <c r="BN249" s="77"/>
      <c r="BO249" s="77"/>
      <c r="BP249" s="83"/>
    </row>
    <row r="250" spans="1:68" ht="15" customHeight="1" x14ac:dyDescent="0.25">
      <c r="A250" s="1">
        <f t="shared" si="15"/>
        <v>104</v>
      </c>
      <c r="B250" s="1" t="str">
        <f t="shared" si="12"/>
        <v xml:space="preserve">Wisconsin </v>
      </c>
      <c r="C250" s="1">
        <f t="shared" si="13"/>
        <v>1</v>
      </c>
      <c r="D250" s="2" t="str">
        <f t="shared" si="14"/>
        <v>2024-11</v>
      </c>
      <c r="E250" s="3" t="s">
        <v>264</v>
      </c>
      <c r="F250" s="4" t="s">
        <v>83</v>
      </c>
      <c r="G250" s="39">
        <v>45618</v>
      </c>
      <c r="H250" s="40">
        <v>106</v>
      </c>
      <c r="I250" s="40">
        <v>-132</v>
      </c>
      <c r="J250" s="36">
        <v>123</v>
      </c>
      <c r="K250" s="8">
        <v>2.6670900142879688E-2</v>
      </c>
      <c r="L250" s="9">
        <v>1.1960044907120937E-2</v>
      </c>
      <c r="M250" s="10">
        <v>117.20689655172413</v>
      </c>
      <c r="N250" s="11">
        <v>2.23</v>
      </c>
      <c r="O250" s="12">
        <v>1360.7066728103669</v>
      </c>
      <c r="P250" s="32" t="s">
        <v>143</v>
      </c>
      <c r="Q250" s="81" t="s">
        <v>92</v>
      </c>
      <c r="R250" s="82"/>
      <c r="S250" s="80"/>
      <c r="T250" s="32">
        <v>423.25</v>
      </c>
      <c r="U250" s="32">
        <v>423.25</v>
      </c>
      <c r="V250" s="74" t="s">
        <v>77</v>
      </c>
      <c r="W250" s="15"/>
      <c r="X250" s="15"/>
      <c r="Y250" s="16"/>
      <c r="Z250" s="17"/>
      <c r="AA250" s="18"/>
      <c r="AB250" s="75">
        <v>520.6</v>
      </c>
      <c r="AC250" s="20">
        <v>11.288458485473829</v>
      </c>
      <c r="AD250" s="21">
        <v>45618</v>
      </c>
      <c r="AE250" s="22">
        <v>95453.926643857514</v>
      </c>
      <c r="AF250" s="23">
        <v>26025.865933333349</v>
      </c>
      <c r="AG250" s="24">
        <v>125505.26593333368</v>
      </c>
      <c r="AH250" s="15">
        <v>0.5</v>
      </c>
      <c r="AI250" s="76"/>
      <c r="AJ250" s="77"/>
      <c r="AK250" s="77"/>
      <c r="AL250" s="77"/>
      <c r="AM250" s="77"/>
      <c r="AN250" s="83"/>
      <c r="AO250" s="83"/>
      <c r="AP250" s="77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83"/>
      <c r="BC250" s="83"/>
      <c r="BD250" s="77"/>
      <c r="BE250" s="77"/>
      <c r="BF250" s="77"/>
      <c r="BG250" s="77"/>
      <c r="BH250" s="77"/>
      <c r="BI250" s="77"/>
      <c r="BJ250" s="77"/>
      <c r="BK250" s="77"/>
      <c r="BL250" s="77"/>
      <c r="BM250" s="77"/>
      <c r="BN250" s="77"/>
      <c r="BO250" s="77"/>
      <c r="BP250" s="83"/>
    </row>
    <row r="251" spans="1:68" ht="15" customHeight="1" x14ac:dyDescent="0.25">
      <c r="A251" s="1">
        <f t="shared" si="15"/>
        <v>105</v>
      </c>
      <c r="B251" s="1" t="str">
        <f t="shared" si="12"/>
        <v xml:space="preserve">Wizards </v>
      </c>
      <c r="C251" s="1">
        <f t="shared" si="13"/>
        <v>1</v>
      </c>
      <c r="D251" s="2" t="str">
        <f t="shared" si="14"/>
        <v>2024-11</v>
      </c>
      <c r="E251" s="3" t="s">
        <v>265</v>
      </c>
      <c r="F251" s="4" t="s">
        <v>74</v>
      </c>
      <c r="G251" s="39">
        <v>45618</v>
      </c>
      <c r="H251" s="40">
        <v>-105</v>
      </c>
      <c r="I251" s="40">
        <v>-110</v>
      </c>
      <c r="J251" s="36">
        <v>112</v>
      </c>
      <c r="K251" s="8">
        <v>4.8116591928251316E-2</v>
      </c>
      <c r="L251" s="9">
        <v>2.2696505626533636E-2</v>
      </c>
      <c r="M251" s="10">
        <v>102.26757369614511</v>
      </c>
      <c r="N251" s="11">
        <v>2.12</v>
      </c>
      <c r="O251" s="12">
        <v>2581.9954146273935</v>
      </c>
      <c r="P251" s="32" t="s">
        <v>75</v>
      </c>
      <c r="Q251" s="78" t="s">
        <v>92</v>
      </c>
      <c r="R251" s="79"/>
      <c r="S251" s="32"/>
      <c r="T251" s="32">
        <v>554.995</v>
      </c>
      <c r="U251" s="32">
        <v>554.995</v>
      </c>
      <c r="V251" s="74" t="s">
        <v>82</v>
      </c>
      <c r="W251" s="15"/>
      <c r="X251" s="15"/>
      <c r="Y251" s="16"/>
      <c r="Z251" s="17"/>
      <c r="AA251" s="18"/>
      <c r="AB251" s="75">
        <v>-554.995</v>
      </c>
      <c r="AC251" s="20">
        <v>26.704467937219839</v>
      </c>
      <c r="AD251" s="21">
        <v>45618</v>
      </c>
      <c r="AE251" s="22">
        <v>96263.599712705996</v>
      </c>
      <c r="AF251" s="23">
        <v>19646.155933333353</v>
      </c>
      <c r="AG251" s="24">
        <v>120201.15093333369</v>
      </c>
      <c r="AH251" s="15">
        <v>0.5</v>
      </c>
      <c r="AI251" s="76"/>
      <c r="AJ251" s="76"/>
      <c r="AK251" s="76"/>
      <c r="AL251" s="76"/>
      <c r="AM251" s="76"/>
      <c r="AN251" s="76"/>
      <c r="AO251" s="76"/>
      <c r="AP251" s="77"/>
      <c r="AQ251" s="77"/>
      <c r="AR251" s="77"/>
      <c r="AS251" s="77"/>
      <c r="AT251" s="77"/>
      <c r="AU251" s="77"/>
      <c r="AV251" s="77"/>
      <c r="AW251" s="77"/>
      <c r="AX251" s="77"/>
      <c r="AY251" s="77"/>
      <c r="AZ251" s="77"/>
      <c r="BA251" s="77"/>
      <c r="BB251" s="76"/>
      <c r="BC251" s="76"/>
      <c r="BD251" s="77"/>
      <c r="BE251" s="77"/>
      <c r="BF251" s="77"/>
      <c r="BG251" s="77"/>
      <c r="BH251" s="77"/>
      <c r="BI251" s="77"/>
      <c r="BJ251" s="77"/>
      <c r="BK251" s="77"/>
      <c r="BL251" s="77"/>
      <c r="BM251" s="77"/>
      <c r="BN251" s="77"/>
      <c r="BO251" s="77"/>
      <c r="BP251" s="76"/>
    </row>
    <row r="252" spans="1:68" ht="15" customHeight="1" x14ac:dyDescent="0.25">
      <c r="A252" s="1">
        <f t="shared" si="15"/>
        <v>106</v>
      </c>
      <c r="B252" s="1" t="str">
        <f t="shared" si="12"/>
        <v xml:space="preserve">Wofford </v>
      </c>
      <c r="C252" s="1">
        <f t="shared" si="13"/>
        <v>0</v>
      </c>
      <c r="D252" s="2" t="str">
        <f t="shared" si="14"/>
        <v>2024-11</v>
      </c>
      <c r="E252" s="3" t="s">
        <v>266</v>
      </c>
      <c r="F252" s="4" t="s">
        <v>74</v>
      </c>
      <c r="G252" s="39">
        <v>45618</v>
      </c>
      <c r="H252" s="40">
        <v>-147</v>
      </c>
      <c r="I252" s="40">
        <v>122</v>
      </c>
      <c r="J252" s="36">
        <v>-114</v>
      </c>
      <c r="K252" s="8">
        <v>6.8481455845984848E-2</v>
      </c>
      <c r="L252" s="9">
        <v>3.6480775544122768E-2</v>
      </c>
      <c r="M252" s="10">
        <v>-132.12145748987857</v>
      </c>
      <c r="N252" s="11">
        <v>1.8771929824561404</v>
      </c>
      <c r="O252" s="12">
        <v>4714.6836693550331</v>
      </c>
      <c r="P252" s="32" t="s">
        <v>143</v>
      </c>
      <c r="Q252" s="81" t="s">
        <v>81</v>
      </c>
      <c r="R252" s="82"/>
      <c r="S252" s="32"/>
      <c r="T252" s="32">
        <v>588.63</v>
      </c>
      <c r="U252" s="32">
        <v>588.63</v>
      </c>
      <c r="V252" s="74" t="s">
        <v>77</v>
      </c>
      <c r="W252" s="15"/>
      <c r="X252" s="15"/>
      <c r="Y252" s="16"/>
      <c r="Z252" s="17"/>
      <c r="AA252" s="18"/>
      <c r="AB252" s="75">
        <v>516.34</v>
      </c>
      <c r="AC252" s="20">
        <v>40.310239354622063</v>
      </c>
      <c r="AD252" s="21">
        <v>45618</v>
      </c>
      <c r="AE252" s="22">
        <v>94526.65256103118</v>
      </c>
      <c r="AF252" s="23">
        <v>21299.035933333347</v>
      </c>
      <c r="AG252" s="24">
        <v>120782.69593333367</v>
      </c>
      <c r="AH252" s="15">
        <v>0.5</v>
      </c>
      <c r="AI252" s="76"/>
      <c r="AJ252" s="83"/>
      <c r="AK252" s="83"/>
      <c r="AL252" s="83"/>
      <c r="AM252" s="83"/>
      <c r="AN252" s="83"/>
      <c r="AO252" s="83"/>
      <c r="AP252" s="77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83"/>
      <c r="BC252" s="83"/>
      <c r="BD252" s="77"/>
      <c r="BE252" s="77"/>
      <c r="BF252" s="77"/>
      <c r="BG252" s="77"/>
      <c r="BH252" s="77"/>
      <c r="BI252" s="77"/>
      <c r="BJ252" s="77"/>
      <c r="BK252" s="77"/>
      <c r="BL252" s="77"/>
      <c r="BM252" s="77"/>
      <c r="BN252" s="77"/>
      <c r="BO252" s="77"/>
      <c r="BP252" s="77"/>
    </row>
    <row r="253" spans="1:68" ht="15" customHeight="1" x14ac:dyDescent="0.25">
      <c r="A253" s="1">
        <f t="shared" si="15"/>
        <v>106</v>
      </c>
      <c r="B253" s="1" t="str">
        <f t="shared" si="12"/>
        <v xml:space="preserve">Wofford </v>
      </c>
      <c r="C253" s="1">
        <f t="shared" si="13"/>
        <v>0</v>
      </c>
      <c r="D253" s="2" t="str">
        <f t="shared" si="14"/>
        <v>2024-11</v>
      </c>
      <c r="E253" s="3" t="s">
        <v>266</v>
      </c>
      <c r="F253" s="4" t="s">
        <v>83</v>
      </c>
      <c r="G253" s="39">
        <v>45618</v>
      </c>
      <c r="H253" s="40">
        <v>-147</v>
      </c>
      <c r="I253" s="40">
        <v>122</v>
      </c>
      <c r="J253" s="7">
        <v>-114</v>
      </c>
      <c r="K253" s="8">
        <v>6.8481455845984848E-2</v>
      </c>
      <c r="L253" s="9">
        <v>3.6480775544122768E-2</v>
      </c>
      <c r="M253" s="10">
        <v>-132.12145748987857</v>
      </c>
      <c r="N253" s="11">
        <v>1.8771929824561404</v>
      </c>
      <c r="O253" s="12">
        <v>4734.8387068545971</v>
      </c>
      <c r="P253" s="32" t="s">
        <v>143</v>
      </c>
      <c r="Q253" s="81" t="s">
        <v>81</v>
      </c>
      <c r="R253" s="82"/>
      <c r="S253" s="32"/>
      <c r="T253" s="32">
        <v>295.79500000000002</v>
      </c>
      <c r="U253" s="32">
        <v>295.79500000000002</v>
      </c>
      <c r="V253" s="74" t="s">
        <v>77</v>
      </c>
      <c r="W253" s="15"/>
      <c r="X253" s="15"/>
      <c r="Y253" s="16"/>
      <c r="Z253" s="17"/>
      <c r="AA253" s="18"/>
      <c r="AB253" s="75">
        <v>259.47000000000003</v>
      </c>
      <c r="AC253" s="20">
        <v>20.256472231963091</v>
      </c>
      <c r="AD253" s="21">
        <v>45618</v>
      </c>
      <c r="AE253" s="22">
        <v>94546.909033263146</v>
      </c>
      <c r="AF253" s="23">
        <v>21558.505933333348</v>
      </c>
      <c r="AG253" s="24">
        <v>121299.03593333367</v>
      </c>
      <c r="AH253" s="15">
        <v>0.5</v>
      </c>
      <c r="AI253" s="76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  <c r="BI253" s="77"/>
      <c r="BJ253" s="77"/>
      <c r="BK253" s="77"/>
      <c r="BL253" s="77"/>
      <c r="BM253" s="77"/>
      <c r="BN253" s="77"/>
      <c r="BO253" s="77"/>
      <c r="BP253" s="77"/>
    </row>
    <row r="254" spans="1:68" ht="15" customHeight="1" x14ac:dyDescent="0.25">
      <c r="A254" s="1">
        <f t="shared" si="15"/>
        <v>106</v>
      </c>
      <c r="B254" s="1" t="str">
        <f t="shared" si="12"/>
        <v xml:space="preserve">Wofford </v>
      </c>
      <c r="C254" s="1">
        <f t="shared" si="13"/>
        <v>0</v>
      </c>
      <c r="D254" s="2" t="str">
        <f t="shared" si="14"/>
        <v>2024-11</v>
      </c>
      <c r="E254" s="3" t="s">
        <v>267</v>
      </c>
      <c r="F254" s="4" t="s">
        <v>74</v>
      </c>
      <c r="G254" s="39">
        <v>45618</v>
      </c>
      <c r="H254" s="40">
        <v>-143</v>
      </c>
      <c r="I254" s="40">
        <v>122</v>
      </c>
      <c r="J254" s="7">
        <v>-115</v>
      </c>
      <c r="K254" s="8">
        <v>5.8973296779508591E-2</v>
      </c>
      <c r="L254" s="9">
        <v>3.1543856416946459E-2</v>
      </c>
      <c r="M254" s="10">
        <v>-130.64197530864197</v>
      </c>
      <c r="N254" s="11">
        <v>1.8695652173913042</v>
      </c>
      <c r="O254" s="12">
        <v>4122.0058617260829</v>
      </c>
      <c r="P254" s="32" t="s">
        <v>143</v>
      </c>
      <c r="Q254" s="81" t="s">
        <v>81</v>
      </c>
      <c r="R254" s="82"/>
      <c r="S254" s="32"/>
      <c r="T254" s="32">
        <v>1725</v>
      </c>
      <c r="U254" s="32">
        <v>3038.1899999999996</v>
      </c>
      <c r="V254" s="74" t="s">
        <v>77</v>
      </c>
      <c r="W254" s="15"/>
      <c r="X254" s="15"/>
      <c r="Y254" s="16"/>
      <c r="Z254" s="17"/>
      <c r="AA254" s="18"/>
      <c r="AB254" s="75">
        <v>1500</v>
      </c>
      <c r="AC254" s="20">
        <v>101.72893694465232</v>
      </c>
      <c r="AD254" s="21">
        <v>45618</v>
      </c>
      <c r="AE254" s="22">
        <v>94648.637970207797</v>
      </c>
      <c r="AF254" s="23">
        <v>23058.505933333348</v>
      </c>
      <c r="AG254" s="24">
        <v>121558.50593333367</v>
      </c>
      <c r="AH254" s="15">
        <v>0.5</v>
      </c>
      <c r="AI254" s="76"/>
      <c r="AJ254" s="83"/>
      <c r="AK254" s="83"/>
      <c r="AL254" s="83"/>
      <c r="AM254" s="83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83"/>
      <c r="BC254" s="83"/>
      <c r="BD254" s="77"/>
      <c r="BE254" s="77"/>
      <c r="BF254" s="77"/>
      <c r="BG254" s="77"/>
      <c r="BH254" s="77"/>
      <c r="BI254" s="77"/>
      <c r="BJ254" s="77"/>
      <c r="BK254" s="77"/>
      <c r="BL254" s="77"/>
      <c r="BM254" s="77"/>
      <c r="BN254" s="77"/>
      <c r="BO254" s="77"/>
      <c r="BP254" s="77"/>
    </row>
    <row r="255" spans="1:68" ht="15" customHeight="1" x14ac:dyDescent="0.25">
      <c r="A255" s="1">
        <f t="shared" si="15"/>
        <v>106</v>
      </c>
      <c r="B255" s="1" t="str">
        <f t="shared" si="12"/>
        <v xml:space="preserve">Wofford </v>
      </c>
      <c r="C255" s="1">
        <f t="shared" si="13"/>
        <v>0</v>
      </c>
      <c r="D255" s="2" t="str">
        <f t="shared" si="14"/>
        <v>2024-11</v>
      </c>
      <c r="E255" s="3" t="s">
        <v>267</v>
      </c>
      <c r="F255" s="4" t="s">
        <v>83</v>
      </c>
      <c r="G255" s="39">
        <v>45618</v>
      </c>
      <c r="H255" s="40">
        <v>-143</v>
      </c>
      <c r="I255" s="40">
        <v>122</v>
      </c>
      <c r="J255" s="7">
        <v>-115</v>
      </c>
      <c r="K255" s="8">
        <v>5.8973296779508591E-2</v>
      </c>
      <c r="L255" s="9">
        <v>3.1543856416946459E-2</v>
      </c>
      <c r="M255" s="10">
        <v>-130.64197530864197</v>
      </c>
      <c r="N255" s="11">
        <v>1.8695652173913042</v>
      </c>
      <c r="O255" s="12">
        <v>4172.8703301984087</v>
      </c>
      <c r="P255" s="32" t="s">
        <v>143</v>
      </c>
      <c r="Q255" s="81" t="s">
        <v>81</v>
      </c>
      <c r="R255" s="82"/>
      <c r="S255" s="32"/>
      <c r="T255" s="32">
        <v>0</v>
      </c>
      <c r="U255" s="32">
        <v>2393.56</v>
      </c>
      <c r="V255" s="74" t="s">
        <v>77</v>
      </c>
      <c r="W255" s="15"/>
      <c r="X255" s="15"/>
      <c r="Y255" s="16"/>
      <c r="Z255" s="17"/>
      <c r="AA255" s="18"/>
      <c r="AB255" s="75">
        <v>0</v>
      </c>
      <c r="AC255" s="20">
        <v>0</v>
      </c>
      <c r="AD255" s="21">
        <v>45618</v>
      </c>
      <c r="AE255" s="22">
        <v>94648.637970207797</v>
      </c>
      <c r="AF255" s="23">
        <v>23058.505933333348</v>
      </c>
      <c r="AG255" s="24">
        <v>123058.50593333367</v>
      </c>
      <c r="AH255" s="15">
        <v>0.5</v>
      </c>
      <c r="AI255" s="76"/>
      <c r="AJ255" s="83"/>
      <c r="AK255" s="83"/>
      <c r="AL255" s="83"/>
      <c r="AM255" s="83"/>
      <c r="AN255" s="77"/>
      <c r="AO255" s="77"/>
      <c r="AP255" s="77"/>
      <c r="AQ255" s="77"/>
      <c r="AR255" s="77"/>
      <c r="AS255" s="77"/>
      <c r="AT255" s="77"/>
      <c r="AU255" s="77"/>
      <c r="AV255" s="77"/>
      <c r="AW255" s="77"/>
      <c r="AX255" s="77"/>
      <c r="AY255" s="77"/>
      <c r="AZ255" s="77"/>
      <c r="BA255" s="77"/>
      <c r="BB255" s="83"/>
      <c r="BC255" s="83"/>
      <c r="BD255" s="77"/>
      <c r="BE255" s="77"/>
      <c r="BF255" s="77"/>
      <c r="BG255" s="77"/>
      <c r="BH255" s="77"/>
      <c r="BI255" s="77"/>
      <c r="BJ255" s="77"/>
      <c r="BK255" s="77"/>
      <c r="BL255" s="77"/>
      <c r="BM255" s="77"/>
      <c r="BN255" s="77"/>
      <c r="BO255" s="77"/>
      <c r="BP255" s="77"/>
    </row>
    <row r="256" spans="1:68" ht="15" customHeight="1" x14ac:dyDescent="0.25">
      <c r="A256" s="1">
        <f t="shared" si="15"/>
        <v>106</v>
      </c>
      <c r="B256" s="1" t="str">
        <f t="shared" si="12"/>
        <v xml:space="preserve">Wofford </v>
      </c>
      <c r="C256" s="1">
        <f t="shared" si="13"/>
        <v>0</v>
      </c>
      <c r="D256" s="2" t="str">
        <f t="shared" si="14"/>
        <v>2024-11</v>
      </c>
      <c r="E256" s="3" t="s">
        <v>268</v>
      </c>
      <c r="F256" s="4" t="s">
        <v>74</v>
      </c>
      <c r="G256" s="39">
        <v>45618</v>
      </c>
      <c r="H256" s="40">
        <v>-152</v>
      </c>
      <c r="I256" s="40">
        <v>125</v>
      </c>
      <c r="J256" s="7">
        <v>-124</v>
      </c>
      <c r="K256" s="8">
        <v>4.0078201368523768E-2</v>
      </c>
      <c r="L256" s="9">
        <v>2.2186147186147087E-2</v>
      </c>
      <c r="M256" s="10">
        <v>-135.71428571428572</v>
      </c>
      <c r="N256" s="11">
        <v>1.8064516129032258</v>
      </c>
      <c r="O256" s="12">
        <v>3057.8174201616107</v>
      </c>
      <c r="P256" s="32" t="s">
        <v>143</v>
      </c>
      <c r="Q256" s="81" t="s">
        <v>76</v>
      </c>
      <c r="R256" s="82"/>
      <c r="S256" s="32"/>
      <c r="T256" s="32">
        <v>1860</v>
      </c>
      <c r="U256" s="32">
        <v>3256.01</v>
      </c>
      <c r="V256" s="74" t="s">
        <v>77</v>
      </c>
      <c r="W256" s="15"/>
      <c r="X256" s="15"/>
      <c r="Y256" s="16"/>
      <c r="Z256" s="17"/>
      <c r="AA256" s="18"/>
      <c r="AB256" s="75">
        <v>1500</v>
      </c>
      <c r="AC256" s="20">
        <v>74.545454545454206</v>
      </c>
      <c r="AD256" s="21">
        <v>45618</v>
      </c>
      <c r="AE256" s="22">
        <v>94723.183424753253</v>
      </c>
      <c r="AF256" s="23">
        <v>24558.505933333348</v>
      </c>
      <c r="AG256" s="24">
        <v>123058.50593333367</v>
      </c>
      <c r="AH256" s="15">
        <v>0.5</v>
      </c>
      <c r="AI256" s="76"/>
      <c r="AJ256" s="83"/>
      <c r="AK256" s="83"/>
      <c r="AL256" s="83"/>
      <c r="AM256" s="83"/>
      <c r="AN256" s="77"/>
      <c r="AO256" s="77"/>
      <c r="AP256" s="77"/>
      <c r="AQ256" s="77"/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83"/>
      <c r="BC256" s="83"/>
      <c r="BD256" s="77"/>
      <c r="BE256" s="77"/>
      <c r="BF256" s="77"/>
      <c r="BG256" s="77"/>
      <c r="BH256" s="77"/>
      <c r="BI256" s="77"/>
      <c r="BJ256" s="77"/>
      <c r="BK256" s="77"/>
      <c r="BL256" s="77"/>
      <c r="BM256" s="77"/>
      <c r="BN256" s="77"/>
      <c r="BO256" s="77"/>
      <c r="BP256" s="83"/>
    </row>
    <row r="257" spans="1:68" ht="15" customHeight="1" x14ac:dyDescent="0.25">
      <c r="A257" s="1">
        <f t="shared" si="15"/>
        <v>106</v>
      </c>
      <c r="B257" s="1" t="str">
        <f t="shared" si="12"/>
        <v xml:space="preserve">Wofford </v>
      </c>
      <c r="C257" s="1">
        <f t="shared" si="13"/>
        <v>0</v>
      </c>
      <c r="D257" s="2" t="str">
        <f t="shared" si="14"/>
        <v>2024-11</v>
      </c>
      <c r="E257" s="3" t="s">
        <v>268</v>
      </c>
      <c r="F257" s="4" t="s">
        <v>83</v>
      </c>
      <c r="G257" s="39">
        <v>45618</v>
      </c>
      <c r="H257" s="40">
        <v>-152</v>
      </c>
      <c r="I257" s="40">
        <v>125</v>
      </c>
      <c r="J257" s="7">
        <v>-124</v>
      </c>
      <c r="K257" s="8">
        <v>4.0078201368523768E-2</v>
      </c>
      <c r="L257" s="9">
        <v>2.2186147186147087E-2</v>
      </c>
      <c r="M257" s="10">
        <v>-135.71428571428572</v>
      </c>
      <c r="N257" s="11">
        <v>1.8064516129032258</v>
      </c>
      <c r="O257" s="12">
        <v>3095.0901474343382</v>
      </c>
      <c r="P257" s="32" t="s">
        <v>143</v>
      </c>
      <c r="Q257" s="81" t="s">
        <v>76</v>
      </c>
      <c r="R257" s="82"/>
      <c r="S257" s="32"/>
      <c r="T257" s="32">
        <v>0</v>
      </c>
      <c r="U257" s="32">
        <v>2570.86</v>
      </c>
      <c r="V257" s="74" t="s">
        <v>77</v>
      </c>
      <c r="W257" s="15"/>
      <c r="X257" s="15"/>
      <c r="Y257" s="16"/>
      <c r="Z257" s="17"/>
      <c r="AA257" s="18"/>
      <c r="AB257" s="75">
        <v>0</v>
      </c>
      <c r="AC257" s="20">
        <v>0</v>
      </c>
      <c r="AD257" s="21">
        <v>45618</v>
      </c>
      <c r="AE257" s="22">
        <v>94723.183424753253</v>
      </c>
      <c r="AF257" s="23">
        <v>24558.505933333348</v>
      </c>
      <c r="AG257" s="24">
        <v>124558.50593333367</v>
      </c>
      <c r="AH257" s="15">
        <v>0.5</v>
      </c>
      <c r="AI257" s="76"/>
      <c r="AJ257" s="77"/>
      <c r="AK257" s="77"/>
      <c r="AL257" s="77"/>
      <c r="AM257" s="77"/>
      <c r="AN257" s="83"/>
      <c r="AO257" s="83"/>
      <c r="AP257" s="77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83"/>
      <c r="BC257" s="83"/>
      <c r="BD257" s="77"/>
      <c r="BE257" s="77"/>
      <c r="BF257" s="77"/>
      <c r="BG257" s="77"/>
      <c r="BH257" s="77"/>
      <c r="BI257" s="77"/>
      <c r="BJ257" s="77"/>
      <c r="BK257" s="77"/>
      <c r="BL257" s="77"/>
      <c r="BM257" s="77"/>
      <c r="BN257" s="77"/>
      <c r="BO257" s="77"/>
      <c r="BP257" s="83"/>
    </row>
    <row r="258" spans="1:68" ht="15" customHeight="1" x14ac:dyDescent="0.25">
      <c r="A258" s="1">
        <f t="shared" si="15"/>
        <v>107</v>
      </c>
      <c r="B258" s="1" t="str">
        <f t="shared" ref="B258:B321" si="16">LEFT(E258, FIND(" ", E258))</f>
        <v xml:space="preserve">California </v>
      </c>
      <c r="C258" s="1">
        <f t="shared" ref="C258:C321" si="17">IF(Q258="total", 1, 0)</f>
        <v>0</v>
      </c>
      <c r="D258" s="2" t="str">
        <f t="shared" ref="D258:D321" si="18">YEAR(G258)&amp;"-"&amp;IF(MONTH(G258)&lt;10, "0", "")&amp;MONTH(G258)</f>
        <v>2024-11</v>
      </c>
      <c r="E258" s="3" t="s">
        <v>269</v>
      </c>
      <c r="F258" s="4" t="s">
        <v>83</v>
      </c>
      <c r="G258" s="39">
        <v>45619</v>
      </c>
      <c r="H258" s="40">
        <v>-258</v>
      </c>
      <c r="I258" s="40">
        <v>236</v>
      </c>
      <c r="J258" s="7">
        <v>-235</v>
      </c>
      <c r="K258" s="8">
        <v>8.8866716600634402E-3</v>
      </c>
      <c r="L258" s="9">
        <v>6.2339338510892794E-3</v>
      </c>
      <c r="M258" s="10">
        <v>-242.14525139664795</v>
      </c>
      <c r="N258" s="11">
        <v>1.425531914893617</v>
      </c>
      <c r="O258" s="12">
        <v>1362.5157714121424</v>
      </c>
      <c r="P258" s="32" t="s">
        <v>143</v>
      </c>
      <c r="Q258" s="78" t="s">
        <v>81</v>
      </c>
      <c r="R258" s="79"/>
      <c r="S258" s="32"/>
      <c r="T258" s="32">
        <v>2421.395</v>
      </c>
      <c r="U258" s="32">
        <v>2421.395</v>
      </c>
      <c r="V258" s="74" t="s">
        <v>77</v>
      </c>
      <c r="W258" s="15"/>
      <c r="X258" s="15"/>
      <c r="Y258" s="16"/>
      <c r="Z258" s="17"/>
      <c r="AA258" s="18"/>
      <c r="AB258" s="75">
        <v>1030.3800000000001</v>
      </c>
      <c r="AC258" s="20">
        <v>21.518142324319314</v>
      </c>
      <c r="AD258" s="21">
        <v>45619</v>
      </c>
      <c r="AE258" s="22">
        <v>96893.875089770081</v>
      </c>
      <c r="AF258" s="23">
        <v>31516.565933333357</v>
      </c>
      <c r="AG258" s="24">
        <v>130486.18593333371</v>
      </c>
      <c r="AH258" s="15">
        <v>0.5</v>
      </c>
      <c r="AI258" s="76"/>
      <c r="AJ258" s="77"/>
      <c r="AK258" s="77"/>
      <c r="AL258" s="77"/>
      <c r="AM258" s="77"/>
      <c r="AN258" s="76"/>
      <c r="AO258" s="76"/>
      <c r="AP258" s="77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6"/>
      <c r="BC258" s="76"/>
      <c r="BD258" s="77"/>
      <c r="BE258" s="77"/>
      <c r="BF258" s="77"/>
      <c r="BG258" s="77"/>
      <c r="BH258" s="77"/>
      <c r="BI258" s="77"/>
      <c r="BJ258" s="77"/>
      <c r="BK258" s="77"/>
      <c r="BL258" s="77"/>
      <c r="BM258" s="77"/>
      <c r="BN258" s="77"/>
      <c r="BO258" s="77"/>
      <c r="BP258" s="76"/>
    </row>
    <row r="259" spans="1:68" ht="15" customHeight="1" x14ac:dyDescent="0.25">
      <c r="A259" s="1">
        <f t="shared" si="15"/>
        <v>107</v>
      </c>
      <c r="B259" s="1" t="str">
        <f t="shared" si="16"/>
        <v xml:space="preserve">California </v>
      </c>
      <c r="C259" s="1">
        <f t="shared" si="17"/>
        <v>0</v>
      </c>
      <c r="D259" s="2" t="str">
        <f t="shared" si="18"/>
        <v>2024-11</v>
      </c>
      <c r="E259" s="3" t="s">
        <v>269</v>
      </c>
      <c r="F259" s="4" t="s">
        <v>74</v>
      </c>
      <c r="G259" s="39">
        <v>45619</v>
      </c>
      <c r="H259" s="40">
        <v>-314</v>
      </c>
      <c r="I259" s="40">
        <v>257</v>
      </c>
      <c r="J259" s="7">
        <v>-250</v>
      </c>
      <c r="K259" s="8">
        <v>2.2405503654770696E-2</v>
      </c>
      <c r="L259" s="9">
        <v>1.600393118197907E-2</v>
      </c>
      <c r="M259" s="10">
        <v>-270.76811594202894</v>
      </c>
      <c r="N259" s="11">
        <v>1.4</v>
      </c>
      <c r="O259" s="12">
        <v>3770.8174441517167</v>
      </c>
      <c r="P259" s="32" t="s">
        <v>143</v>
      </c>
      <c r="Q259" s="80" t="s">
        <v>81</v>
      </c>
      <c r="R259" s="82"/>
      <c r="S259" s="32"/>
      <c r="T259" s="32">
        <v>1174</v>
      </c>
      <c r="U259" s="32">
        <v>7826</v>
      </c>
      <c r="V259" s="74" t="s">
        <v>77</v>
      </c>
      <c r="W259" s="15"/>
      <c r="X259" s="15"/>
      <c r="Y259" s="16"/>
      <c r="Z259" s="17"/>
      <c r="AA259" s="18"/>
      <c r="AB259" s="75">
        <v>469.6</v>
      </c>
      <c r="AC259" s="20">
        <v>26.304061290700798</v>
      </c>
      <c r="AD259" s="21">
        <v>45619</v>
      </c>
      <c r="AE259" s="22">
        <v>102466.58671650306</v>
      </c>
      <c r="AF259" s="23">
        <v>35108.570933333351</v>
      </c>
      <c r="AG259" s="24">
        <v>134638.97093333365</v>
      </c>
      <c r="AH259" s="15">
        <v>0.5</v>
      </c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7"/>
      <c r="AU259" s="77"/>
      <c r="AV259" s="77"/>
      <c r="AW259" s="77"/>
      <c r="AX259" s="76"/>
      <c r="AY259" s="76"/>
      <c r="AZ259" s="76"/>
      <c r="BA259" s="76"/>
      <c r="BB259" s="76"/>
      <c r="BC259" s="76"/>
      <c r="BD259" s="77"/>
      <c r="BE259" s="77"/>
      <c r="BF259" s="77"/>
      <c r="BG259" s="77"/>
      <c r="BH259" s="77"/>
      <c r="BI259" s="77"/>
      <c r="BJ259" s="77"/>
      <c r="BK259" s="77"/>
      <c r="BL259" s="76"/>
      <c r="BM259" s="76"/>
      <c r="BN259" s="77"/>
      <c r="BO259" s="77"/>
      <c r="BP259" s="76"/>
    </row>
    <row r="260" spans="1:68" ht="15" customHeight="1" x14ac:dyDescent="0.25">
      <c r="A260" s="1">
        <f t="shared" ref="A260:A323" si="19">IF(AND(B260=B259, C260=C259, G260=G259), A259, A259+1)</f>
        <v>108</v>
      </c>
      <c r="B260" s="1" t="str">
        <f t="shared" si="16"/>
        <v xml:space="preserve">Coastal </v>
      </c>
      <c r="C260" s="1">
        <f t="shared" si="17"/>
        <v>0</v>
      </c>
      <c r="D260" s="2" t="str">
        <f t="shared" si="18"/>
        <v>2024-11</v>
      </c>
      <c r="E260" s="3" t="s">
        <v>270</v>
      </c>
      <c r="F260" s="4" t="s">
        <v>74</v>
      </c>
      <c r="G260" s="39">
        <v>45619</v>
      </c>
      <c r="H260" s="40">
        <v>-128</v>
      </c>
      <c r="I260" s="40">
        <v>111</v>
      </c>
      <c r="J260" s="7">
        <v>-107</v>
      </c>
      <c r="K260" s="8">
        <v>4.9010630728539638E-2</v>
      </c>
      <c r="L260" s="9">
        <v>2.5333997526346574E-2</v>
      </c>
      <c r="M260" s="10">
        <v>-118.45614035087718</v>
      </c>
      <c r="N260" s="11">
        <v>1.9345794392523366</v>
      </c>
      <c r="O260" s="12">
        <v>3648.8594825918271</v>
      </c>
      <c r="P260" s="32" t="s">
        <v>143</v>
      </c>
      <c r="Q260" s="78" t="s">
        <v>76</v>
      </c>
      <c r="R260" s="79"/>
      <c r="S260" s="32"/>
      <c r="T260" s="32">
        <v>1605</v>
      </c>
      <c r="U260" s="32">
        <v>2395</v>
      </c>
      <c r="V260" s="74" t="s">
        <v>82</v>
      </c>
      <c r="W260" s="15"/>
      <c r="X260" s="15"/>
      <c r="Y260" s="16"/>
      <c r="Z260" s="17"/>
      <c r="AA260" s="18"/>
      <c r="AB260" s="75">
        <v>-1605</v>
      </c>
      <c r="AC260" s="20">
        <v>78.662062319306116</v>
      </c>
      <c r="AD260" s="21">
        <v>45619</v>
      </c>
      <c r="AE260" s="22">
        <v>98098.642178173162</v>
      </c>
      <c r="AF260" s="23">
        <v>37554.565933333361</v>
      </c>
      <c r="AG260" s="24">
        <v>139159.56593333368</v>
      </c>
      <c r="AH260" s="15">
        <v>0.5</v>
      </c>
      <c r="AI260" s="76"/>
      <c r="AJ260" s="76"/>
      <c r="AK260" s="76"/>
      <c r="AL260" s="76"/>
      <c r="AM260" s="76"/>
      <c r="AN260" s="76"/>
      <c r="AO260" s="76"/>
      <c r="AP260" s="77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6"/>
      <c r="BC260" s="76"/>
      <c r="BD260" s="77"/>
      <c r="BE260" s="77"/>
      <c r="BF260" s="77"/>
      <c r="BG260" s="77"/>
      <c r="BH260" s="77"/>
      <c r="BI260" s="77"/>
      <c r="BJ260" s="77"/>
      <c r="BK260" s="77"/>
      <c r="BL260" s="77"/>
      <c r="BM260" s="77"/>
      <c r="BN260" s="77"/>
      <c r="BO260" s="77"/>
      <c r="BP260" s="76"/>
    </row>
    <row r="261" spans="1:68" ht="15" customHeight="1" x14ac:dyDescent="0.25">
      <c r="A261" s="1">
        <f t="shared" si="19"/>
        <v>109</v>
      </c>
      <c r="B261" s="1" t="str">
        <f t="shared" si="16"/>
        <v xml:space="preserve">Grizzlies </v>
      </c>
      <c r="C261" s="1">
        <f t="shared" si="17"/>
        <v>1</v>
      </c>
      <c r="D261" s="2" t="str">
        <f t="shared" si="18"/>
        <v>2024-11</v>
      </c>
      <c r="E261" s="3" t="s">
        <v>271</v>
      </c>
      <c r="F261" s="4" t="s">
        <v>83</v>
      </c>
      <c r="G261" s="39">
        <v>45619</v>
      </c>
      <c r="H261" s="40">
        <v>-104</v>
      </c>
      <c r="I261" s="40">
        <v>-102</v>
      </c>
      <c r="J261" s="7">
        <v>106</v>
      </c>
      <c r="K261" s="8">
        <v>3.4926343983164264E-2</v>
      </c>
      <c r="L261" s="9">
        <v>1.6954535914157409E-2</v>
      </c>
      <c r="M261" s="10">
        <v>-100.96116878123799</v>
      </c>
      <c r="N261" s="11">
        <v>2.06</v>
      </c>
      <c r="O261" s="12">
        <v>2183.8836777823904</v>
      </c>
      <c r="P261" s="32" t="s">
        <v>75</v>
      </c>
      <c r="Q261" s="80" t="s">
        <v>92</v>
      </c>
      <c r="R261" s="82"/>
      <c r="S261" s="32"/>
      <c r="T261" s="32">
        <v>736.69500000000005</v>
      </c>
      <c r="U261" s="32">
        <v>736.69500000000005</v>
      </c>
      <c r="V261" s="74" t="s">
        <v>77</v>
      </c>
      <c r="W261" s="15"/>
      <c r="X261" s="15"/>
      <c r="Y261" s="16"/>
      <c r="Z261" s="17"/>
      <c r="AA261" s="18"/>
      <c r="AB261" s="75">
        <v>780.9</v>
      </c>
      <c r="AC261" s="20">
        <v>25.7300629806772</v>
      </c>
      <c r="AD261" s="21">
        <v>45619</v>
      </c>
      <c r="AE261" s="22">
        <v>101584.3093215871</v>
      </c>
      <c r="AF261" s="23">
        <v>33340.820933333351</v>
      </c>
      <c r="AG261" s="24">
        <v>132559.92093333363</v>
      </c>
      <c r="AH261" s="15">
        <v>0.5</v>
      </c>
      <c r="AI261" s="76"/>
      <c r="AJ261" s="76"/>
      <c r="AK261" s="76"/>
      <c r="AL261" s="76"/>
      <c r="AM261" s="76"/>
      <c r="AN261" s="77"/>
      <c r="AO261" s="77"/>
      <c r="AP261" s="77"/>
      <c r="AQ261" s="77"/>
      <c r="AR261" s="77"/>
      <c r="AS261" s="77"/>
      <c r="AT261" s="77"/>
      <c r="AU261" s="77"/>
      <c r="AV261" s="77"/>
      <c r="AW261" s="77"/>
      <c r="AX261" s="76"/>
      <c r="AY261" s="76"/>
      <c r="AZ261" s="76"/>
      <c r="BA261" s="76"/>
      <c r="BB261" s="76"/>
      <c r="BC261" s="76"/>
      <c r="BD261" s="77"/>
      <c r="BE261" s="77"/>
      <c r="BF261" s="77"/>
      <c r="BG261" s="77"/>
      <c r="BH261" s="77"/>
      <c r="BI261" s="77"/>
      <c r="BJ261" s="77"/>
      <c r="BK261" s="77"/>
      <c r="BL261" s="77"/>
      <c r="BM261" s="77"/>
      <c r="BN261" s="77"/>
      <c r="BO261" s="77"/>
      <c r="BP261" s="77"/>
    </row>
    <row r="262" spans="1:68" ht="15" customHeight="1" x14ac:dyDescent="0.25">
      <c r="A262" s="1">
        <f t="shared" si="19"/>
        <v>110</v>
      </c>
      <c r="B262" s="1" t="str">
        <f t="shared" si="16"/>
        <v xml:space="preserve">Kent </v>
      </c>
      <c r="C262" s="1">
        <f t="shared" si="17"/>
        <v>0</v>
      </c>
      <c r="D262" s="2" t="str">
        <f t="shared" si="18"/>
        <v>2024-11</v>
      </c>
      <c r="E262" s="3" t="s">
        <v>272</v>
      </c>
      <c r="F262" s="4" t="s">
        <v>74</v>
      </c>
      <c r="G262" s="39">
        <v>45619</v>
      </c>
      <c r="H262" s="40">
        <v>102</v>
      </c>
      <c r="I262" s="40">
        <v>-108</v>
      </c>
      <c r="J262" s="7">
        <v>112</v>
      </c>
      <c r="K262" s="8">
        <v>3.4728740379200394E-2</v>
      </c>
      <c r="L262" s="9">
        <v>1.638148131094358E-2</v>
      </c>
      <c r="M262" s="10">
        <v>104.88461538461537</v>
      </c>
      <c r="N262" s="11">
        <v>2.12</v>
      </c>
      <c r="O262" s="12">
        <v>2050.922909375653</v>
      </c>
      <c r="P262" s="32" t="s">
        <v>143</v>
      </c>
      <c r="Q262" s="78" t="s">
        <v>76</v>
      </c>
      <c r="R262" s="73"/>
      <c r="S262" s="32"/>
      <c r="T262" s="32">
        <v>924.99</v>
      </c>
      <c r="U262" s="32">
        <v>924.99</v>
      </c>
      <c r="V262" s="74" t="s">
        <v>77</v>
      </c>
      <c r="W262" s="15"/>
      <c r="X262" s="15"/>
      <c r="Y262" s="16"/>
      <c r="Z262" s="17"/>
      <c r="AA262" s="18"/>
      <c r="AB262" s="75">
        <v>1035.99</v>
      </c>
      <c r="AC262" s="20">
        <v>32.12373756335657</v>
      </c>
      <c r="AD262" s="21">
        <v>45619</v>
      </c>
      <c r="AE262" s="22">
        <v>99650.856779437803</v>
      </c>
      <c r="AF262" s="23">
        <v>33320.295933333357</v>
      </c>
      <c r="AG262" s="24">
        <v>132284.30593333367</v>
      </c>
      <c r="AH262" s="15">
        <v>0.5</v>
      </c>
      <c r="AI262" s="76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/>
      <c r="BP262" s="77"/>
    </row>
    <row r="263" spans="1:68" ht="15" customHeight="1" x14ac:dyDescent="0.25">
      <c r="A263" s="1">
        <f t="shared" si="19"/>
        <v>110</v>
      </c>
      <c r="B263" s="1" t="str">
        <f t="shared" si="16"/>
        <v xml:space="preserve">Kent </v>
      </c>
      <c r="C263" s="1">
        <f t="shared" si="17"/>
        <v>0</v>
      </c>
      <c r="D263" s="2" t="str">
        <f t="shared" si="18"/>
        <v>2024-11</v>
      </c>
      <c r="E263" s="3" t="s">
        <v>272</v>
      </c>
      <c r="F263" s="4" t="s">
        <v>83</v>
      </c>
      <c r="G263" s="39">
        <v>45619</v>
      </c>
      <c r="H263" s="40">
        <v>102</v>
      </c>
      <c r="I263" s="40">
        <v>-108</v>
      </c>
      <c r="J263" s="7">
        <v>112</v>
      </c>
      <c r="K263" s="8">
        <v>3.4728740379200394E-2</v>
      </c>
      <c r="L263" s="9">
        <v>1.638148131094358E-2</v>
      </c>
      <c r="M263" s="10">
        <v>104.88461538461537</v>
      </c>
      <c r="N263" s="11">
        <v>2.12</v>
      </c>
      <c r="O263" s="12">
        <v>2066.9847967620135</v>
      </c>
      <c r="P263" s="32" t="s">
        <v>143</v>
      </c>
      <c r="Q263" s="78" t="s">
        <v>76</v>
      </c>
      <c r="R263" s="73"/>
      <c r="S263" s="32"/>
      <c r="T263" s="32">
        <v>464.82</v>
      </c>
      <c r="U263" s="32">
        <v>464.82</v>
      </c>
      <c r="V263" s="74" t="s">
        <v>77</v>
      </c>
      <c r="W263" s="15"/>
      <c r="X263" s="15"/>
      <c r="Y263" s="16"/>
      <c r="Z263" s="17"/>
      <c r="AA263" s="18"/>
      <c r="AB263" s="75">
        <v>520.6</v>
      </c>
      <c r="AC263" s="20">
        <v>16.142613103059926</v>
      </c>
      <c r="AD263" s="21">
        <v>45619</v>
      </c>
      <c r="AE263" s="22">
        <v>99666.999392540863</v>
      </c>
      <c r="AF263" s="23">
        <v>33840.895933333355</v>
      </c>
      <c r="AG263" s="24">
        <v>133320.29593333366</v>
      </c>
      <c r="AH263" s="15">
        <v>0.5</v>
      </c>
      <c r="AI263" s="76"/>
      <c r="AJ263" s="76"/>
      <c r="AK263" s="76"/>
      <c r="AL263" s="76"/>
      <c r="AM263" s="76"/>
      <c r="AN263" s="76"/>
      <c r="AO263" s="76"/>
      <c r="AP263" s="77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  <c r="BM263" s="77"/>
      <c r="BN263" s="77"/>
      <c r="BO263" s="77"/>
      <c r="BP263" s="76"/>
    </row>
    <row r="264" spans="1:68" ht="15" customHeight="1" x14ac:dyDescent="0.25">
      <c r="A264" s="1">
        <f t="shared" si="19"/>
        <v>111</v>
      </c>
      <c r="B264" s="1" t="str">
        <f t="shared" si="16"/>
        <v xml:space="preserve">Knicks </v>
      </c>
      <c r="C264" s="1">
        <f t="shared" si="17"/>
        <v>1</v>
      </c>
      <c r="D264" s="2" t="str">
        <f t="shared" si="18"/>
        <v>2024-11</v>
      </c>
      <c r="E264" s="3" t="s">
        <v>273</v>
      </c>
      <c r="F264" s="4" t="s">
        <v>74</v>
      </c>
      <c r="G264" s="39">
        <v>45619</v>
      </c>
      <c r="H264" s="40">
        <v>-116</v>
      </c>
      <c r="I264" s="40">
        <v>101</v>
      </c>
      <c r="J264" s="7">
        <v>105</v>
      </c>
      <c r="K264" s="8">
        <v>6.4159764894469562E-2</v>
      </c>
      <c r="L264" s="9">
        <v>3.1297446289985154E-2</v>
      </c>
      <c r="M264" s="10">
        <v>-107.94444444444443</v>
      </c>
      <c r="N264" s="11">
        <v>2.0499999999999998</v>
      </c>
      <c r="O264" s="12">
        <v>4037.2604142831747</v>
      </c>
      <c r="P264" s="32" t="s">
        <v>75</v>
      </c>
      <c r="Q264" s="80" t="s">
        <v>92</v>
      </c>
      <c r="R264" s="82"/>
      <c r="S264" s="32"/>
      <c r="T264" s="32">
        <v>591.995</v>
      </c>
      <c r="U264" s="32">
        <v>591.995</v>
      </c>
      <c r="V264" s="74" t="s">
        <v>77</v>
      </c>
      <c r="W264" s="15"/>
      <c r="X264" s="15"/>
      <c r="Y264" s="16"/>
      <c r="Z264" s="17"/>
      <c r="AA264" s="18"/>
      <c r="AB264" s="75">
        <v>621.59</v>
      </c>
      <c r="AC264" s="20">
        <v>37.98226001870151</v>
      </c>
      <c r="AD264" s="21">
        <v>45619</v>
      </c>
      <c r="AE264" s="22">
        <v>101094.2130210551</v>
      </c>
      <c r="AF264" s="23">
        <v>32764.325933333359</v>
      </c>
      <c r="AG264" s="24">
        <v>132142.73593333369</v>
      </c>
      <c r="AH264" s="15">
        <v>0.5</v>
      </c>
      <c r="AI264" s="76"/>
      <c r="AJ264" s="77"/>
      <c r="AK264" s="77"/>
      <c r="AL264" s="77"/>
      <c r="AM264" s="77"/>
      <c r="AN264" s="76"/>
      <c r="AO264" s="76"/>
      <c r="AP264" s="77"/>
      <c r="AQ264" s="77"/>
      <c r="AR264" s="77"/>
      <c r="AS264" s="77"/>
      <c r="AT264" s="77"/>
      <c r="AU264" s="77"/>
      <c r="AV264" s="77"/>
      <c r="AW264" s="77"/>
      <c r="AX264" s="76"/>
      <c r="AY264" s="76"/>
      <c r="AZ264" s="76"/>
      <c r="BA264" s="76"/>
      <c r="BB264" s="76"/>
      <c r="BC264" s="76"/>
      <c r="BD264" s="77"/>
      <c r="BE264" s="77"/>
      <c r="BF264" s="77"/>
      <c r="BG264" s="77"/>
      <c r="BH264" s="77"/>
      <c r="BI264" s="77"/>
      <c r="BJ264" s="77"/>
      <c r="BK264" s="77"/>
      <c r="BL264" s="77"/>
      <c r="BM264" s="77"/>
      <c r="BN264" s="77"/>
      <c r="BO264" s="77"/>
      <c r="BP264" s="77"/>
    </row>
    <row r="265" spans="1:68" ht="15" customHeight="1" x14ac:dyDescent="0.25">
      <c r="A265" s="1">
        <f t="shared" si="19"/>
        <v>111</v>
      </c>
      <c r="B265" s="1" t="str">
        <f t="shared" si="16"/>
        <v xml:space="preserve">Knicks </v>
      </c>
      <c r="C265" s="1">
        <f t="shared" si="17"/>
        <v>1</v>
      </c>
      <c r="D265" s="2" t="str">
        <f t="shared" si="18"/>
        <v>2024-11</v>
      </c>
      <c r="E265" s="3" t="s">
        <v>273</v>
      </c>
      <c r="F265" s="4" t="s">
        <v>83</v>
      </c>
      <c r="G265" s="39">
        <v>45619</v>
      </c>
      <c r="H265" s="40">
        <v>-116</v>
      </c>
      <c r="I265" s="40">
        <v>101</v>
      </c>
      <c r="J265" s="7">
        <v>105</v>
      </c>
      <c r="K265" s="8">
        <v>6.4159764894469562E-2</v>
      </c>
      <c r="L265" s="9">
        <v>3.1297446289985154E-2</v>
      </c>
      <c r="M265" s="10">
        <v>-107.94444444444443</v>
      </c>
      <c r="N265" s="11">
        <v>2.0499999999999998</v>
      </c>
      <c r="O265" s="12">
        <v>4056.2513991692472</v>
      </c>
      <c r="P265" s="32" t="s">
        <v>75</v>
      </c>
      <c r="Q265" s="80" t="s">
        <v>92</v>
      </c>
      <c r="R265" s="82"/>
      <c r="S265" s="32"/>
      <c r="T265" s="32">
        <v>297.48500000000001</v>
      </c>
      <c r="U265" s="32">
        <v>297.48500000000001</v>
      </c>
      <c r="V265" s="74" t="s">
        <v>77</v>
      </c>
      <c r="W265" s="15"/>
      <c r="X265" s="15"/>
      <c r="Y265" s="16"/>
      <c r="Z265" s="17"/>
      <c r="AA265" s="18"/>
      <c r="AB265" s="75">
        <v>312.36</v>
      </c>
      <c r="AC265" s="20">
        <v>19.086567659631278</v>
      </c>
      <c r="AD265" s="21">
        <v>45619</v>
      </c>
      <c r="AE265" s="22">
        <v>101113.29958871473</v>
      </c>
      <c r="AF265" s="23">
        <v>33076.685933333356</v>
      </c>
      <c r="AG265" s="24">
        <v>132764.32593333369</v>
      </c>
      <c r="AH265" s="15">
        <v>0.5</v>
      </c>
      <c r="AI265" s="76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  <c r="BM265" s="77"/>
      <c r="BN265" s="77"/>
      <c r="BO265" s="77"/>
      <c r="BP265" s="77"/>
    </row>
    <row r="266" spans="1:68" ht="15" customHeight="1" x14ac:dyDescent="0.25">
      <c r="A266" s="1">
        <f t="shared" si="19"/>
        <v>112</v>
      </c>
      <c r="B266" s="1" t="str">
        <f t="shared" si="16"/>
        <v xml:space="preserve">Long </v>
      </c>
      <c r="C266" s="1">
        <f t="shared" si="17"/>
        <v>0</v>
      </c>
      <c r="D266" s="2" t="str">
        <f t="shared" si="18"/>
        <v>2024-11</v>
      </c>
      <c r="E266" s="3" t="s">
        <v>274</v>
      </c>
      <c r="F266" s="4" t="s">
        <v>74</v>
      </c>
      <c r="G266" s="39">
        <v>45619</v>
      </c>
      <c r="H266" s="40">
        <v>-169</v>
      </c>
      <c r="I266" s="40">
        <v>151</v>
      </c>
      <c r="J266" s="7">
        <v>-139</v>
      </c>
      <c r="K266" s="8">
        <v>5.2182896277360592E-2</v>
      </c>
      <c r="L266" s="9">
        <v>3.0349048462565364E-2</v>
      </c>
      <c r="M266" s="10">
        <v>-157.6914498141264</v>
      </c>
      <c r="N266" s="11">
        <v>1.7194244604316546</v>
      </c>
      <c r="O266" s="12">
        <v>5053.6553895238067</v>
      </c>
      <c r="P266" s="32" t="s">
        <v>143</v>
      </c>
      <c r="Q266" s="72" t="s">
        <v>81</v>
      </c>
      <c r="R266" s="73"/>
      <c r="S266" s="32"/>
      <c r="T266" s="32">
        <v>2083.335</v>
      </c>
      <c r="U266" s="32">
        <v>2083.335</v>
      </c>
      <c r="V266" s="74" t="s">
        <v>82</v>
      </c>
      <c r="W266" s="15"/>
      <c r="X266" s="15"/>
      <c r="Y266" s="16"/>
      <c r="Z266" s="17"/>
      <c r="AA266" s="18"/>
      <c r="AB266" s="75">
        <v>-2083.335</v>
      </c>
      <c r="AC266" s="20">
        <v>108.71445421599503</v>
      </c>
      <c r="AD266" s="21">
        <v>45619</v>
      </c>
      <c r="AE266" s="22">
        <v>99421.76201926182</v>
      </c>
      <c r="AF266" s="23">
        <v>37262.065933333361</v>
      </c>
      <c r="AG266" s="24">
        <v>139345.40093333367</v>
      </c>
      <c r="AH266" s="15">
        <v>0.5</v>
      </c>
      <c r="AI266" s="76"/>
      <c r="AJ266" s="76"/>
      <c r="AK266" s="76"/>
      <c r="AL266" s="76"/>
      <c r="AM266" s="76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6"/>
      <c r="BC266" s="76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/>
      <c r="BN266" s="77"/>
      <c r="BO266" s="77"/>
      <c r="BP266" s="76"/>
    </row>
    <row r="267" spans="1:68" ht="15" customHeight="1" x14ac:dyDescent="0.25">
      <c r="A267" s="1">
        <f t="shared" si="19"/>
        <v>112</v>
      </c>
      <c r="B267" s="1" t="str">
        <f t="shared" si="16"/>
        <v xml:space="preserve">Long </v>
      </c>
      <c r="C267" s="1">
        <f t="shared" si="17"/>
        <v>0</v>
      </c>
      <c r="D267" s="2" t="str">
        <f t="shared" si="18"/>
        <v>2024-11</v>
      </c>
      <c r="E267" s="3" t="s">
        <v>275</v>
      </c>
      <c r="F267" s="4" t="s">
        <v>74</v>
      </c>
      <c r="G267" s="39">
        <v>45619</v>
      </c>
      <c r="H267" s="40">
        <v>-139</v>
      </c>
      <c r="I267" s="40">
        <v>125</v>
      </c>
      <c r="J267" s="7">
        <v>-118</v>
      </c>
      <c r="K267" s="8">
        <v>4.7199588366753052E-2</v>
      </c>
      <c r="L267" s="9">
        <v>2.5548401042554403E-2</v>
      </c>
      <c r="M267" s="10">
        <v>-130.85774058577408</v>
      </c>
      <c r="N267" s="11">
        <v>1.847457627118644</v>
      </c>
      <c r="O267" s="12">
        <v>3822.4406761498453</v>
      </c>
      <c r="P267" s="32" t="s">
        <v>143</v>
      </c>
      <c r="Q267" s="72" t="s">
        <v>76</v>
      </c>
      <c r="R267" s="73"/>
      <c r="S267" s="32"/>
      <c r="T267" s="32">
        <v>1764.7049999999999</v>
      </c>
      <c r="U267" s="32">
        <v>1764.7049999999999</v>
      </c>
      <c r="V267" s="74" t="s">
        <v>82</v>
      </c>
      <c r="W267" s="15"/>
      <c r="X267" s="15"/>
      <c r="Y267" s="16"/>
      <c r="Z267" s="17"/>
      <c r="AA267" s="18"/>
      <c r="AB267" s="75">
        <v>-1764.7049999999999</v>
      </c>
      <c r="AC267" s="20">
        <v>83.293349588750942</v>
      </c>
      <c r="AD267" s="21">
        <v>45619</v>
      </c>
      <c r="AE267" s="22">
        <v>99505.055368850575</v>
      </c>
      <c r="AF267" s="23">
        <v>35497.360933333359</v>
      </c>
      <c r="AG267" s="24">
        <v>137262.06593333368</v>
      </c>
      <c r="AH267" s="15">
        <v>0.5</v>
      </c>
      <c r="AI267" s="76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/>
      <c r="BN267" s="77"/>
      <c r="BO267" s="77"/>
      <c r="BP267" s="77"/>
    </row>
    <row r="268" spans="1:68" ht="15" customHeight="1" x14ac:dyDescent="0.25">
      <c r="A268" s="1">
        <f t="shared" si="19"/>
        <v>112</v>
      </c>
      <c r="B268" s="1" t="str">
        <f t="shared" si="16"/>
        <v xml:space="preserve">Long </v>
      </c>
      <c r="C268" s="1">
        <f t="shared" si="17"/>
        <v>0</v>
      </c>
      <c r="D268" s="2" t="str">
        <f t="shared" si="18"/>
        <v>2024-11</v>
      </c>
      <c r="E268" s="3" t="s">
        <v>276</v>
      </c>
      <c r="F268" s="4" t="s">
        <v>74</v>
      </c>
      <c r="G268" s="39">
        <v>45619</v>
      </c>
      <c r="H268" s="40">
        <v>-116</v>
      </c>
      <c r="I268" s="40">
        <v>107</v>
      </c>
      <c r="J268" s="7">
        <v>-104</v>
      </c>
      <c r="K268" s="8">
        <v>3.2633112743610151E-2</v>
      </c>
      <c r="L268" s="9">
        <v>1.6636488849683606E-2</v>
      </c>
      <c r="M268" s="10">
        <v>-111.16666666666669</v>
      </c>
      <c r="N268" s="11">
        <v>1.9615384615384617</v>
      </c>
      <c r="O268" s="12">
        <v>2299.2843410155401</v>
      </c>
      <c r="P268" s="32" t="s">
        <v>143</v>
      </c>
      <c r="Q268" s="78" t="s">
        <v>76</v>
      </c>
      <c r="R268" s="79"/>
      <c r="S268" s="32"/>
      <c r="T268" s="32">
        <v>1546.39</v>
      </c>
      <c r="U268" s="32">
        <v>1546.39</v>
      </c>
      <c r="V268" s="74" t="s">
        <v>82</v>
      </c>
      <c r="W268" s="15"/>
      <c r="X268" s="15"/>
      <c r="Y268" s="16"/>
      <c r="Z268" s="17"/>
      <c r="AA268" s="18"/>
      <c r="AB268" s="75">
        <v>-1546.39</v>
      </c>
      <c r="AC268" s="20">
        <v>50.463519215591305</v>
      </c>
      <c r="AD268" s="21">
        <v>45619</v>
      </c>
      <c r="AE268" s="22">
        <v>99555.518888066174</v>
      </c>
      <c r="AF268" s="23">
        <v>33950.970933333359</v>
      </c>
      <c r="AG268" s="24">
        <v>135497.36093333369</v>
      </c>
      <c r="AH268" s="15">
        <v>0.5</v>
      </c>
      <c r="AI268" s="76"/>
      <c r="AJ268" s="76"/>
      <c r="AK268" s="76"/>
      <c r="AL268" s="76"/>
      <c r="AM268" s="76"/>
      <c r="AN268" s="76"/>
      <c r="AO268" s="76"/>
      <c r="AP268" s="77"/>
      <c r="AQ268" s="77"/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  <c r="BM268" s="77"/>
      <c r="BN268" s="77"/>
      <c r="BO268" s="77"/>
      <c r="BP268" s="76"/>
    </row>
    <row r="269" spans="1:68" ht="15" customHeight="1" x14ac:dyDescent="0.25">
      <c r="A269" s="1">
        <f t="shared" si="19"/>
        <v>112</v>
      </c>
      <c r="B269" s="1" t="str">
        <f t="shared" si="16"/>
        <v xml:space="preserve">Long </v>
      </c>
      <c r="C269" s="1">
        <f t="shared" si="17"/>
        <v>0</v>
      </c>
      <c r="D269" s="2" t="str">
        <f t="shared" si="18"/>
        <v>2024-11</v>
      </c>
      <c r="E269" s="3" t="s">
        <v>277</v>
      </c>
      <c r="F269" s="4" t="s">
        <v>74</v>
      </c>
      <c r="G269" s="39">
        <v>45619</v>
      </c>
      <c r="H269" s="40">
        <v>-127</v>
      </c>
      <c r="I269" s="40">
        <v>117</v>
      </c>
      <c r="J269" s="7">
        <v>-112</v>
      </c>
      <c r="K269" s="8">
        <v>3.7928530213494342E-2</v>
      </c>
      <c r="L269" s="9">
        <v>2.0037714075053614E-2</v>
      </c>
      <c r="M269" s="10">
        <v>-121.40528634361239</v>
      </c>
      <c r="N269" s="11">
        <v>1.8928571428571428</v>
      </c>
      <c r="O269" s="12">
        <v>2845.1155309762357</v>
      </c>
      <c r="P269" s="32" t="s">
        <v>143</v>
      </c>
      <c r="Q269" s="78" t="s">
        <v>76</v>
      </c>
      <c r="R269" s="73"/>
      <c r="S269" s="32"/>
      <c r="T269" s="32">
        <v>1666.665</v>
      </c>
      <c r="U269" s="32">
        <v>1666.665</v>
      </c>
      <c r="V269" s="74" t="s">
        <v>82</v>
      </c>
      <c r="W269" s="15"/>
      <c r="X269" s="15"/>
      <c r="Y269" s="16"/>
      <c r="Z269" s="17"/>
      <c r="AA269" s="18"/>
      <c r="AB269" s="75">
        <v>-1666.665</v>
      </c>
      <c r="AC269" s="20">
        <v>63.214153808273544</v>
      </c>
      <c r="AD269" s="21">
        <v>45619</v>
      </c>
      <c r="AE269" s="22">
        <v>99618.733041874453</v>
      </c>
      <c r="AF269" s="23">
        <v>32284.305933333359</v>
      </c>
      <c r="AG269" s="24">
        <v>133950.97093333368</v>
      </c>
      <c r="AH269" s="15">
        <v>0.5</v>
      </c>
      <c r="AI269" s="76"/>
      <c r="AJ269" s="77"/>
      <c r="AK269" s="77"/>
      <c r="AL269" s="77"/>
      <c r="AM269" s="77"/>
      <c r="AN269" s="76"/>
      <c r="AO269" s="76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  <c r="BM269" s="77"/>
      <c r="BN269" s="77"/>
      <c r="BO269" s="77"/>
      <c r="BP269" s="76"/>
    </row>
    <row r="270" spans="1:68" ht="15" customHeight="1" x14ac:dyDescent="0.25">
      <c r="A270" s="1">
        <f t="shared" si="19"/>
        <v>112</v>
      </c>
      <c r="B270" s="1" t="str">
        <f t="shared" si="16"/>
        <v xml:space="preserve">Long </v>
      </c>
      <c r="C270" s="1">
        <f t="shared" si="17"/>
        <v>0</v>
      </c>
      <c r="D270" s="2" t="str">
        <f t="shared" si="18"/>
        <v>2024-11</v>
      </c>
      <c r="E270" s="3" t="s">
        <v>278</v>
      </c>
      <c r="F270" s="4" t="s">
        <v>74</v>
      </c>
      <c r="G270" s="39">
        <v>45619</v>
      </c>
      <c r="H270" s="40">
        <v>-106</v>
      </c>
      <c r="I270" s="40">
        <v>-101</v>
      </c>
      <c r="J270" s="7">
        <v>104</v>
      </c>
      <c r="K270" s="8">
        <v>3.2110562310030462E-2</v>
      </c>
      <c r="L270" s="9">
        <v>1.5740471720603166E-2</v>
      </c>
      <c r="M270" s="10">
        <v>-102.40315293665289</v>
      </c>
      <c r="N270" s="11">
        <v>2.04</v>
      </c>
      <c r="O270" s="12">
        <v>2071.4149524355785</v>
      </c>
      <c r="P270" s="32" t="s">
        <v>143</v>
      </c>
      <c r="Q270" s="78" t="s">
        <v>76</v>
      </c>
      <c r="R270" s="73"/>
      <c r="S270" s="32"/>
      <c r="T270" s="32">
        <v>1442.31</v>
      </c>
      <c r="U270" s="32">
        <v>1442.31</v>
      </c>
      <c r="V270" s="74" t="s">
        <v>82</v>
      </c>
      <c r="W270" s="15"/>
      <c r="X270" s="15"/>
      <c r="Y270" s="16"/>
      <c r="Z270" s="17"/>
      <c r="AA270" s="18"/>
      <c r="AB270" s="75">
        <v>-1442.31</v>
      </c>
      <c r="AC270" s="20">
        <v>46.31338512538003</v>
      </c>
      <c r="AD270" s="21">
        <v>45619</v>
      </c>
      <c r="AE270" s="22">
        <v>99729.330833467844</v>
      </c>
      <c r="AF270" s="23">
        <v>32736.065933333357</v>
      </c>
      <c r="AG270" s="24">
        <v>134178.37593333368</v>
      </c>
      <c r="AH270" s="15">
        <v>0.5</v>
      </c>
      <c r="AI270" s="76"/>
      <c r="AJ270" s="77"/>
      <c r="AK270" s="77"/>
      <c r="AL270" s="77"/>
      <c r="AM270" s="77"/>
      <c r="AN270" s="76"/>
      <c r="AO270" s="76"/>
      <c r="AP270" s="77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  <c r="BM270" s="77"/>
      <c r="BN270" s="77"/>
      <c r="BO270" s="77"/>
      <c r="BP270" s="76"/>
    </row>
    <row r="271" spans="1:68" ht="15" customHeight="1" x14ac:dyDescent="0.25">
      <c r="A271" s="1">
        <f t="shared" si="19"/>
        <v>113</v>
      </c>
      <c r="B271" s="1" t="str">
        <f t="shared" si="16"/>
        <v xml:space="preserve">Loyola </v>
      </c>
      <c r="C271" s="1">
        <f t="shared" si="17"/>
        <v>0</v>
      </c>
      <c r="D271" s="2" t="str">
        <f t="shared" si="18"/>
        <v>2024-11</v>
      </c>
      <c r="E271" s="3" t="s">
        <v>279</v>
      </c>
      <c r="F271" s="4" t="s">
        <v>74</v>
      </c>
      <c r="G271" s="39">
        <v>45619</v>
      </c>
      <c r="H271" s="40">
        <v>-591</v>
      </c>
      <c r="I271" s="40">
        <v>466</v>
      </c>
      <c r="J271" s="7">
        <v>-435</v>
      </c>
      <c r="K271" s="8">
        <v>1.9320651909244941E-2</v>
      </c>
      <c r="L271" s="9">
        <v>1.5709315103778598E-2</v>
      </c>
      <c r="M271" s="10">
        <v>-484.08972503617946</v>
      </c>
      <c r="N271" s="11">
        <v>1.2298850574712643</v>
      </c>
      <c r="O271" s="12">
        <v>5750.1798254542628</v>
      </c>
      <c r="P271" s="32" t="s">
        <v>143</v>
      </c>
      <c r="Q271" s="78" t="s">
        <v>81</v>
      </c>
      <c r="R271" s="79"/>
      <c r="S271" s="32"/>
      <c r="T271" s="32">
        <v>912.5</v>
      </c>
      <c r="U271" s="32">
        <v>912.5</v>
      </c>
      <c r="V271" s="74" t="s">
        <v>77</v>
      </c>
      <c r="W271" s="15"/>
      <c r="X271" s="15"/>
      <c r="Y271" s="16"/>
      <c r="Z271" s="17"/>
      <c r="AA271" s="18"/>
      <c r="AB271" s="75">
        <v>209.77</v>
      </c>
      <c r="AC271" s="20">
        <v>17.63009486718601</v>
      </c>
      <c r="AD271" s="21">
        <v>45619</v>
      </c>
      <c r="AE271" s="22">
        <v>97886.461202146922</v>
      </c>
      <c r="AF271" s="23">
        <v>37045.77593333336</v>
      </c>
      <c r="AG271" s="24">
        <v>136836.00593333368</v>
      </c>
      <c r="AH271" s="15">
        <v>0.5</v>
      </c>
      <c r="AI271" s="76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/>
      <c r="BO271" s="77"/>
      <c r="BP271" s="77"/>
    </row>
    <row r="272" spans="1:68" ht="15" customHeight="1" x14ac:dyDescent="0.25">
      <c r="A272" s="1">
        <f t="shared" si="19"/>
        <v>113</v>
      </c>
      <c r="B272" s="1" t="str">
        <f t="shared" si="16"/>
        <v xml:space="preserve">Loyola </v>
      </c>
      <c r="C272" s="1">
        <f t="shared" si="17"/>
        <v>0</v>
      </c>
      <c r="D272" s="2" t="str">
        <f t="shared" si="18"/>
        <v>2024-11</v>
      </c>
      <c r="E272" s="3" t="s">
        <v>279</v>
      </c>
      <c r="F272" s="4" t="s">
        <v>83</v>
      </c>
      <c r="G272" s="39">
        <v>45619</v>
      </c>
      <c r="H272" s="40">
        <v>-591</v>
      </c>
      <c r="I272" s="40">
        <v>466</v>
      </c>
      <c r="J272" s="7">
        <v>-435</v>
      </c>
      <c r="K272" s="8">
        <v>1.9320651909244941E-2</v>
      </c>
      <c r="L272" s="9">
        <v>1.5709315103778598E-2</v>
      </c>
      <c r="M272" s="10">
        <v>-484.08972503617946</v>
      </c>
      <c r="N272" s="11">
        <v>1.2298850574712643</v>
      </c>
      <c r="O272" s="12">
        <v>5758.9948680576927</v>
      </c>
      <c r="P272" s="32" t="s">
        <v>143</v>
      </c>
      <c r="Q272" s="78" t="s">
        <v>81</v>
      </c>
      <c r="R272" s="79"/>
      <c r="S272" s="32"/>
      <c r="T272" s="32">
        <v>2670</v>
      </c>
      <c r="U272" s="32">
        <v>2670</v>
      </c>
      <c r="V272" s="74" t="s">
        <v>77</v>
      </c>
      <c r="W272" s="15"/>
      <c r="X272" s="15"/>
      <c r="Y272" s="16"/>
      <c r="Z272" s="17"/>
      <c r="AA272" s="18"/>
      <c r="AB272" s="75">
        <v>613.79</v>
      </c>
      <c r="AC272" s="20">
        <v>51.586140597683993</v>
      </c>
      <c r="AD272" s="21">
        <v>45619</v>
      </c>
      <c r="AE272" s="22">
        <v>97938.047342744612</v>
      </c>
      <c r="AF272" s="23">
        <v>37659.565933333361</v>
      </c>
      <c r="AG272" s="24">
        <v>137045.77593333367</v>
      </c>
      <c r="AH272" s="15">
        <v>0.5</v>
      </c>
      <c r="AI272" s="76"/>
      <c r="AJ272" s="76"/>
      <c r="AK272" s="76"/>
      <c r="AL272" s="76"/>
      <c r="AM272" s="76"/>
      <c r="AN272" s="76"/>
      <c r="AO272" s="76"/>
      <c r="AP272" s="77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6"/>
      <c r="BC272" s="76"/>
      <c r="BD272" s="77"/>
      <c r="BE272" s="77"/>
      <c r="BF272" s="77"/>
      <c r="BG272" s="77"/>
      <c r="BH272" s="77"/>
      <c r="BI272" s="77"/>
      <c r="BJ272" s="77"/>
      <c r="BK272" s="77"/>
      <c r="BL272" s="77"/>
      <c r="BM272" s="77"/>
      <c r="BN272" s="77"/>
      <c r="BO272" s="77"/>
      <c r="BP272" s="76"/>
    </row>
    <row r="273" spans="1:68" ht="15" customHeight="1" x14ac:dyDescent="0.25">
      <c r="A273" s="1">
        <f t="shared" si="19"/>
        <v>114</v>
      </c>
      <c r="B273" s="1" t="str">
        <f t="shared" si="16"/>
        <v xml:space="preserve">Magic </v>
      </c>
      <c r="C273" s="1">
        <f t="shared" si="17"/>
        <v>1</v>
      </c>
      <c r="D273" s="2" t="str">
        <f t="shared" si="18"/>
        <v>2024-11</v>
      </c>
      <c r="E273" s="3" t="s">
        <v>280</v>
      </c>
      <c r="F273" s="4" t="s">
        <v>74</v>
      </c>
      <c r="G273" s="39">
        <v>45619</v>
      </c>
      <c r="H273" s="40">
        <v>-105</v>
      </c>
      <c r="I273" s="40">
        <v>-109</v>
      </c>
      <c r="J273" s="7">
        <v>115</v>
      </c>
      <c r="K273" s="8">
        <v>6.529126213592247E-2</v>
      </c>
      <c r="L273" s="9">
        <v>3.0368028900429056E-2</v>
      </c>
      <c r="M273" s="10">
        <v>101.82273866484391</v>
      </c>
      <c r="N273" s="11">
        <v>2.15</v>
      </c>
      <c r="O273" s="12">
        <v>3989.9934820669951</v>
      </c>
      <c r="P273" s="32" t="s">
        <v>75</v>
      </c>
      <c r="Q273" s="72" t="s">
        <v>92</v>
      </c>
      <c r="R273" s="73"/>
      <c r="S273" s="32"/>
      <c r="T273" s="32">
        <v>540.51499999999999</v>
      </c>
      <c r="U273" s="32">
        <v>540.51499999999999</v>
      </c>
      <c r="V273" s="74" t="s">
        <v>82</v>
      </c>
      <c r="W273" s="15"/>
      <c r="X273" s="15"/>
      <c r="Y273" s="16"/>
      <c r="Z273" s="17"/>
      <c r="AA273" s="18"/>
      <c r="AB273" s="75">
        <v>-540.51499999999999</v>
      </c>
      <c r="AC273" s="20">
        <v>35.290906553398131</v>
      </c>
      <c r="AD273" s="21">
        <v>45619</v>
      </c>
      <c r="AE273" s="22">
        <v>98344.796854124012</v>
      </c>
      <c r="AF273" s="23">
        <v>40014.050933333361</v>
      </c>
      <c r="AG273" s="24">
        <v>140554.56593333368</v>
      </c>
      <c r="AH273" s="15">
        <v>0.5</v>
      </c>
      <c r="AI273" s="76"/>
      <c r="AJ273" s="77"/>
      <c r="AK273" s="77"/>
      <c r="AL273" s="77"/>
      <c r="AM273" s="77"/>
      <c r="AN273" s="76"/>
      <c r="AO273" s="76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  <c r="BM273" s="77"/>
      <c r="BN273" s="77"/>
      <c r="BO273" s="77"/>
      <c r="BP273" s="76"/>
    </row>
    <row r="274" spans="1:68" ht="15" customHeight="1" x14ac:dyDescent="0.25">
      <c r="A274" s="1">
        <f t="shared" si="19"/>
        <v>115</v>
      </c>
      <c r="B274" s="1" t="str">
        <f t="shared" si="16"/>
        <v xml:space="preserve">Nuggets </v>
      </c>
      <c r="C274" s="1">
        <f t="shared" si="17"/>
        <v>1</v>
      </c>
      <c r="D274" s="2" t="str">
        <f t="shared" si="18"/>
        <v>2024-11</v>
      </c>
      <c r="E274" s="3" t="s">
        <v>281</v>
      </c>
      <c r="F274" s="4" t="s">
        <v>74</v>
      </c>
      <c r="G274" s="39">
        <v>45619</v>
      </c>
      <c r="H274" s="40">
        <v>115</v>
      </c>
      <c r="I274" s="40">
        <v>-134</v>
      </c>
      <c r="J274" s="7">
        <v>138</v>
      </c>
      <c r="K274" s="8">
        <v>6.669220455851349E-2</v>
      </c>
      <c r="L274" s="9">
        <v>2.8021934688451045E-2</v>
      </c>
      <c r="M274" s="10">
        <v>123.11965811965817</v>
      </c>
      <c r="N274" s="11">
        <v>2.38</v>
      </c>
      <c r="O274" s="12">
        <v>3347.031673577625</v>
      </c>
      <c r="P274" s="32" t="s">
        <v>75</v>
      </c>
      <c r="Q274" s="72" t="s">
        <v>92</v>
      </c>
      <c r="R274" s="73"/>
      <c r="S274" s="32"/>
      <c r="T274" s="32">
        <v>900.86</v>
      </c>
      <c r="U274" s="32">
        <v>900.86</v>
      </c>
      <c r="V274" s="74" t="s">
        <v>82</v>
      </c>
      <c r="W274" s="15"/>
      <c r="X274" s="15"/>
      <c r="Y274" s="16"/>
      <c r="Z274" s="17"/>
      <c r="AA274" s="18"/>
      <c r="AB274" s="75">
        <v>-900.86</v>
      </c>
      <c r="AC274" s="20">
        <v>60.080339398582467</v>
      </c>
      <c r="AD274" s="21">
        <v>45619</v>
      </c>
      <c r="AE274" s="22">
        <v>98481.236123634764</v>
      </c>
      <c r="AF274" s="23">
        <v>37613.190933333361</v>
      </c>
      <c r="AG274" s="24">
        <v>138514.05093333367</v>
      </c>
      <c r="AH274" s="15">
        <v>0.5</v>
      </c>
      <c r="AI274" s="76"/>
      <c r="AJ274" s="76"/>
      <c r="AK274" s="76"/>
      <c r="AL274" s="76"/>
      <c r="AM274" s="76"/>
      <c r="AN274" s="77"/>
      <c r="AO274" s="77"/>
      <c r="AP274" s="76"/>
      <c r="AQ274" s="76"/>
      <c r="AR274" s="76"/>
      <c r="AS274" s="76"/>
      <c r="AT274" s="77"/>
      <c r="AU274" s="77"/>
      <c r="AV274" s="77"/>
      <c r="AW274" s="77"/>
      <c r="AX274" s="77"/>
      <c r="AY274" s="77"/>
      <c r="AZ274" s="77"/>
      <c r="BA274" s="77"/>
      <c r="BB274" s="76"/>
      <c r="BC274" s="76"/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76"/>
    </row>
    <row r="275" spans="1:68" ht="15" customHeight="1" x14ac:dyDescent="0.25">
      <c r="A275" s="1">
        <f t="shared" si="19"/>
        <v>116</v>
      </c>
      <c r="B275" s="1" t="str">
        <f t="shared" si="16"/>
        <v xml:space="preserve">Omaha </v>
      </c>
      <c r="C275" s="1">
        <f t="shared" si="17"/>
        <v>1</v>
      </c>
      <c r="D275" s="2" t="str">
        <f t="shared" si="18"/>
        <v>2024-11</v>
      </c>
      <c r="E275" s="3" t="s">
        <v>282</v>
      </c>
      <c r="F275" s="4" t="s">
        <v>74</v>
      </c>
      <c r="G275" s="39">
        <v>45619</v>
      </c>
      <c r="H275" s="40">
        <v>-111</v>
      </c>
      <c r="I275" s="40">
        <v>101</v>
      </c>
      <c r="J275" s="7">
        <v>107</v>
      </c>
      <c r="K275" s="8">
        <v>6.3872520789661755E-2</v>
      </c>
      <c r="L275" s="9">
        <v>3.0856290236551565E-2</v>
      </c>
      <c r="M275" s="10">
        <v>-105.73933649289098</v>
      </c>
      <c r="N275" s="11">
        <v>2.0700000000000003</v>
      </c>
      <c r="O275" s="12">
        <v>3980.8484689738011</v>
      </c>
      <c r="P275" s="32" t="s">
        <v>143</v>
      </c>
      <c r="Q275" s="78" t="s">
        <v>92</v>
      </c>
      <c r="R275" s="79"/>
      <c r="S275" s="32"/>
      <c r="T275" s="32">
        <v>968.21500000000003</v>
      </c>
      <c r="U275" s="32">
        <v>968.21500000000003</v>
      </c>
      <c r="V275" s="74" t="s">
        <v>77</v>
      </c>
      <c r="W275" s="15"/>
      <c r="X275" s="15"/>
      <c r="Y275" s="16"/>
      <c r="Z275" s="17"/>
      <c r="AA275" s="18"/>
      <c r="AB275" s="75">
        <v>1035.99</v>
      </c>
      <c r="AC275" s="20">
        <v>61.842332716362357</v>
      </c>
      <c r="AD275" s="21">
        <v>45619</v>
      </c>
      <c r="AE275" s="22">
        <v>97616.289992931343</v>
      </c>
      <c r="AF275" s="23">
        <v>34411.27593333336</v>
      </c>
      <c r="AG275" s="24">
        <v>133375.28593333368</v>
      </c>
      <c r="AH275" s="15">
        <v>0.5</v>
      </c>
      <c r="AI275" s="76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  <c r="BM275" s="77"/>
      <c r="BN275" s="77"/>
      <c r="BO275" s="77"/>
      <c r="BP275" s="77"/>
    </row>
    <row r="276" spans="1:68" ht="15" customHeight="1" x14ac:dyDescent="0.25">
      <c r="A276" s="1">
        <f t="shared" si="19"/>
        <v>116</v>
      </c>
      <c r="B276" s="1" t="str">
        <f t="shared" si="16"/>
        <v xml:space="preserve">Omaha </v>
      </c>
      <c r="C276" s="1">
        <f t="shared" si="17"/>
        <v>1</v>
      </c>
      <c r="D276" s="2" t="str">
        <f t="shared" si="18"/>
        <v>2024-11</v>
      </c>
      <c r="E276" s="3" t="s">
        <v>283</v>
      </c>
      <c r="F276" s="4" t="s">
        <v>74</v>
      </c>
      <c r="G276" s="39">
        <v>45619</v>
      </c>
      <c r="H276" s="40">
        <v>112</v>
      </c>
      <c r="I276" s="40">
        <v>-139</v>
      </c>
      <c r="J276" s="7">
        <v>148</v>
      </c>
      <c r="K276" s="8">
        <v>0.1106280917403686</v>
      </c>
      <c r="L276" s="9">
        <v>4.4608101508213149E-2</v>
      </c>
      <c r="M276" s="10">
        <v>123.29707112970713</v>
      </c>
      <c r="N276" s="11">
        <v>2.48</v>
      </c>
      <c r="O276" s="12">
        <v>4780.8384292844848</v>
      </c>
      <c r="P276" s="32" t="s">
        <v>143</v>
      </c>
      <c r="Q276" s="78" t="s">
        <v>92</v>
      </c>
      <c r="R276" s="73"/>
      <c r="S276" s="32"/>
      <c r="T276" s="32">
        <v>699.995</v>
      </c>
      <c r="U276" s="32">
        <v>699.995</v>
      </c>
      <c r="V276" s="74" t="s">
        <v>77</v>
      </c>
      <c r="W276" s="15"/>
      <c r="X276" s="15"/>
      <c r="Y276" s="16"/>
      <c r="Z276" s="17"/>
      <c r="AA276" s="18"/>
      <c r="AB276" s="75">
        <v>1035.99</v>
      </c>
      <c r="AC276" s="20">
        <v>77.439111077799311</v>
      </c>
      <c r="AD276" s="21">
        <v>45619</v>
      </c>
      <c r="AE276" s="22">
        <v>100019.31938755982</v>
      </c>
      <c r="AF276" s="23">
        <v>28953.605933333358</v>
      </c>
      <c r="AG276" s="24">
        <v>127917.61593333368</v>
      </c>
      <c r="AH276" s="15">
        <v>0.5</v>
      </c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7"/>
      <c r="AU276" s="77"/>
      <c r="AV276" s="77"/>
      <c r="AW276" s="77"/>
      <c r="AX276" s="76"/>
      <c r="AY276" s="76"/>
      <c r="AZ276" s="76"/>
      <c r="BA276" s="76"/>
      <c r="BB276" s="76"/>
      <c r="BC276" s="76"/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76"/>
    </row>
    <row r="277" spans="1:68" ht="15" customHeight="1" x14ac:dyDescent="0.25">
      <c r="A277" s="1">
        <f t="shared" si="19"/>
        <v>117</v>
      </c>
      <c r="B277" s="1" t="str">
        <f t="shared" si="16"/>
        <v xml:space="preserve">Pistons </v>
      </c>
      <c r="C277" s="1">
        <f t="shared" si="17"/>
        <v>0</v>
      </c>
      <c r="D277" s="2" t="str">
        <f t="shared" si="18"/>
        <v>2024-11</v>
      </c>
      <c r="E277" s="3" t="s">
        <v>284</v>
      </c>
      <c r="F277" s="4" t="s">
        <v>74</v>
      </c>
      <c r="G277" s="39">
        <v>45619</v>
      </c>
      <c r="H277" s="40">
        <v>223</v>
      </c>
      <c r="I277" s="40">
        <v>-260</v>
      </c>
      <c r="J277" s="7">
        <v>275</v>
      </c>
      <c r="K277" s="8">
        <v>0.12518753125520921</v>
      </c>
      <c r="L277" s="9">
        <v>3.3383341668055788E-2</v>
      </c>
      <c r="M277" s="10">
        <v>233.27777777777777</v>
      </c>
      <c r="N277" s="11">
        <v>3.75</v>
      </c>
      <c r="O277" s="12">
        <v>3059.384692173956</v>
      </c>
      <c r="P277" s="32" t="s">
        <v>75</v>
      </c>
      <c r="Q277" s="78" t="s">
        <v>81</v>
      </c>
      <c r="R277" s="79"/>
      <c r="S277" s="32"/>
      <c r="T277" s="32">
        <v>376.72500000000002</v>
      </c>
      <c r="U277" s="32">
        <v>376.72500000000002</v>
      </c>
      <c r="V277" s="74" t="s">
        <v>82</v>
      </c>
      <c r="W277" s="15"/>
      <c r="X277" s="15"/>
      <c r="Y277" s="16"/>
      <c r="Z277" s="17"/>
      <c r="AA277" s="18"/>
      <c r="AB277" s="75">
        <v>-376.72500000000002</v>
      </c>
      <c r="AC277" s="20">
        <v>47.161272712118688</v>
      </c>
      <c r="AD277" s="21">
        <v>45619</v>
      </c>
      <c r="AE277" s="22">
        <v>97663.451265643467</v>
      </c>
      <c r="AF277" s="23">
        <v>34034.550933333361</v>
      </c>
      <c r="AG277" s="24">
        <v>134411.27593333367</v>
      </c>
      <c r="AH277" s="15">
        <v>0.5</v>
      </c>
      <c r="AI277" s="76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7"/>
      <c r="BN277" s="77"/>
      <c r="BO277" s="77"/>
      <c r="BP277" s="77"/>
    </row>
    <row r="278" spans="1:68" ht="15" customHeight="1" x14ac:dyDescent="0.25">
      <c r="A278" s="1">
        <f t="shared" si="19"/>
        <v>117</v>
      </c>
      <c r="B278" s="1" t="str">
        <f t="shared" si="16"/>
        <v xml:space="preserve">Pistons </v>
      </c>
      <c r="C278" s="1">
        <f t="shared" si="17"/>
        <v>0</v>
      </c>
      <c r="D278" s="2" t="str">
        <f t="shared" si="18"/>
        <v>2024-11</v>
      </c>
      <c r="E278" s="3" t="s">
        <v>284</v>
      </c>
      <c r="F278" s="4" t="s">
        <v>83</v>
      </c>
      <c r="G278" s="39">
        <v>45619</v>
      </c>
      <c r="H278" s="40">
        <v>223</v>
      </c>
      <c r="I278" s="40">
        <v>-260</v>
      </c>
      <c r="J278" s="7">
        <v>275</v>
      </c>
      <c r="K278" s="8">
        <v>0.12518753125520921</v>
      </c>
      <c r="L278" s="9">
        <v>3.3383341668055788E-2</v>
      </c>
      <c r="M278" s="10">
        <v>233.27777777777777</v>
      </c>
      <c r="N278" s="11">
        <v>3.75</v>
      </c>
      <c r="O278" s="12">
        <v>3050.809915317207</v>
      </c>
      <c r="P278" s="32" t="s">
        <v>75</v>
      </c>
      <c r="Q278" s="78" t="s">
        <v>81</v>
      </c>
      <c r="R278" s="79"/>
      <c r="S278" s="32"/>
      <c r="T278" s="32">
        <v>189.30500000000001</v>
      </c>
      <c r="U278" s="32">
        <v>189.30500000000001</v>
      </c>
      <c r="V278" s="74" t="s">
        <v>82</v>
      </c>
      <c r="W278" s="15"/>
      <c r="X278" s="15"/>
      <c r="Y278" s="16"/>
      <c r="Z278" s="17"/>
      <c r="AA278" s="18"/>
      <c r="AB278" s="75">
        <v>-189.30500000000001</v>
      </c>
      <c r="AC278" s="20">
        <v>23.698625604267381</v>
      </c>
      <c r="AD278" s="21">
        <v>45619</v>
      </c>
      <c r="AE278" s="22">
        <v>97687.14989124774</v>
      </c>
      <c r="AF278" s="23">
        <v>33845.245933333361</v>
      </c>
      <c r="AG278" s="24">
        <v>134034.55093333367</v>
      </c>
      <c r="AH278" s="15">
        <v>0.5</v>
      </c>
      <c r="AI278" s="76"/>
      <c r="AJ278" s="77"/>
      <c r="AK278" s="77"/>
      <c r="AL278" s="77"/>
      <c r="AM278" s="77"/>
      <c r="AN278" s="76"/>
      <c r="AO278" s="76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6"/>
      <c r="BC278" s="76"/>
      <c r="BD278" s="77"/>
      <c r="BE278" s="77"/>
      <c r="BF278" s="77"/>
      <c r="BG278" s="77"/>
      <c r="BH278" s="77"/>
      <c r="BI278" s="77"/>
      <c r="BJ278" s="77"/>
      <c r="BK278" s="77"/>
      <c r="BL278" s="77"/>
      <c r="BM278" s="77"/>
      <c r="BN278" s="77"/>
      <c r="BO278" s="77"/>
      <c r="BP278" s="76"/>
    </row>
    <row r="279" spans="1:68" ht="15" customHeight="1" x14ac:dyDescent="0.25">
      <c r="A279" s="1">
        <f t="shared" si="19"/>
        <v>118</v>
      </c>
      <c r="B279" s="1" t="str">
        <f t="shared" si="16"/>
        <v xml:space="preserve">Rockets </v>
      </c>
      <c r="C279" s="1">
        <f t="shared" si="17"/>
        <v>0</v>
      </c>
      <c r="D279" s="2" t="str">
        <f t="shared" si="18"/>
        <v>2024-11</v>
      </c>
      <c r="E279" s="3" t="s">
        <v>285</v>
      </c>
      <c r="F279" s="4" t="s">
        <v>74</v>
      </c>
      <c r="G279" s="39">
        <v>45619</v>
      </c>
      <c r="H279" s="40">
        <v>-147</v>
      </c>
      <c r="I279" s="40">
        <v>128</v>
      </c>
      <c r="J279" s="7">
        <v>-124</v>
      </c>
      <c r="K279" s="8">
        <v>4.0006737976922453E-2</v>
      </c>
      <c r="L279" s="9">
        <v>2.2146587094367787E-2</v>
      </c>
      <c r="M279" s="10">
        <v>-135.69230769230771</v>
      </c>
      <c r="N279" s="11">
        <v>1.8064516129032258</v>
      </c>
      <c r="O279" s="12">
        <v>3300.8577450826911</v>
      </c>
      <c r="P279" s="32" t="s">
        <v>75</v>
      </c>
      <c r="Q279" s="80" t="s">
        <v>76</v>
      </c>
      <c r="R279" s="82"/>
      <c r="S279" s="32"/>
      <c r="T279" s="32">
        <v>1860</v>
      </c>
      <c r="U279" s="32">
        <v>4535.0200000000004</v>
      </c>
      <c r="V279" s="74" t="s">
        <v>82</v>
      </c>
      <c r="W279" s="15"/>
      <c r="X279" s="15"/>
      <c r="Y279" s="16"/>
      <c r="Z279" s="17"/>
      <c r="AA279" s="18"/>
      <c r="AB279" s="75">
        <v>-1860</v>
      </c>
      <c r="AC279" s="20">
        <v>74.412532637075756</v>
      </c>
      <c r="AD279" s="21">
        <v>45619</v>
      </c>
      <c r="AE279" s="22">
        <v>101187.7121213518</v>
      </c>
      <c r="AF279" s="23">
        <v>31216.685933333356</v>
      </c>
      <c r="AG279" s="24">
        <v>133076.68593333368</v>
      </c>
      <c r="AH279" s="15">
        <v>0.5</v>
      </c>
      <c r="AI279" s="76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77"/>
    </row>
    <row r="280" spans="1:68" ht="15" customHeight="1" x14ac:dyDescent="0.25">
      <c r="A280" s="1">
        <f t="shared" si="19"/>
        <v>118</v>
      </c>
      <c r="B280" s="1" t="str">
        <f t="shared" si="16"/>
        <v xml:space="preserve">Rockets </v>
      </c>
      <c r="C280" s="1">
        <f t="shared" si="17"/>
        <v>0</v>
      </c>
      <c r="D280" s="2" t="str">
        <f t="shared" si="18"/>
        <v>2024-11</v>
      </c>
      <c r="E280" s="3" t="s">
        <v>286</v>
      </c>
      <c r="F280" s="4" t="s">
        <v>83</v>
      </c>
      <c r="G280" s="39">
        <v>45619</v>
      </c>
      <c r="H280" s="40">
        <v>-170</v>
      </c>
      <c r="I280" s="40">
        <v>148</v>
      </c>
      <c r="J280" s="7">
        <v>-139</v>
      </c>
      <c r="K280" s="8">
        <v>4.8162742218024156E-2</v>
      </c>
      <c r="L280" s="9">
        <v>2.8010967231403172E-2</v>
      </c>
      <c r="M280" s="10">
        <v>-156.1481481481481</v>
      </c>
      <c r="N280" s="11">
        <v>1.7194244604316546</v>
      </c>
      <c r="O280" s="12">
        <v>4461.2522301282024</v>
      </c>
      <c r="P280" s="32" t="s">
        <v>75</v>
      </c>
      <c r="Q280" s="80" t="s">
        <v>76</v>
      </c>
      <c r="R280" s="82"/>
      <c r="S280" s="32"/>
      <c r="T280" s="32">
        <v>1807.635</v>
      </c>
      <c r="U280" s="32">
        <v>1807.635</v>
      </c>
      <c r="V280" s="74" t="s">
        <v>82</v>
      </c>
      <c r="W280" s="15"/>
      <c r="X280" s="15"/>
      <c r="Y280" s="16"/>
      <c r="Z280" s="17"/>
      <c r="AA280" s="18"/>
      <c r="AB280" s="75">
        <v>-1807.635</v>
      </c>
      <c r="AC280" s="20">
        <v>87.060658529278101</v>
      </c>
      <c r="AD280" s="21">
        <v>45619</v>
      </c>
      <c r="AE280" s="22">
        <v>101400.33209471495</v>
      </c>
      <c r="AF280" s="23">
        <v>31471.070933333354</v>
      </c>
      <c r="AG280" s="24">
        <v>133278.70593333367</v>
      </c>
      <c r="AH280" s="15">
        <v>0.5</v>
      </c>
      <c r="AI280" s="76"/>
      <c r="AJ280" s="77"/>
      <c r="AK280" s="77"/>
      <c r="AL280" s="77"/>
      <c r="AM280" s="77"/>
      <c r="AN280" s="76"/>
      <c r="AO280" s="76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7"/>
      <c r="BN280" s="77"/>
      <c r="BO280" s="77"/>
      <c r="BP280" s="77"/>
    </row>
    <row r="281" spans="1:68" ht="15" customHeight="1" x14ac:dyDescent="0.25">
      <c r="A281" s="1">
        <f t="shared" si="19"/>
        <v>118</v>
      </c>
      <c r="B281" s="1" t="str">
        <f t="shared" si="16"/>
        <v xml:space="preserve">Rockets </v>
      </c>
      <c r="C281" s="1">
        <f t="shared" si="17"/>
        <v>0</v>
      </c>
      <c r="D281" s="2" t="str">
        <f t="shared" si="18"/>
        <v>2024-11</v>
      </c>
      <c r="E281" s="3" t="s">
        <v>286</v>
      </c>
      <c r="F281" s="4" t="s">
        <v>97</v>
      </c>
      <c r="G281" s="39">
        <v>45619</v>
      </c>
      <c r="H281" s="40">
        <v>-170</v>
      </c>
      <c r="I281" s="40">
        <v>148</v>
      </c>
      <c r="J281" s="7">
        <v>-139</v>
      </c>
      <c r="K281" s="8">
        <v>4.8162742218024156E-2</v>
      </c>
      <c r="L281" s="9">
        <v>2.8010967231403172E-2</v>
      </c>
      <c r="M281" s="10">
        <v>-156.1481481481481</v>
      </c>
      <c r="N281" s="11">
        <v>1.7194244604316546</v>
      </c>
      <c r="O281" s="12">
        <v>4400.7450724503533</v>
      </c>
      <c r="P281" s="32" t="s">
        <v>75</v>
      </c>
      <c r="Q281" s="80" t="s">
        <v>76</v>
      </c>
      <c r="R281" s="82"/>
      <c r="S281" s="32"/>
      <c r="T281" s="32">
        <v>173</v>
      </c>
      <c r="U281" s="32">
        <v>173</v>
      </c>
      <c r="V281" s="74" t="s">
        <v>82</v>
      </c>
      <c r="W281" s="15"/>
      <c r="X281" s="15"/>
      <c r="Y281" s="16"/>
      <c r="Z281" s="17"/>
      <c r="AA281" s="18"/>
      <c r="AB281" s="75">
        <v>-173</v>
      </c>
      <c r="AC281" s="20">
        <v>8.3321544037181781</v>
      </c>
      <c r="AD281" s="21">
        <v>45619</v>
      </c>
      <c r="AE281" s="22">
        <v>101408.66424911866</v>
      </c>
      <c r="AF281" s="23">
        <v>31298.070933333354</v>
      </c>
      <c r="AG281" s="24">
        <v>131471.07093333366</v>
      </c>
      <c r="AH281" s="15">
        <v>0.5</v>
      </c>
      <c r="AI281" s="76"/>
      <c r="AJ281" s="76"/>
      <c r="AK281" s="76"/>
      <c r="AL281" s="76"/>
      <c r="AM281" s="76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7"/>
      <c r="BN281" s="77"/>
      <c r="BO281" s="77"/>
      <c r="BP281" s="77"/>
    </row>
    <row r="282" spans="1:68" ht="15" customHeight="1" x14ac:dyDescent="0.25">
      <c r="A282" s="1">
        <f t="shared" si="19"/>
        <v>119</v>
      </c>
      <c r="B282" s="1" t="str">
        <f t="shared" si="16"/>
        <v xml:space="preserve">Stanford </v>
      </c>
      <c r="C282" s="1">
        <f t="shared" si="17"/>
        <v>0</v>
      </c>
      <c r="D282" s="2" t="str">
        <f t="shared" si="18"/>
        <v>2024-11</v>
      </c>
      <c r="E282" s="3" t="s">
        <v>287</v>
      </c>
      <c r="F282" s="4" t="s">
        <v>74</v>
      </c>
      <c r="G282" s="39">
        <v>45619</v>
      </c>
      <c r="H282" s="40">
        <v>-109</v>
      </c>
      <c r="I282" s="40">
        <v>-106</v>
      </c>
      <c r="J282" s="7">
        <v>106</v>
      </c>
      <c r="K282" s="8">
        <v>3.6927008608321238E-2</v>
      </c>
      <c r="L282" s="9">
        <v>1.7925732334136524E-2</v>
      </c>
      <c r="M282" s="10">
        <v>-101.35415726279676</v>
      </c>
      <c r="N282" s="11">
        <v>2.06</v>
      </c>
      <c r="O282" s="12">
        <v>2370.0933513091786</v>
      </c>
      <c r="P282" s="32" t="s">
        <v>143</v>
      </c>
      <c r="Q282" s="80" t="s">
        <v>81</v>
      </c>
      <c r="R282" s="82"/>
      <c r="S282" s="32"/>
      <c r="T282" s="32">
        <v>488.67500000000001</v>
      </c>
      <c r="U282" s="32">
        <v>488.67500000000001</v>
      </c>
      <c r="V282" s="74" t="s">
        <v>82</v>
      </c>
      <c r="W282" s="15"/>
      <c r="X282" s="15"/>
      <c r="Y282" s="16"/>
      <c r="Z282" s="17"/>
      <c r="AA282" s="18"/>
      <c r="AB282" s="75">
        <v>-488.67500000000001</v>
      </c>
      <c r="AC282" s="20">
        <v>18.045305931671383</v>
      </c>
      <c r="AD282" s="21">
        <v>45619</v>
      </c>
      <c r="AE282" s="22">
        <v>102673.73351101641</v>
      </c>
      <c r="AF282" s="23">
        <v>35579.695933333351</v>
      </c>
      <c r="AG282" s="24">
        <v>136068.37093333364</v>
      </c>
      <c r="AH282" s="15">
        <v>0.5</v>
      </c>
      <c r="AI282" s="76"/>
      <c r="AJ282" s="76"/>
      <c r="AK282" s="76"/>
      <c r="AL282" s="76"/>
      <c r="AM282" s="76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6"/>
      <c r="AY282" s="76"/>
      <c r="AZ282" s="76"/>
      <c r="BA282" s="76"/>
      <c r="BB282" s="76"/>
      <c r="BC282" s="76"/>
      <c r="BD282" s="77"/>
      <c r="BE282" s="77"/>
      <c r="BF282" s="77"/>
      <c r="BG282" s="77"/>
      <c r="BH282" s="77"/>
      <c r="BI282" s="77"/>
      <c r="BJ282" s="77"/>
      <c r="BK282" s="77"/>
      <c r="BL282" s="77"/>
      <c r="BM282" s="77"/>
      <c r="BN282" s="77"/>
      <c r="BO282" s="77"/>
      <c r="BP282" s="76"/>
    </row>
    <row r="283" spans="1:68" ht="15" customHeight="1" x14ac:dyDescent="0.25">
      <c r="A283" s="1">
        <f t="shared" si="19"/>
        <v>120</v>
      </c>
      <c r="B283" s="1" t="str">
        <f t="shared" si="16"/>
        <v xml:space="preserve">Stony </v>
      </c>
      <c r="C283" s="1">
        <f t="shared" si="17"/>
        <v>0</v>
      </c>
      <c r="D283" s="2" t="str">
        <f t="shared" si="18"/>
        <v>2024-11</v>
      </c>
      <c r="E283" s="3" t="s">
        <v>288</v>
      </c>
      <c r="F283" s="4" t="s">
        <v>74</v>
      </c>
      <c r="G283" s="39">
        <v>45619</v>
      </c>
      <c r="H283" s="40">
        <v>-139</v>
      </c>
      <c r="I283" s="40">
        <v>121</v>
      </c>
      <c r="J283" s="7">
        <v>-118</v>
      </c>
      <c r="K283" s="8">
        <v>3.9053275370432197E-2</v>
      </c>
      <c r="L283" s="9">
        <v>2.1138928870233942E-2</v>
      </c>
      <c r="M283" s="10">
        <v>-128.53138075313811</v>
      </c>
      <c r="N283" s="11">
        <v>1.847457627118644</v>
      </c>
      <c r="O283" s="12">
        <v>3058.4290993445716</v>
      </c>
      <c r="P283" s="32" t="s">
        <v>143</v>
      </c>
      <c r="Q283" s="78" t="s">
        <v>76</v>
      </c>
      <c r="R283" s="73"/>
      <c r="S283" s="32"/>
      <c r="T283" s="32">
        <v>1764.7049999999999</v>
      </c>
      <c r="U283" s="32">
        <v>1764.7049999999999</v>
      </c>
      <c r="V283" s="74" t="s">
        <v>82</v>
      </c>
      <c r="W283" s="15"/>
      <c r="X283" s="15"/>
      <c r="Y283" s="16"/>
      <c r="Z283" s="17"/>
      <c r="AA283" s="18"/>
      <c r="AB283" s="75">
        <v>-1764.7049999999999</v>
      </c>
      <c r="AC283" s="20">
        <v>68.917510312578543</v>
      </c>
      <c r="AD283" s="21">
        <v>45619</v>
      </c>
      <c r="AE283" s="22">
        <v>99798.248343780419</v>
      </c>
      <c r="AF283" s="23">
        <v>30971.360933333359</v>
      </c>
      <c r="AG283" s="24">
        <v>132736.06593333368</v>
      </c>
      <c r="AH283" s="15">
        <v>0.5</v>
      </c>
      <c r="AI283" s="76"/>
      <c r="AJ283" s="77"/>
      <c r="AK283" s="77"/>
      <c r="AL283" s="77"/>
      <c r="AM283" s="77"/>
      <c r="AN283" s="76"/>
      <c r="AO283" s="76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7"/>
      <c r="BN283" s="77"/>
      <c r="BO283" s="77"/>
      <c r="BP283" s="77"/>
    </row>
    <row r="284" spans="1:68" ht="15" customHeight="1" x14ac:dyDescent="0.25">
      <c r="A284" s="1">
        <f t="shared" si="19"/>
        <v>120</v>
      </c>
      <c r="B284" s="1" t="str">
        <f t="shared" si="16"/>
        <v xml:space="preserve">Stony </v>
      </c>
      <c r="C284" s="1">
        <f t="shared" si="17"/>
        <v>0</v>
      </c>
      <c r="D284" s="2" t="str">
        <f t="shared" si="18"/>
        <v>2024-11</v>
      </c>
      <c r="E284" s="3" t="s">
        <v>289</v>
      </c>
      <c r="F284" s="4" t="s">
        <v>74</v>
      </c>
      <c r="G284" s="39">
        <v>45619</v>
      </c>
      <c r="H284" s="40">
        <v>-127</v>
      </c>
      <c r="I284" s="40">
        <v>110</v>
      </c>
      <c r="J284" s="7">
        <v>-109</v>
      </c>
      <c r="K284" s="8">
        <v>3.5808991457502277E-2</v>
      </c>
      <c r="L284" s="9">
        <v>1.8675502721855253E-2</v>
      </c>
      <c r="M284" s="10">
        <v>-117.48898678414098</v>
      </c>
      <c r="N284" s="11">
        <v>1.9174311926605505</v>
      </c>
      <c r="O284" s="12">
        <v>2556.0240279373602</v>
      </c>
      <c r="P284" s="32" t="s">
        <v>143</v>
      </c>
      <c r="Q284" s="78" t="s">
        <v>76</v>
      </c>
      <c r="R284" s="73"/>
      <c r="S284" s="32"/>
      <c r="T284" s="32">
        <v>1630.4349999999999</v>
      </c>
      <c r="U284" s="32">
        <v>1630.4349999999999</v>
      </c>
      <c r="V284" s="74" t="s">
        <v>82</v>
      </c>
      <c r="W284" s="15"/>
      <c r="X284" s="15"/>
      <c r="Y284" s="16"/>
      <c r="Z284" s="17"/>
      <c r="AA284" s="18"/>
      <c r="AB284" s="75">
        <v>-1630.4349999999999</v>
      </c>
      <c r="AC284" s="20">
        <v>58.384232987012723</v>
      </c>
      <c r="AD284" s="21">
        <v>45619</v>
      </c>
      <c r="AE284" s="22">
        <v>99856.632576767428</v>
      </c>
      <c r="AF284" s="23">
        <v>29340.925933333358</v>
      </c>
      <c r="AG284" s="24">
        <v>130971.36093333368</v>
      </c>
      <c r="AH284" s="15">
        <v>0.5</v>
      </c>
      <c r="AI284" s="76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7"/>
      <c r="BN284" s="77"/>
      <c r="BO284" s="77"/>
      <c r="BP284" s="77"/>
    </row>
    <row r="285" spans="1:68" ht="15" customHeight="1" x14ac:dyDescent="0.25">
      <c r="A285" s="1">
        <f t="shared" si="19"/>
        <v>121</v>
      </c>
      <c r="B285" s="1" t="str">
        <f t="shared" si="16"/>
        <v xml:space="preserve">Temple </v>
      </c>
      <c r="C285" s="1">
        <f t="shared" si="17"/>
        <v>0</v>
      </c>
      <c r="D285" s="2" t="str">
        <f t="shared" si="18"/>
        <v>2024-11</v>
      </c>
      <c r="E285" s="3" t="s">
        <v>290</v>
      </c>
      <c r="F285" s="4" t="s">
        <v>74</v>
      </c>
      <c r="G285" s="39">
        <v>45619</v>
      </c>
      <c r="H285" s="40">
        <v>-143</v>
      </c>
      <c r="I285" s="40">
        <v>125</v>
      </c>
      <c r="J285" s="7">
        <v>-114</v>
      </c>
      <c r="K285" s="8">
        <v>6.9476480044733543E-2</v>
      </c>
      <c r="L285" s="9">
        <v>3.7010835164016931E-2</v>
      </c>
      <c r="M285" s="10">
        <v>-132.40740740740742</v>
      </c>
      <c r="N285" s="11">
        <v>1.8771929824561404</v>
      </c>
      <c r="O285" s="12">
        <v>5300.4850381567348</v>
      </c>
      <c r="P285" s="32" t="s">
        <v>143</v>
      </c>
      <c r="Q285" s="78" t="s">
        <v>76</v>
      </c>
      <c r="R285" s="79"/>
      <c r="S285" s="32"/>
      <c r="T285" s="32">
        <v>1710</v>
      </c>
      <c r="U285" s="32">
        <v>2835.45</v>
      </c>
      <c r="V285" s="74" t="s">
        <v>77</v>
      </c>
      <c r="W285" s="15"/>
      <c r="X285" s="15"/>
      <c r="Y285" s="16"/>
      <c r="Z285" s="17"/>
      <c r="AA285" s="18"/>
      <c r="AB285" s="75">
        <v>1500</v>
      </c>
      <c r="AC285" s="20">
        <v>118.80478087649436</v>
      </c>
      <c r="AD285" s="21">
        <v>45619</v>
      </c>
      <c r="AE285" s="22">
        <v>97805.954672124237</v>
      </c>
      <c r="AF285" s="23">
        <v>35345.245933333361</v>
      </c>
      <c r="AG285" s="24">
        <v>133845.24593333367</v>
      </c>
      <c r="AH285" s="15">
        <v>0.5</v>
      </c>
      <c r="AI285" s="76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</row>
    <row r="286" spans="1:68" ht="15" customHeight="1" x14ac:dyDescent="0.25">
      <c r="A286" s="1">
        <f t="shared" si="19"/>
        <v>122</v>
      </c>
      <c r="B286" s="1" t="str">
        <f t="shared" si="16"/>
        <v xml:space="preserve">Trail </v>
      </c>
      <c r="C286" s="1">
        <f t="shared" si="17"/>
        <v>0</v>
      </c>
      <c r="D286" s="2" t="str">
        <f t="shared" si="18"/>
        <v>2024-11</v>
      </c>
      <c r="E286" s="3" t="s">
        <v>291</v>
      </c>
      <c r="F286" s="4" t="s">
        <v>74</v>
      </c>
      <c r="G286" s="39">
        <v>45619</v>
      </c>
      <c r="H286" s="40">
        <v>183</v>
      </c>
      <c r="I286" s="40">
        <v>-212</v>
      </c>
      <c r="J286" s="7">
        <v>225</v>
      </c>
      <c r="K286" s="8">
        <v>0.11189087240668463</v>
      </c>
      <c r="L286" s="9">
        <v>3.4427960740518349E-2</v>
      </c>
      <c r="M286" s="10">
        <v>192.29487179487171</v>
      </c>
      <c r="N286" s="11">
        <v>3.25</v>
      </c>
      <c r="O286" s="12">
        <v>3255.9826376491606</v>
      </c>
      <c r="P286" s="32" t="s">
        <v>75</v>
      </c>
      <c r="Q286" s="80" t="s">
        <v>81</v>
      </c>
      <c r="R286" s="82"/>
      <c r="S286" s="32"/>
      <c r="T286" s="32">
        <v>345.33</v>
      </c>
      <c r="U286" s="32">
        <v>345.33</v>
      </c>
      <c r="V286" s="74" t="s">
        <v>82</v>
      </c>
      <c r="W286" s="15"/>
      <c r="X286" s="15"/>
      <c r="Y286" s="16"/>
      <c r="Z286" s="17"/>
      <c r="AA286" s="18"/>
      <c r="AB286" s="75">
        <v>-345.33</v>
      </c>
      <c r="AC286" s="20">
        <v>38.639274968200404</v>
      </c>
      <c r="AD286" s="21">
        <v>45619</v>
      </c>
      <c r="AE286" s="22">
        <v>102275.35740687333</v>
      </c>
      <c r="AF286" s="23">
        <v>30602.990933333349</v>
      </c>
      <c r="AG286" s="24">
        <v>130948.32093333363</v>
      </c>
      <c r="AH286" s="15">
        <v>0.5</v>
      </c>
      <c r="AI286" s="76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77"/>
    </row>
    <row r="287" spans="1:68" ht="15" customHeight="1" x14ac:dyDescent="0.25">
      <c r="A287" s="1">
        <f t="shared" si="19"/>
        <v>122</v>
      </c>
      <c r="B287" s="1" t="str">
        <f t="shared" si="16"/>
        <v xml:space="preserve">Trail </v>
      </c>
      <c r="C287" s="1">
        <f t="shared" si="17"/>
        <v>0</v>
      </c>
      <c r="D287" s="2" t="str">
        <f t="shared" si="18"/>
        <v>2024-11</v>
      </c>
      <c r="E287" s="3" t="s">
        <v>292</v>
      </c>
      <c r="F287" s="4" t="s">
        <v>74</v>
      </c>
      <c r="G287" s="39">
        <v>45619</v>
      </c>
      <c r="H287" s="40">
        <v>-170</v>
      </c>
      <c r="I287" s="40">
        <v>148</v>
      </c>
      <c r="J287" s="7">
        <v>-141</v>
      </c>
      <c r="K287" s="8">
        <v>4.1942007227561563E-2</v>
      </c>
      <c r="L287" s="9">
        <v>2.4538684726498672E-2</v>
      </c>
      <c r="M287" s="10">
        <v>-156.1481481481481</v>
      </c>
      <c r="N287" s="11">
        <v>1.7092198581560285</v>
      </c>
      <c r="O287" s="12">
        <v>3861.8148707152595</v>
      </c>
      <c r="P287" s="32" t="s">
        <v>75</v>
      </c>
      <c r="Q287" s="80" t="s">
        <v>76</v>
      </c>
      <c r="R287" s="82"/>
      <c r="S287" s="32"/>
      <c r="T287" s="32">
        <v>2115</v>
      </c>
      <c r="U287" s="32">
        <v>5180.7299999999996</v>
      </c>
      <c r="V287" s="74" t="s">
        <v>77</v>
      </c>
      <c r="W287" s="15"/>
      <c r="X287" s="15"/>
      <c r="Y287" s="16"/>
      <c r="Z287" s="17"/>
      <c r="AA287" s="18"/>
      <c r="AB287" s="75">
        <v>1500</v>
      </c>
      <c r="AC287" s="20">
        <v>88.707345286292707</v>
      </c>
      <c r="AD287" s="21">
        <v>45619</v>
      </c>
      <c r="AE287" s="22">
        <v>102364.06475215963</v>
      </c>
      <c r="AF287" s="23">
        <v>32102.990933333349</v>
      </c>
      <c r="AG287" s="24">
        <v>130602.99093333363</v>
      </c>
      <c r="AH287" s="15">
        <v>0.5</v>
      </c>
      <c r="AI287" s="76"/>
      <c r="AJ287" s="77"/>
      <c r="AK287" s="77"/>
      <c r="AL287" s="77"/>
      <c r="AM287" s="77"/>
      <c r="AN287" s="76"/>
      <c r="AO287" s="76"/>
      <c r="AP287" s="77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76"/>
    </row>
    <row r="288" spans="1:68" ht="15" customHeight="1" x14ac:dyDescent="0.25">
      <c r="A288" s="1">
        <f t="shared" si="19"/>
        <v>122</v>
      </c>
      <c r="B288" s="1" t="str">
        <f t="shared" si="16"/>
        <v xml:space="preserve">Trail </v>
      </c>
      <c r="C288" s="1">
        <f t="shared" si="17"/>
        <v>0</v>
      </c>
      <c r="D288" s="2" t="str">
        <f t="shared" si="18"/>
        <v>2024-11</v>
      </c>
      <c r="E288" s="3" t="s">
        <v>293</v>
      </c>
      <c r="F288" s="4" t="s">
        <v>74</v>
      </c>
      <c r="G288" s="39">
        <v>45619</v>
      </c>
      <c r="H288" s="40">
        <v>340</v>
      </c>
      <c r="I288" s="40">
        <v>-391</v>
      </c>
      <c r="J288" s="7">
        <v>400</v>
      </c>
      <c r="K288" s="8">
        <v>0.11015646196979298</v>
      </c>
      <c r="L288" s="9">
        <v>2.2031292393958596E-2</v>
      </c>
      <c r="M288" s="10">
        <v>350.38696537678203</v>
      </c>
      <c r="N288" s="11">
        <v>5</v>
      </c>
      <c r="O288" s="12">
        <v>1818.9997621054592</v>
      </c>
      <c r="P288" s="32" t="s">
        <v>75</v>
      </c>
      <c r="Q288" s="80" t="s">
        <v>81</v>
      </c>
      <c r="R288" s="82"/>
      <c r="S288" s="32"/>
      <c r="T288" s="32">
        <v>258.995</v>
      </c>
      <c r="U288" s="32">
        <v>258.995</v>
      </c>
      <c r="V288" s="74" t="s">
        <v>77</v>
      </c>
      <c r="W288" s="15"/>
      <c r="X288" s="15"/>
      <c r="Y288" s="16"/>
      <c r="Z288" s="17"/>
      <c r="AA288" s="18"/>
      <c r="AB288" s="75">
        <v>1035.98</v>
      </c>
      <c r="AC288" s="20">
        <v>28.529972867866533</v>
      </c>
      <c r="AD288" s="21">
        <v>45619</v>
      </c>
      <c r="AE288" s="22">
        <v>102392.59472502749</v>
      </c>
      <c r="AF288" s="23">
        <v>33138.970933333352</v>
      </c>
      <c r="AG288" s="24">
        <v>132102.99093333364</v>
      </c>
      <c r="AH288" s="15">
        <v>0.5</v>
      </c>
      <c r="AI288" s="76"/>
      <c r="AJ288" s="77"/>
      <c r="AK288" s="77"/>
      <c r="AL288" s="77"/>
      <c r="AM288" s="77"/>
      <c r="AN288" s="76"/>
      <c r="AO288" s="76"/>
      <c r="AP288" s="77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  <c r="BK288" s="77"/>
      <c r="BL288" s="77"/>
      <c r="BM288" s="77"/>
      <c r="BN288" s="77"/>
      <c r="BO288" s="77"/>
      <c r="BP288" s="77"/>
    </row>
    <row r="289" spans="1:68" ht="15" customHeight="1" x14ac:dyDescent="0.25">
      <c r="A289" s="1">
        <f t="shared" si="19"/>
        <v>122</v>
      </c>
      <c r="B289" s="1" t="str">
        <f t="shared" si="16"/>
        <v xml:space="preserve">Trail </v>
      </c>
      <c r="C289" s="1">
        <f t="shared" si="17"/>
        <v>0</v>
      </c>
      <c r="D289" s="2" t="str">
        <f t="shared" si="18"/>
        <v>2024-11</v>
      </c>
      <c r="E289" s="3" t="s">
        <v>294</v>
      </c>
      <c r="F289" s="4" t="s">
        <v>74</v>
      </c>
      <c r="G289" s="39">
        <v>45619</v>
      </c>
      <c r="H289" s="40">
        <v>-157</v>
      </c>
      <c r="I289" s="40">
        <v>137</v>
      </c>
      <c r="J289" s="7">
        <v>-137</v>
      </c>
      <c r="K289" s="8">
        <v>2.3205805442759308E-2</v>
      </c>
      <c r="L289" s="9">
        <v>1.3414326352987449E-2</v>
      </c>
      <c r="M289" s="10">
        <v>-144.78210116731523</v>
      </c>
      <c r="N289" s="11">
        <v>1.7299270072992701</v>
      </c>
      <c r="O289" s="12">
        <v>2116.3739835847673</v>
      </c>
      <c r="P289" s="32" t="s">
        <v>75</v>
      </c>
      <c r="Q289" s="80" t="s">
        <v>76</v>
      </c>
      <c r="R289" s="82"/>
      <c r="S289" s="32"/>
      <c r="T289" s="32">
        <v>2055</v>
      </c>
      <c r="U289" s="32">
        <v>5040.84</v>
      </c>
      <c r="V289" s="74" t="s">
        <v>77</v>
      </c>
      <c r="W289" s="15"/>
      <c r="X289" s="15"/>
      <c r="Y289" s="16"/>
      <c r="Z289" s="17"/>
      <c r="AA289" s="18"/>
      <c r="AB289" s="75">
        <v>1500</v>
      </c>
      <c r="AC289" s="20">
        <v>47.687930184870375</v>
      </c>
      <c r="AD289" s="21">
        <v>45619</v>
      </c>
      <c r="AE289" s="22">
        <v>102440.28265521236</v>
      </c>
      <c r="AF289" s="23">
        <v>34638.970933333352</v>
      </c>
      <c r="AG289" s="24">
        <v>133138.97093333365</v>
      </c>
      <c r="AH289" s="15">
        <v>0.5</v>
      </c>
      <c r="AI289" s="76"/>
      <c r="AJ289" s="77"/>
      <c r="AK289" s="77"/>
      <c r="AL289" s="77"/>
      <c r="AM289" s="77"/>
      <c r="AN289" s="76"/>
      <c r="AO289" s="76"/>
      <c r="AP289" s="77"/>
      <c r="AQ289" s="77"/>
      <c r="AR289" s="77"/>
      <c r="AS289" s="77"/>
      <c r="AT289" s="77"/>
      <c r="AU289" s="77"/>
      <c r="AV289" s="77"/>
      <c r="AW289" s="77"/>
      <c r="AX289" s="76"/>
      <c r="AY289" s="76"/>
      <c r="AZ289" s="76"/>
      <c r="BA289" s="76"/>
      <c r="BB289" s="76"/>
      <c r="BC289" s="76"/>
      <c r="BD289" s="77"/>
      <c r="BE289" s="77"/>
      <c r="BF289" s="77"/>
      <c r="BG289" s="77"/>
      <c r="BH289" s="77"/>
      <c r="BI289" s="77"/>
      <c r="BJ289" s="77"/>
      <c r="BK289" s="77"/>
      <c r="BL289" s="77"/>
      <c r="BM289" s="77"/>
      <c r="BN289" s="77"/>
      <c r="BO289" s="77"/>
      <c r="BP289" s="76"/>
    </row>
    <row r="290" spans="1:68" ht="15" customHeight="1" x14ac:dyDescent="0.25">
      <c r="A290" s="1">
        <f t="shared" si="19"/>
        <v>122</v>
      </c>
      <c r="B290" s="1" t="str">
        <f t="shared" si="16"/>
        <v xml:space="preserve">Trail </v>
      </c>
      <c r="C290" s="1">
        <f t="shared" si="17"/>
        <v>0</v>
      </c>
      <c r="D290" s="2" t="str">
        <f t="shared" si="18"/>
        <v>2024-11</v>
      </c>
      <c r="E290" s="3" t="s">
        <v>295</v>
      </c>
      <c r="F290" s="4" t="s">
        <v>74</v>
      </c>
      <c r="G290" s="39">
        <v>45619</v>
      </c>
      <c r="H290" s="40">
        <v>-154</v>
      </c>
      <c r="I290" s="40">
        <v>134</v>
      </c>
      <c r="J290" s="7">
        <v>-130</v>
      </c>
      <c r="K290" s="8">
        <v>3.7762875187186476E-2</v>
      </c>
      <c r="L290" s="9">
        <v>2.1344233801453227E-2</v>
      </c>
      <c r="M290" s="10">
        <v>-141.87401574803147</v>
      </c>
      <c r="N290" s="11">
        <v>1.7692307692307692</v>
      </c>
      <c r="O290" s="12">
        <v>3303.0975872040194</v>
      </c>
      <c r="P290" s="32" t="s">
        <v>75</v>
      </c>
      <c r="Q290" s="80" t="s">
        <v>76</v>
      </c>
      <c r="R290" s="82"/>
      <c r="S290" s="32"/>
      <c r="T290" s="32">
        <v>1950</v>
      </c>
      <c r="U290" s="32">
        <v>4777.2299999999996</v>
      </c>
      <c r="V290" s="74" t="s">
        <v>77</v>
      </c>
      <c r="W290" s="15"/>
      <c r="X290" s="15"/>
      <c r="Y290" s="16"/>
      <c r="Z290" s="17"/>
      <c r="AA290" s="18"/>
      <c r="AB290" s="75">
        <v>1500</v>
      </c>
      <c r="AC290" s="20">
        <v>73.637606615013624</v>
      </c>
      <c r="AD290" s="21">
        <v>45619</v>
      </c>
      <c r="AE290" s="22">
        <v>102655.68820508475</v>
      </c>
      <c r="AF290" s="23">
        <v>36068.370933333354</v>
      </c>
      <c r="AG290" s="24">
        <v>134568.37093333364</v>
      </c>
      <c r="AH290" s="15">
        <v>0.5</v>
      </c>
      <c r="AI290" s="76"/>
      <c r="AJ290" s="77"/>
      <c r="AK290" s="77"/>
      <c r="AL290" s="77"/>
      <c r="AM290" s="77"/>
      <c r="AN290" s="76"/>
      <c r="AO290" s="76"/>
      <c r="AP290" s="76"/>
      <c r="AQ290" s="76"/>
      <c r="AR290" s="76"/>
      <c r="AS290" s="76"/>
      <c r="AT290" s="77"/>
      <c r="AU290" s="77"/>
      <c r="AV290" s="77"/>
      <c r="AW290" s="77"/>
      <c r="AX290" s="76"/>
      <c r="AY290" s="76"/>
      <c r="AZ290" s="76"/>
      <c r="BA290" s="76"/>
      <c r="BB290" s="76"/>
      <c r="BC290" s="76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</row>
    <row r="291" spans="1:68" ht="15" customHeight="1" x14ac:dyDescent="0.25">
      <c r="A291" s="1">
        <f t="shared" si="19"/>
        <v>123</v>
      </c>
      <c r="B291" s="1" t="str">
        <f t="shared" si="16"/>
        <v xml:space="preserve">Trail </v>
      </c>
      <c r="C291" s="1">
        <f t="shared" si="17"/>
        <v>1</v>
      </c>
      <c r="D291" s="2" t="str">
        <f t="shared" si="18"/>
        <v>2024-11</v>
      </c>
      <c r="E291" s="3" t="s">
        <v>296</v>
      </c>
      <c r="F291" s="4" t="s">
        <v>74</v>
      </c>
      <c r="G291" s="39">
        <v>45619</v>
      </c>
      <c r="H291" s="40">
        <v>-134</v>
      </c>
      <c r="I291" s="40">
        <v>119</v>
      </c>
      <c r="J291" s="7">
        <v>-109</v>
      </c>
      <c r="K291" s="8">
        <v>6.6790577101894469E-2</v>
      </c>
      <c r="L291" s="9">
        <v>3.4833363177543042E-2</v>
      </c>
      <c r="M291" s="10">
        <v>-125.41025641025639</v>
      </c>
      <c r="N291" s="11">
        <v>1.9174311926605505</v>
      </c>
      <c r="O291" s="12">
        <v>4776.4008074925396</v>
      </c>
      <c r="P291" s="32" t="s">
        <v>75</v>
      </c>
      <c r="Q291" s="80" t="s">
        <v>92</v>
      </c>
      <c r="R291" s="82"/>
      <c r="S291" s="32"/>
      <c r="T291" s="32">
        <v>1635</v>
      </c>
      <c r="U291" s="32">
        <v>1743.2399999999998</v>
      </c>
      <c r="V291" s="74" t="s">
        <v>77</v>
      </c>
      <c r="W291" s="15"/>
      <c r="X291" s="15"/>
      <c r="Y291" s="16"/>
      <c r="Z291" s="17"/>
      <c r="AA291" s="18"/>
      <c r="AB291" s="75">
        <v>1500</v>
      </c>
      <c r="AC291" s="20">
        <v>109.20259356159745</v>
      </c>
      <c r="AD291" s="21">
        <v>45619</v>
      </c>
      <c r="AE291" s="22">
        <v>101296.91471491339</v>
      </c>
      <c r="AF291" s="23">
        <v>32716.685933333356</v>
      </c>
      <c r="AG291" s="24">
        <v>131216.68593333368</v>
      </c>
      <c r="AH291" s="15">
        <v>0.5</v>
      </c>
      <c r="AI291" s="76"/>
      <c r="AJ291" s="76"/>
      <c r="AK291" s="76"/>
      <c r="AL291" s="76"/>
      <c r="AM291" s="76"/>
      <c r="AN291" s="77"/>
      <c r="AO291" s="77"/>
      <c r="AP291" s="76"/>
      <c r="AQ291" s="76"/>
      <c r="AR291" s="76"/>
      <c r="AS291" s="76"/>
      <c r="AT291" s="77"/>
      <c r="AU291" s="77"/>
      <c r="AV291" s="77"/>
      <c r="AW291" s="77"/>
      <c r="AX291" s="76"/>
      <c r="AY291" s="77"/>
      <c r="AZ291" s="76"/>
      <c r="BA291" s="77"/>
      <c r="BB291" s="76"/>
      <c r="BC291" s="76"/>
      <c r="BD291" s="77"/>
      <c r="BE291" s="77"/>
      <c r="BF291" s="77"/>
      <c r="BG291" s="77"/>
      <c r="BH291" s="77"/>
      <c r="BI291" s="77"/>
      <c r="BJ291" s="76"/>
      <c r="BK291" s="76"/>
      <c r="BL291" s="76"/>
      <c r="BM291" s="76"/>
      <c r="BN291" s="76"/>
      <c r="BO291" s="76"/>
      <c r="BP291" s="77"/>
    </row>
    <row r="292" spans="1:68" ht="15" customHeight="1" x14ac:dyDescent="0.25">
      <c r="A292" s="1">
        <f t="shared" si="19"/>
        <v>123</v>
      </c>
      <c r="B292" s="1" t="str">
        <f t="shared" si="16"/>
        <v xml:space="preserve">Trail </v>
      </c>
      <c r="C292" s="1">
        <f t="shared" si="17"/>
        <v>1</v>
      </c>
      <c r="D292" s="2" t="str">
        <f t="shared" si="18"/>
        <v>2024-11</v>
      </c>
      <c r="E292" s="3" t="s">
        <v>297</v>
      </c>
      <c r="F292" s="4" t="s">
        <v>74</v>
      </c>
      <c r="G292" s="39">
        <v>45619</v>
      </c>
      <c r="H292" s="40">
        <v>-112</v>
      </c>
      <c r="I292" s="40">
        <v>101</v>
      </c>
      <c r="J292" s="7">
        <v>108</v>
      </c>
      <c r="K292" s="8">
        <v>7.1215226939970649E-2</v>
      </c>
      <c r="L292" s="9">
        <v>3.4238089874985889E-2</v>
      </c>
      <c r="M292" s="10">
        <v>-106.18867924528298</v>
      </c>
      <c r="N292" s="11">
        <v>2.08</v>
      </c>
      <c r="O292" s="12">
        <v>4336.3420165645448</v>
      </c>
      <c r="P292" s="32" t="s">
        <v>75</v>
      </c>
      <c r="Q292" s="80" t="s">
        <v>92</v>
      </c>
      <c r="R292" s="82"/>
      <c r="S292" s="32"/>
      <c r="T292" s="32">
        <v>575.5</v>
      </c>
      <c r="U292" s="32">
        <v>575.5</v>
      </c>
      <c r="V292" s="74" t="s">
        <v>82</v>
      </c>
      <c r="W292" s="15"/>
      <c r="X292" s="15"/>
      <c r="Y292" s="16"/>
      <c r="Z292" s="17"/>
      <c r="AA292" s="18"/>
      <c r="AB292" s="75">
        <v>-575.5</v>
      </c>
      <c r="AC292" s="20">
        <v>40.984363103953108</v>
      </c>
      <c r="AD292" s="21">
        <v>45619</v>
      </c>
      <c r="AE292" s="22">
        <v>102236.71813190513</v>
      </c>
      <c r="AF292" s="23">
        <v>30948.320933333351</v>
      </c>
      <c r="AG292" s="24">
        <v>131523.82093333363</v>
      </c>
      <c r="AH292" s="15">
        <v>0.5</v>
      </c>
      <c r="AI292" s="76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  <c r="BK292" s="77"/>
      <c r="BL292" s="77"/>
      <c r="BM292" s="77"/>
      <c r="BN292" s="77"/>
      <c r="BO292" s="77"/>
      <c r="BP292" s="77"/>
    </row>
    <row r="293" spans="1:68" ht="15" customHeight="1" x14ac:dyDescent="0.25">
      <c r="A293" s="1">
        <f t="shared" si="19"/>
        <v>124</v>
      </c>
      <c r="B293" s="1" t="str">
        <f t="shared" si="16"/>
        <v xml:space="preserve">Tulsa </v>
      </c>
      <c r="C293" s="1">
        <f t="shared" si="17"/>
        <v>0</v>
      </c>
      <c r="D293" s="2" t="str">
        <f t="shared" si="18"/>
        <v>2024-11</v>
      </c>
      <c r="E293" s="3" t="s">
        <v>298</v>
      </c>
      <c r="F293" s="4" t="s">
        <v>74</v>
      </c>
      <c r="G293" s="39">
        <v>45619</v>
      </c>
      <c r="H293" s="40">
        <v>-131</v>
      </c>
      <c r="I293" s="40">
        <v>123</v>
      </c>
      <c r="J293" s="7">
        <v>-112</v>
      </c>
      <c r="K293" s="8">
        <v>5.7022837808684619E-2</v>
      </c>
      <c r="L293" s="9">
        <v>3.0125272804588099E-2</v>
      </c>
      <c r="M293" s="10">
        <v>-126.46320346320348</v>
      </c>
      <c r="N293" s="11">
        <v>1.8928571428571428</v>
      </c>
      <c r="O293" s="12">
        <v>4157.5667935146957</v>
      </c>
      <c r="P293" s="32" t="s">
        <v>143</v>
      </c>
      <c r="Q293" s="78" t="s">
        <v>76</v>
      </c>
      <c r="R293" s="79"/>
      <c r="S293" s="32"/>
      <c r="T293" s="32">
        <v>575.54999999999995</v>
      </c>
      <c r="U293" s="32">
        <v>575.54999999999995</v>
      </c>
      <c r="V293" s="74" t="s">
        <v>82</v>
      </c>
      <c r="W293" s="15"/>
      <c r="X293" s="15"/>
      <c r="Y293" s="16"/>
      <c r="Z293" s="17"/>
      <c r="AA293" s="18"/>
      <c r="AB293" s="75">
        <v>-575.54999999999995</v>
      </c>
      <c r="AC293" s="20">
        <v>32.819494300788428</v>
      </c>
      <c r="AD293" s="21">
        <v>45619</v>
      </c>
      <c r="AE293" s="22">
        <v>97014.26122995386</v>
      </c>
      <c r="AF293" s="23">
        <v>29621.870933333357</v>
      </c>
      <c r="AG293" s="24">
        <v>130197.42093333371</v>
      </c>
      <c r="AH293" s="15">
        <v>0.5</v>
      </c>
      <c r="AI293" s="76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  <c r="BK293" s="77"/>
      <c r="BL293" s="77"/>
      <c r="BM293" s="77"/>
      <c r="BN293" s="77"/>
      <c r="BO293" s="77"/>
      <c r="BP293" s="77"/>
    </row>
    <row r="294" spans="1:68" ht="15" customHeight="1" x14ac:dyDescent="0.25">
      <c r="A294" s="1">
        <f t="shared" si="19"/>
        <v>124</v>
      </c>
      <c r="B294" s="1" t="str">
        <f t="shared" si="16"/>
        <v xml:space="preserve">Tulsa </v>
      </c>
      <c r="C294" s="1">
        <f t="shared" si="17"/>
        <v>0</v>
      </c>
      <c r="D294" s="2" t="str">
        <f t="shared" si="18"/>
        <v>2024-11</v>
      </c>
      <c r="E294" s="3" t="s">
        <v>298</v>
      </c>
      <c r="F294" s="4" t="s">
        <v>83</v>
      </c>
      <c r="G294" s="39">
        <v>45619</v>
      </c>
      <c r="H294" s="40">
        <v>-131</v>
      </c>
      <c r="I294" s="40">
        <v>123</v>
      </c>
      <c r="J294" s="7">
        <v>-112</v>
      </c>
      <c r="K294" s="8">
        <v>5.7022837808684619E-2</v>
      </c>
      <c r="L294" s="9">
        <v>3.0125272804588099E-2</v>
      </c>
      <c r="M294" s="10">
        <v>-126.46320346320348</v>
      </c>
      <c r="N294" s="11">
        <v>1.8928571428571428</v>
      </c>
      <c r="O294" s="12">
        <v>4139.1878767062535</v>
      </c>
      <c r="P294" s="32" t="s">
        <v>143</v>
      </c>
      <c r="Q294" s="78" t="s">
        <v>76</v>
      </c>
      <c r="R294" s="79"/>
      <c r="S294" s="32"/>
      <c r="T294" s="32">
        <v>289.22000000000003</v>
      </c>
      <c r="U294" s="32">
        <v>289.22000000000003</v>
      </c>
      <c r="V294" s="74" t="s">
        <v>82</v>
      </c>
      <c r="W294" s="15"/>
      <c r="X294" s="15"/>
      <c r="Y294" s="16"/>
      <c r="Z294" s="17"/>
      <c r="AA294" s="18"/>
      <c r="AB294" s="75">
        <v>-289.22000000000003</v>
      </c>
      <c r="AC294" s="20">
        <v>16.492145151027767</v>
      </c>
      <c r="AD294" s="21">
        <v>45619</v>
      </c>
      <c r="AE294" s="22">
        <v>97030.75337510489</v>
      </c>
      <c r="AF294" s="23">
        <v>29332.650933333356</v>
      </c>
      <c r="AG294" s="24">
        <v>129621.8709333337</v>
      </c>
      <c r="AH294" s="15">
        <v>0.5</v>
      </c>
      <c r="AI294" s="76"/>
      <c r="AJ294" s="77"/>
      <c r="AK294" s="77"/>
      <c r="AL294" s="77"/>
      <c r="AM294" s="77"/>
      <c r="AN294" s="76"/>
      <c r="AO294" s="76"/>
      <c r="AP294" s="76"/>
      <c r="AQ294" s="76"/>
      <c r="AR294" s="76"/>
      <c r="AS294" s="76"/>
      <c r="AT294" s="77"/>
      <c r="AU294" s="77"/>
      <c r="AV294" s="77"/>
      <c r="AW294" s="77"/>
      <c r="AX294" s="76"/>
      <c r="AY294" s="77"/>
      <c r="AZ294" s="76"/>
      <c r="BA294" s="77"/>
      <c r="BB294" s="76"/>
      <c r="BC294" s="76"/>
      <c r="BD294" s="77"/>
      <c r="BE294" s="77"/>
      <c r="BF294" s="77"/>
      <c r="BG294" s="77"/>
      <c r="BH294" s="76"/>
      <c r="BI294" s="76"/>
      <c r="BJ294" s="77"/>
      <c r="BK294" s="77"/>
      <c r="BL294" s="77"/>
      <c r="BM294" s="77"/>
      <c r="BN294" s="77"/>
      <c r="BO294" s="77"/>
      <c r="BP294" s="77"/>
    </row>
    <row r="295" spans="1:68" ht="15" customHeight="1" x14ac:dyDescent="0.25">
      <c r="A295" s="1">
        <f t="shared" si="19"/>
        <v>124</v>
      </c>
      <c r="B295" s="1" t="str">
        <f t="shared" si="16"/>
        <v xml:space="preserve">Tulsa </v>
      </c>
      <c r="C295" s="1">
        <f t="shared" si="17"/>
        <v>0</v>
      </c>
      <c r="D295" s="2" t="str">
        <f t="shared" si="18"/>
        <v>2024-11</v>
      </c>
      <c r="E295" s="3" t="s">
        <v>299</v>
      </c>
      <c r="F295" s="4" t="s">
        <v>74</v>
      </c>
      <c r="G295" s="39">
        <v>45619</v>
      </c>
      <c r="H295" s="40">
        <v>-139</v>
      </c>
      <c r="I295" s="40">
        <v>115</v>
      </c>
      <c r="J295" s="7">
        <v>-104</v>
      </c>
      <c r="K295" s="8">
        <v>8.9905678592115443E-2</v>
      </c>
      <c r="L295" s="9">
        <v>4.5834267517549043E-2</v>
      </c>
      <c r="M295" s="10">
        <v>-125.04184100418411</v>
      </c>
      <c r="N295" s="11">
        <v>1.9615384615384617</v>
      </c>
      <c r="O295" s="12">
        <v>6046.4246680648494</v>
      </c>
      <c r="P295" s="32" t="s">
        <v>143</v>
      </c>
      <c r="Q295" s="78" t="s">
        <v>76</v>
      </c>
      <c r="R295" s="79"/>
      <c r="S295" s="32"/>
      <c r="T295" s="32">
        <v>534.01499999999999</v>
      </c>
      <c r="U295" s="32">
        <v>534.01499999999999</v>
      </c>
      <c r="V295" s="74" t="s">
        <v>82</v>
      </c>
      <c r="W295" s="15"/>
      <c r="X295" s="15"/>
      <c r="Y295" s="16"/>
      <c r="Z295" s="17"/>
      <c r="AA295" s="18"/>
      <c r="AB295" s="75">
        <v>-534.01499999999999</v>
      </c>
      <c r="AC295" s="20">
        <v>48.010980953368524</v>
      </c>
      <c r="AD295" s="21">
        <v>45619</v>
      </c>
      <c r="AE295" s="22">
        <v>97078.764356058266</v>
      </c>
      <c r="AF295" s="23">
        <v>28798.635933333357</v>
      </c>
      <c r="AG295" s="24">
        <v>129332.6509333337</v>
      </c>
      <c r="AH295" s="15">
        <v>0.5</v>
      </c>
      <c r="AI295" s="76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  <c r="BK295" s="77"/>
      <c r="BL295" s="77"/>
      <c r="BM295" s="77"/>
      <c r="BN295" s="77"/>
      <c r="BO295" s="77"/>
      <c r="BP295" s="77"/>
    </row>
    <row r="296" spans="1:68" ht="15" customHeight="1" x14ac:dyDescent="0.25">
      <c r="A296" s="1">
        <f t="shared" si="19"/>
        <v>124</v>
      </c>
      <c r="B296" s="1" t="str">
        <f t="shared" si="16"/>
        <v xml:space="preserve">Tulsa </v>
      </c>
      <c r="C296" s="1">
        <f t="shared" si="17"/>
        <v>0</v>
      </c>
      <c r="D296" s="2" t="str">
        <f t="shared" si="18"/>
        <v>2024-11</v>
      </c>
      <c r="E296" s="3" t="s">
        <v>299</v>
      </c>
      <c r="F296" s="4" t="s">
        <v>83</v>
      </c>
      <c r="G296" s="39">
        <v>45619</v>
      </c>
      <c r="H296" s="40">
        <v>-139</v>
      </c>
      <c r="I296" s="40">
        <v>115</v>
      </c>
      <c r="J296" s="7">
        <v>-104</v>
      </c>
      <c r="K296" s="8">
        <v>8.9905678592115443E-2</v>
      </c>
      <c r="L296" s="9">
        <v>4.5834267517549043E-2</v>
      </c>
      <c r="M296" s="10">
        <v>-125.04184100418411</v>
      </c>
      <c r="N296" s="11">
        <v>1.9615384615384617</v>
      </c>
      <c r="O296" s="12">
        <v>6021.4589579690983</v>
      </c>
      <c r="P296" s="32" t="s">
        <v>143</v>
      </c>
      <c r="Q296" s="78" t="s">
        <v>76</v>
      </c>
      <c r="R296" s="79"/>
      <c r="S296" s="32"/>
      <c r="T296" s="32">
        <v>268.35000000000002</v>
      </c>
      <c r="U296" s="32">
        <v>268.35000000000002</v>
      </c>
      <c r="V296" s="74" t="s">
        <v>82</v>
      </c>
      <c r="W296" s="15"/>
      <c r="X296" s="15"/>
      <c r="Y296" s="16"/>
      <c r="Z296" s="17"/>
      <c r="AA296" s="18"/>
      <c r="AB296" s="75">
        <v>-268.35000000000002</v>
      </c>
      <c r="AC296" s="20">
        <v>24.126188850194183</v>
      </c>
      <c r="AD296" s="21">
        <v>45619</v>
      </c>
      <c r="AE296" s="22">
        <v>97102.890544908456</v>
      </c>
      <c r="AF296" s="23">
        <v>28530.285933333358</v>
      </c>
      <c r="AG296" s="24">
        <v>128798.6359333337</v>
      </c>
      <c r="AH296" s="15">
        <v>0.5</v>
      </c>
      <c r="AI296" s="76"/>
      <c r="AJ296" s="76"/>
      <c r="AK296" s="76"/>
      <c r="AL296" s="76"/>
      <c r="AM296" s="76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6"/>
      <c r="AY296" s="76"/>
      <c r="AZ296" s="76"/>
      <c r="BA296" s="76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</row>
    <row r="297" spans="1:68" ht="15" customHeight="1" x14ac:dyDescent="0.25">
      <c r="A297" s="1">
        <f t="shared" si="19"/>
        <v>125</v>
      </c>
      <c r="B297" s="1" t="str">
        <f t="shared" si="16"/>
        <v xml:space="preserve">Wofford </v>
      </c>
      <c r="C297" s="1">
        <f t="shared" si="17"/>
        <v>0</v>
      </c>
      <c r="D297" s="2" t="str">
        <f t="shared" si="18"/>
        <v>2024-11</v>
      </c>
      <c r="E297" s="3" t="s">
        <v>300</v>
      </c>
      <c r="F297" s="4" t="s">
        <v>74</v>
      </c>
      <c r="G297" s="39">
        <v>45619</v>
      </c>
      <c r="H297" s="40">
        <v>-132</v>
      </c>
      <c r="I297" s="40">
        <v>110</v>
      </c>
      <c r="J297" s="7">
        <v>100</v>
      </c>
      <c r="K297" s="8">
        <v>8.8766692851531825E-2</v>
      </c>
      <c r="L297" s="9">
        <v>4.4383346425765913E-2</v>
      </c>
      <c r="M297" s="10">
        <v>-119.48275862068967</v>
      </c>
      <c r="N297" s="11">
        <v>2</v>
      </c>
      <c r="O297" s="12">
        <v>6171.7069719036563</v>
      </c>
      <c r="P297" s="32" t="s">
        <v>143</v>
      </c>
      <c r="Q297" s="78" t="s">
        <v>76</v>
      </c>
      <c r="R297" s="79"/>
      <c r="S297" s="32"/>
      <c r="T297" s="32">
        <v>1500</v>
      </c>
      <c r="U297" s="32">
        <v>2622</v>
      </c>
      <c r="V297" s="74" t="s">
        <v>77</v>
      </c>
      <c r="W297" s="15"/>
      <c r="X297" s="15"/>
      <c r="Y297" s="16"/>
      <c r="Z297" s="17"/>
      <c r="AA297" s="18"/>
      <c r="AB297" s="75">
        <v>1500</v>
      </c>
      <c r="AC297" s="20">
        <v>133.15003927729774</v>
      </c>
      <c r="AD297" s="21">
        <v>45619</v>
      </c>
      <c r="AE297" s="22">
        <v>98309.505947570608</v>
      </c>
      <c r="AF297" s="23">
        <v>40554.565933333361</v>
      </c>
      <c r="AG297" s="24">
        <v>139054.56593333368</v>
      </c>
      <c r="AH297" s="15">
        <v>0.5</v>
      </c>
      <c r="AI297" s="76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</row>
    <row r="298" spans="1:68" ht="15" customHeight="1" x14ac:dyDescent="0.25">
      <c r="A298" s="1">
        <f t="shared" si="19"/>
        <v>126</v>
      </c>
      <c r="B298" s="1" t="str">
        <f t="shared" si="16"/>
        <v xml:space="preserve">Fairfield </v>
      </c>
      <c r="C298" s="1">
        <f t="shared" si="17"/>
        <v>0</v>
      </c>
      <c r="D298" s="2" t="str">
        <f t="shared" si="18"/>
        <v>2024-11</v>
      </c>
      <c r="E298" s="96" t="s">
        <v>301</v>
      </c>
      <c r="F298" s="4" t="s">
        <v>74</v>
      </c>
      <c r="G298" s="39">
        <v>45620</v>
      </c>
      <c r="H298" s="40">
        <v>-125</v>
      </c>
      <c r="I298" s="40">
        <v>117</v>
      </c>
      <c r="J298" s="7">
        <v>-112</v>
      </c>
      <c r="K298" s="8">
        <v>3.4634760705289716E-2</v>
      </c>
      <c r="L298" s="9">
        <v>1.829760942920966E-2</v>
      </c>
      <c r="M298" s="10">
        <v>-120.55555555555557</v>
      </c>
      <c r="N298" s="11">
        <v>1.8928571428571428</v>
      </c>
      <c r="O298" s="12">
        <v>2505.5388997145374</v>
      </c>
      <c r="P298" s="32" t="s">
        <v>143</v>
      </c>
      <c r="Q298" s="81" t="s">
        <v>76</v>
      </c>
      <c r="R298" s="82"/>
      <c r="S298" s="32"/>
      <c r="T298" s="32">
        <v>575.54999999999995</v>
      </c>
      <c r="U298" s="32">
        <v>575.54999999999995</v>
      </c>
      <c r="V298" s="74" t="s">
        <v>77</v>
      </c>
      <c r="W298" s="15"/>
      <c r="X298" s="15"/>
      <c r="Y298" s="16"/>
      <c r="Z298" s="17"/>
      <c r="AA298" s="18"/>
      <c r="AB298" s="75">
        <v>513.88</v>
      </c>
      <c r="AC298" s="20">
        <v>19.934036523929496</v>
      </c>
      <c r="AD298" s="21">
        <v>45620</v>
      </c>
      <c r="AE298" s="22">
        <v>108812.50830792823</v>
      </c>
      <c r="AF298" s="23">
        <v>29695.560933333363</v>
      </c>
      <c r="AG298" s="24">
        <v>129181.68093333377</v>
      </c>
      <c r="AH298" s="15">
        <v>0.5</v>
      </c>
      <c r="AI298" s="76"/>
      <c r="AJ298" s="76"/>
      <c r="AK298" s="76"/>
      <c r="AL298" s="76"/>
      <c r="AM298" s="76"/>
      <c r="AN298" s="77"/>
      <c r="AO298" s="77"/>
      <c r="AP298" s="77"/>
      <c r="AQ298" s="77"/>
      <c r="AR298" s="77"/>
      <c r="AS298" s="77"/>
      <c r="AT298" s="77"/>
      <c r="AU298" s="77"/>
      <c r="AV298" s="77"/>
      <c r="AW298" s="77"/>
      <c r="AX298" s="76"/>
      <c r="AY298" s="76"/>
      <c r="AZ298" s="76"/>
      <c r="BA298" s="76"/>
      <c r="BB298" s="77"/>
      <c r="BC298" s="77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76"/>
    </row>
    <row r="299" spans="1:68" ht="15" customHeight="1" x14ac:dyDescent="0.25">
      <c r="A299" s="1">
        <f t="shared" si="19"/>
        <v>127</v>
      </c>
      <c r="B299" s="1" t="str">
        <f t="shared" si="16"/>
        <v xml:space="preserve">Heat </v>
      </c>
      <c r="C299" s="1">
        <f t="shared" si="17"/>
        <v>0</v>
      </c>
      <c r="D299" s="2" t="str">
        <f t="shared" si="18"/>
        <v>2024-11</v>
      </c>
      <c r="E299" s="3" t="s">
        <v>302</v>
      </c>
      <c r="F299" s="4" t="s">
        <v>74</v>
      </c>
      <c r="G299" s="39">
        <v>45620</v>
      </c>
      <c r="H299" s="40">
        <v>-153</v>
      </c>
      <c r="I299" s="40">
        <v>138</v>
      </c>
      <c r="J299" s="7">
        <v>-137</v>
      </c>
      <c r="K299" s="8">
        <v>2.0733740217707672E-2</v>
      </c>
      <c r="L299" s="9">
        <v>1.1985326623738191E-2</v>
      </c>
      <c r="M299" s="10">
        <v>-143.92885375494069</v>
      </c>
      <c r="N299" s="11">
        <v>1.7299270072992701</v>
      </c>
      <c r="O299" s="12">
        <v>1742.5753670247636</v>
      </c>
      <c r="P299" s="32" t="s">
        <v>75</v>
      </c>
      <c r="Q299" s="81" t="s">
        <v>81</v>
      </c>
      <c r="R299" s="82"/>
      <c r="S299" s="32"/>
      <c r="T299" s="32">
        <v>1414.165</v>
      </c>
      <c r="U299" s="32">
        <v>1414.165</v>
      </c>
      <c r="V299" s="74" t="s">
        <v>77</v>
      </c>
      <c r="W299" s="15"/>
      <c r="X299" s="15"/>
      <c r="Y299" s="16"/>
      <c r="Z299" s="17"/>
      <c r="AA299" s="18"/>
      <c r="AB299" s="75">
        <v>1032.24</v>
      </c>
      <c r="AC299" s="20">
        <v>29.32092973497457</v>
      </c>
      <c r="AD299" s="21">
        <v>45620</v>
      </c>
      <c r="AE299" s="22">
        <v>106385.67728509419</v>
      </c>
      <c r="AF299" s="23">
        <v>23726.245933333361</v>
      </c>
      <c r="AG299" s="24">
        <v>122694.00593333374</v>
      </c>
      <c r="AH299" s="15">
        <v>0.5</v>
      </c>
      <c r="AI299" s="76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  <c r="BK299" s="77"/>
      <c r="BL299" s="77"/>
      <c r="BM299" s="77"/>
      <c r="BN299" s="77"/>
      <c r="BO299" s="77"/>
      <c r="BP299" s="77"/>
    </row>
    <row r="300" spans="1:68" ht="15" customHeight="1" x14ac:dyDescent="0.25">
      <c r="A300" s="1">
        <f t="shared" si="19"/>
        <v>127</v>
      </c>
      <c r="B300" s="1" t="str">
        <f t="shared" si="16"/>
        <v xml:space="preserve">Heat </v>
      </c>
      <c r="C300" s="1">
        <f t="shared" si="17"/>
        <v>0</v>
      </c>
      <c r="D300" s="2" t="str">
        <f t="shared" si="18"/>
        <v>2024-11</v>
      </c>
      <c r="E300" s="3" t="s">
        <v>302</v>
      </c>
      <c r="F300" s="4" t="s">
        <v>83</v>
      </c>
      <c r="G300" s="39">
        <v>45620</v>
      </c>
      <c r="H300" s="40">
        <v>-153</v>
      </c>
      <c r="I300" s="40">
        <v>138</v>
      </c>
      <c r="J300" s="7">
        <v>-137</v>
      </c>
      <c r="K300" s="8">
        <v>2.0733740217707672E-2</v>
      </c>
      <c r="L300" s="9">
        <v>1.1985326623738191E-2</v>
      </c>
      <c r="M300" s="10">
        <v>-143.92885375494069</v>
      </c>
      <c r="N300" s="11">
        <v>1.7299270072992701</v>
      </c>
      <c r="O300" s="12">
        <v>1757.2358712863572</v>
      </c>
      <c r="P300" s="32" t="s">
        <v>75</v>
      </c>
      <c r="Q300" s="81" t="s">
        <v>81</v>
      </c>
      <c r="R300" s="82"/>
      <c r="S300" s="32"/>
      <c r="T300" s="32">
        <v>641.16</v>
      </c>
      <c r="U300" s="32">
        <v>641.16</v>
      </c>
      <c r="V300" s="74" t="s">
        <v>77</v>
      </c>
      <c r="W300" s="15"/>
      <c r="X300" s="15"/>
      <c r="Y300" s="16"/>
      <c r="Z300" s="17"/>
      <c r="AA300" s="18"/>
      <c r="AB300" s="75">
        <v>468</v>
      </c>
      <c r="AC300" s="20">
        <v>13.29364487798545</v>
      </c>
      <c r="AD300" s="21">
        <v>45620</v>
      </c>
      <c r="AE300" s="22">
        <v>106398.97092997217</v>
      </c>
      <c r="AF300" s="23">
        <v>24194.245933333361</v>
      </c>
      <c r="AG300" s="24">
        <v>123726.24593333375</v>
      </c>
      <c r="AH300" s="15">
        <v>0.5</v>
      </c>
      <c r="AI300" s="76"/>
      <c r="AJ300" s="76"/>
      <c r="AK300" s="76"/>
      <c r="AL300" s="76"/>
      <c r="AM300" s="76"/>
      <c r="AN300" s="77"/>
      <c r="AO300" s="77"/>
      <c r="AP300" s="77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  <c r="BK300" s="77"/>
      <c r="BL300" s="77"/>
      <c r="BM300" s="77"/>
      <c r="BN300" s="77"/>
      <c r="BO300" s="77"/>
      <c r="BP300" s="77"/>
    </row>
    <row r="301" spans="1:68" ht="15" customHeight="1" x14ac:dyDescent="0.25">
      <c r="A301" s="1">
        <f t="shared" si="19"/>
        <v>128</v>
      </c>
      <c r="B301" s="1" t="str">
        <f t="shared" si="16"/>
        <v xml:space="preserve">Jackson </v>
      </c>
      <c r="C301" s="1">
        <f t="shared" si="17"/>
        <v>1</v>
      </c>
      <c r="D301" s="2" t="str">
        <f t="shared" si="18"/>
        <v>2024-11</v>
      </c>
      <c r="E301" s="3" t="s">
        <v>303</v>
      </c>
      <c r="F301" s="4" t="s">
        <v>74</v>
      </c>
      <c r="G301" s="39">
        <v>45620</v>
      </c>
      <c r="H301" s="40">
        <v>-150</v>
      </c>
      <c r="I301" s="40">
        <v>111</v>
      </c>
      <c r="J301" s="7">
        <v>-110</v>
      </c>
      <c r="K301" s="8">
        <v>6.6597127497392272E-2</v>
      </c>
      <c r="L301" s="9">
        <v>3.4884209641491193E-2</v>
      </c>
      <c r="M301" s="10">
        <v>-126.60000000000001</v>
      </c>
      <c r="N301" s="11">
        <v>1.9090909090909092</v>
      </c>
      <c r="O301" s="12">
        <v>4778.5032491026932</v>
      </c>
      <c r="P301" s="32" t="s">
        <v>143</v>
      </c>
      <c r="Q301" s="81" t="s">
        <v>92</v>
      </c>
      <c r="R301" s="82"/>
      <c r="S301" s="32"/>
      <c r="T301" s="32">
        <v>1138.45</v>
      </c>
      <c r="U301" s="32">
        <v>1138.45</v>
      </c>
      <c r="V301" s="74" t="s">
        <v>77</v>
      </c>
      <c r="W301" s="15"/>
      <c r="X301" s="15"/>
      <c r="Y301" s="16"/>
      <c r="Z301" s="17"/>
      <c r="AA301" s="18"/>
      <c r="AB301" s="75">
        <v>1034.95</v>
      </c>
      <c r="AC301" s="20">
        <v>75.817499799406235</v>
      </c>
      <c r="AD301" s="21">
        <v>45620</v>
      </c>
      <c r="AE301" s="22">
        <v>108961.73841764734</v>
      </c>
      <c r="AF301" s="23">
        <v>31493.845933333363</v>
      </c>
      <c r="AG301" s="24">
        <v>130458.89593333378</v>
      </c>
      <c r="AH301" s="15">
        <v>0.5</v>
      </c>
      <c r="AI301" s="76"/>
      <c r="AJ301" s="77"/>
      <c r="AK301" s="77"/>
      <c r="AL301" s="77"/>
      <c r="AM301" s="77"/>
      <c r="AN301" s="76"/>
      <c r="AO301" s="76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6"/>
      <c r="BC301" s="76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6"/>
    </row>
    <row r="302" spans="1:68" ht="15" customHeight="1" x14ac:dyDescent="0.25">
      <c r="A302" s="1">
        <f t="shared" si="19"/>
        <v>128</v>
      </c>
      <c r="B302" s="1" t="str">
        <f t="shared" si="16"/>
        <v xml:space="preserve">Jackson </v>
      </c>
      <c r="C302" s="1">
        <f t="shared" si="17"/>
        <v>1</v>
      </c>
      <c r="D302" s="2" t="str">
        <f t="shared" si="18"/>
        <v>2024-11</v>
      </c>
      <c r="E302" s="3" t="s">
        <v>303</v>
      </c>
      <c r="F302" s="4" t="s">
        <v>83</v>
      </c>
      <c r="G302" s="39">
        <v>45620</v>
      </c>
      <c r="H302" s="40">
        <v>-150</v>
      </c>
      <c r="I302" s="40">
        <v>111</v>
      </c>
      <c r="J302" s="7">
        <v>-110</v>
      </c>
      <c r="K302" s="8">
        <v>6.6597127497392272E-2</v>
      </c>
      <c r="L302" s="9">
        <v>3.4884209641491193E-2</v>
      </c>
      <c r="M302" s="10">
        <v>-126.60000000000001</v>
      </c>
      <c r="N302" s="11">
        <v>1.9090909090909092</v>
      </c>
      <c r="O302" s="12">
        <v>4816.4118325095778</v>
      </c>
      <c r="P302" s="32" t="s">
        <v>143</v>
      </c>
      <c r="Q302" s="81" t="s">
        <v>92</v>
      </c>
      <c r="R302" s="82"/>
      <c r="S302" s="32"/>
      <c r="T302" s="32">
        <v>511.56</v>
      </c>
      <c r="U302" s="32">
        <v>632.61000000000013</v>
      </c>
      <c r="V302" s="74" t="s">
        <v>77</v>
      </c>
      <c r="W302" s="15"/>
      <c r="X302" s="15"/>
      <c r="Y302" s="16"/>
      <c r="Z302" s="17"/>
      <c r="AA302" s="18"/>
      <c r="AB302" s="75">
        <v>465.05</v>
      </c>
      <c r="AC302" s="20">
        <v>34.068426542565994</v>
      </c>
      <c r="AD302" s="21">
        <v>45620</v>
      </c>
      <c r="AE302" s="22">
        <v>108995.80684418991</v>
      </c>
      <c r="AF302" s="23">
        <v>31958.895933333362</v>
      </c>
      <c r="AG302" s="24">
        <v>131493.8459333338</v>
      </c>
      <c r="AH302" s="15">
        <v>0.5</v>
      </c>
      <c r="AI302" s="76"/>
      <c r="AJ302" s="77"/>
      <c r="AK302" s="77"/>
      <c r="AL302" s="77"/>
      <c r="AM302" s="77"/>
      <c r="AN302" s="76"/>
      <c r="AO302" s="76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/>
      <c r="BP302" s="76"/>
    </row>
    <row r="303" spans="1:68" ht="15" customHeight="1" x14ac:dyDescent="0.25">
      <c r="A303" s="1">
        <f t="shared" si="19"/>
        <v>129</v>
      </c>
      <c r="B303" s="1" t="str">
        <f t="shared" si="16"/>
        <v xml:space="preserve">Maryland </v>
      </c>
      <c r="C303" s="1">
        <f t="shared" si="17"/>
        <v>0</v>
      </c>
      <c r="D303" s="2" t="str">
        <f t="shared" si="18"/>
        <v>2024-11</v>
      </c>
      <c r="E303" s="3" t="s">
        <v>304</v>
      </c>
      <c r="F303" s="4" t="s">
        <v>74</v>
      </c>
      <c r="G303" s="39">
        <v>45620</v>
      </c>
      <c r="H303" s="40">
        <v>-271</v>
      </c>
      <c r="I303" s="40">
        <v>224</v>
      </c>
      <c r="J303" s="7">
        <v>-220</v>
      </c>
      <c r="K303" s="8">
        <v>2.2504556226454753E-2</v>
      </c>
      <c r="L303" s="9">
        <v>1.5471882405687643E-2</v>
      </c>
      <c r="M303" s="10">
        <v>-236.66846361185989</v>
      </c>
      <c r="N303" s="11">
        <v>1.4545454545454546</v>
      </c>
      <c r="O303" s="12">
        <v>3130.4352733769124</v>
      </c>
      <c r="P303" s="32" t="s">
        <v>143</v>
      </c>
      <c r="Q303" s="81" t="s">
        <v>81</v>
      </c>
      <c r="R303" s="82"/>
      <c r="S303" s="32"/>
      <c r="T303" s="32">
        <v>3300</v>
      </c>
      <c r="U303" s="32">
        <v>5700</v>
      </c>
      <c r="V303" s="74" t="s">
        <v>77</v>
      </c>
      <c r="W303" s="15"/>
      <c r="X303" s="15"/>
      <c r="Y303" s="16"/>
      <c r="Z303" s="17"/>
      <c r="AA303" s="18"/>
      <c r="AB303" s="75">
        <v>1500</v>
      </c>
      <c r="AC303" s="20">
        <v>74.265035547300684</v>
      </c>
      <c r="AD303" s="21">
        <v>45620</v>
      </c>
      <c r="AE303" s="22">
        <v>108016.64005912334</v>
      </c>
      <c r="AF303" s="23">
        <v>27956.625933333362</v>
      </c>
      <c r="AG303" s="24">
        <v>126456.62593333378</v>
      </c>
      <c r="AH303" s="15">
        <v>0.5</v>
      </c>
      <c r="AI303" s="76"/>
      <c r="AJ303" s="77"/>
      <c r="AK303" s="77"/>
      <c r="AL303" s="77"/>
      <c r="AM303" s="77"/>
      <c r="AN303" s="76"/>
      <c r="AO303" s="76"/>
      <c r="AP303" s="77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/>
      <c r="BP303" s="76"/>
    </row>
    <row r="304" spans="1:68" ht="15" customHeight="1" x14ac:dyDescent="0.25">
      <c r="A304" s="1">
        <f t="shared" si="19"/>
        <v>130</v>
      </c>
      <c r="B304" s="1" t="str">
        <f t="shared" si="16"/>
        <v xml:space="preserve">Milwaukee </v>
      </c>
      <c r="C304" s="1">
        <f t="shared" si="17"/>
        <v>0</v>
      </c>
      <c r="D304" s="2" t="str">
        <f t="shared" si="18"/>
        <v>2024-11</v>
      </c>
      <c r="E304" s="3" t="s">
        <v>305</v>
      </c>
      <c r="F304" s="4" t="s">
        <v>74</v>
      </c>
      <c r="G304" s="39">
        <v>45620</v>
      </c>
      <c r="H304" s="40">
        <v>-149</v>
      </c>
      <c r="I304" s="40">
        <v>123</v>
      </c>
      <c r="J304" s="7">
        <v>-118</v>
      </c>
      <c r="K304" s="8">
        <v>5.6057848784062066E-2</v>
      </c>
      <c r="L304" s="9">
        <v>3.0343239250088638E-2</v>
      </c>
      <c r="M304" s="10">
        <v>-133.44176706827307</v>
      </c>
      <c r="N304" s="11">
        <v>1.847457627118644</v>
      </c>
      <c r="O304" s="12">
        <v>4232.0541806188758</v>
      </c>
      <c r="P304" s="32" t="s">
        <v>143</v>
      </c>
      <c r="Q304" s="82" t="s">
        <v>76</v>
      </c>
      <c r="R304" s="82"/>
      <c r="S304" s="32"/>
      <c r="T304" s="32">
        <v>1770</v>
      </c>
      <c r="U304" s="32">
        <v>3105.26</v>
      </c>
      <c r="V304" s="74" t="s">
        <v>77</v>
      </c>
      <c r="W304" s="15"/>
      <c r="X304" s="15"/>
      <c r="Y304" s="16"/>
      <c r="Z304" s="17"/>
      <c r="AA304" s="18"/>
      <c r="AB304" s="75">
        <v>1500</v>
      </c>
      <c r="AC304" s="20">
        <v>99.22239234778985</v>
      </c>
      <c r="AD304" s="21">
        <v>45620</v>
      </c>
      <c r="AE304" s="22">
        <v>108115.86245147113</v>
      </c>
      <c r="AF304" s="23">
        <v>29456.625933333362</v>
      </c>
      <c r="AG304" s="24">
        <v>127956.62593333378</v>
      </c>
      <c r="AH304" s="15">
        <v>0.5</v>
      </c>
      <c r="AI304" s="76"/>
      <c r="AJ304" s="76"/>
      <c r="AK304" s="76"/>
      <c r="AL304" s="76"/>
      <c r="AM304" s="76"/>
      <c r="AN304" s="77"/>
      <c r="AO304" s="77"/>
      <c r="AP304" s="77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  <c r="BK304" s="77"/>
      <c r="BL304" s="77"/>
      <c r="BM304" s="77"/>
      <c r="BN304" s="77"/>
      <c r="BO304" s="77"/>
      <c r="BP304" s="77"/>
    </row>
    <row r="305" spans="1:68" ht="15" customHeight="1" x14ac:dyDescent="0.25">
      <c r="A305" s="1">
        <f t="shared" si="19"/>
        <v>130</v>
      </c>
      <c r="B305" s="1" t="str">
        <f t="shared" si="16"/>
        <v xml:space="preserve">Milwaukee </v>
      </c>
      <c r="C305" s="1">
        <f t="shared" si="17"/>
        <v>0</v>
      </c>
      <c r="D305" s="2" t="str">
        <f t="shared" si="18"/>
        <v>2024-11</v>
      </c>
      <c r="E305" s="96" t="s">
        <v>305</v>
      </c>
      <c r="F305" s="4" t="s">
        <v>74</v>
      </c>
      <c r="G305" s="39">
        <v>45620</v>
      </c>
      <c r="H305" s="40">
        <v>-149</v>
      </c>
      <c r="I305" s="40">
        <v>123</v>
      </c>
      <c r="J305" s="7">
        <v>-118</v>
      </c>
      <c r="K305" s="8">
        <v>5.6057848784062066E-2</v>
      </c>
      <c r="L305" s="9">
        <v>3.0343239250088638E-2</v>
      </c>
      <c r="M305" s="10">
        <v>-133.44176706827307</v>
      </c>
      <c r="N305" s="11">
        <v>1.847457627118644</v>
      </c>
      <c r="O305" s="12">
        <v>4232.0541806188758</v>
      </c>
      <c r="P305" s="32" t="s">
        <v>143</v>
      </c>
      <c r="Q305" s="81" t="s">
        <v>76</v>
      </c>
      <c r="R305" s="82"/>
      <c r="S305" s="32"/>
      <c r="T305" s="32">
        <v>0</v>
      </c>
      <c r="U305" s="32">
        <v>4875.26</v>
      </c>
      <c r="V305" s="74" t="s">
        <v>77</v>
      </c>
      <c r="W305" s="15"/>
      <c r="X305" s="15"/>
      <c r="Y305" s="16"/>
      <c r="Z305" s="17"/>
      <c r="AA305" s="18"/>
      <c r="AB305" s="75">
        <v>0</v>
      </c>
      <c r="AC305" s="20">
        <v>0</v>
      </c>
      <c r="AD305" s="21">
        <v>45620</v>
      </c>
      <c r="AE305" s="22">
        <v>108543.13121008989</v>
      </c>
      <c r="AF305" s="23">
        <v>27956.625933333362</v>
      </c>
      <c r="AG305" s="24">
        <v>127956.62593333378</v>
      </c>
      <c r="AH305" s="15">
        <v>0.5</v>
      </c>
      <c r="AI305" s="76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77"/>
    </row>
    <row r="306" spans="1:68" ht="15" customHeight="1" x14ac:dyDescent="0.25">
      <c r="A306" s="1">
        <f t="shared" si="19"/>
        <v>130</v>
      </c>
      <c r="B306" s="1" t="str">
        <f t="shared" si="16"/>
        <v xml:space="preserve">Milwaukee </v>
      </c>
      <c r="C306" s="1">
        <f t="shared" si="17"/>
        <v>0</v>
      </c>
      <c r="D306" s="2" t="str">
        <f t="shared" si="18"/>
        <v>2024-11</v>
      </c>
      <c r="E306" s="3" t="s">
        <v>306</v>
      </c>
      <c r="F306" s="4" t="s">
        <v>74</v>
      </c>
      <c r="G306" s="39">
        <v>45620</v>
      </c>
      <c r="H306" s="40">
        <v>-157</v>
      </c>
      <c r="I306" s="40">
        <v>129</v>
      </c>
      <c r="J306" s="7">
        <v>-125</v>
      </c>
      <c r="K306" s="8">
        <v>4.9671548829740515E-2</v>
      </c>
      <c r="L306" s="9">
        <v>2.75953049054114E-2</v>
      </c>
      <c r="M306" s="10">
        <v>-139.89494163424121</v>
      </c>
      <c r="N306" s="11">
        <v>1.8</v>
      </c>
      <c r="O306" s="12">
        <v>3972.3773707102687</v>
      </c>
      <c r="P306" s="32" t="s">
        <v>143</v>
      </c>
      <c r="Q306" s="81" t="s">
        <v>76</v>
      </c>
      <c r="R306" s="82"/>
      <c r="S306" s="32"/>
      <c r="T306" s="32">
        <v>1875</v>
      </c>
      <c r="U306" s="32">
        <v>3304.9700000000003</v>
      </c>
      <c r="V306" s="74" t="s">
        <v>77</v>
      </c>
      <c r="W306" s="15"/>
      <c r="X306" s="15"/>
      <c r="Y306" s="16"/>
      <c r="Z306" s="17"/>
      <c r="AA306" s="18"/>
      <c r="AB306" s="75">
        <v>1500</v>
      </c>
      <c r="AC306" s="20">
        <v>93.13415405576346</v>
      </c>
      <c r="AD306" s="21">
        <v>45620</v>
      </c>
      <c r="AE306" s="22">
        <v>108636.26536414566</v>
      </c>
      <c r="AF306" s="23">
        <v>29456.625933333362</v>
      </c>
      <c r="AG306" s="24">
        <v>127956.62593333378</v>
      </c>
      <c r="AH306" s="15">
        <v>0.5</v>
      </c>
      <c r="AI306" s="76"/>
      <c r="AJ306" s="76"/>
      <c r="AK306" s="76"/>
      <c r="AL306" s="76"/>
      <c r="AM306" s="76"/>
      <c r="AN306" s="76"/>
      <c r="AO306" s="76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6"/>
      <c r="BC306" s="76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</row>
    <row r="307" spans="1:68" ht="15" customHeight="1" x14ac:dyDescent="0.25">
      <c r="A307" s="1">
        <f t="shared" si="19"/>
        <v>131</v>
      </c>
      <c r="B307" s="1" t="str">
        <f t="shared" si="16"/>
        <v xml:space="preserve">Nets </v>
      </c>
      <c r="C307" s="1">
        <f t="shared" si="17"/>
        <v>1</v>
      </c>
      <c r="D307" s="2" t="str">
        <f t="shared" si="18"/>
        <v>2024-11</v>
      </c>
      <c r="E307" s="3" t="s">
        <v>307</v>
      </c>
      <c r="F307" s="4" t="s">
        <v>74</v>
      </c>
      <c r="G307" s="39">
        <v>45620</v>
      </c>
      <c r="H307" s="40">
        <v>-110</v>
      </c>
      <c r="I307" s="40">
        <v>-103</v>
      </c>
      <c r="J307" s="7">
        <v>107</v>
      </c>
      <c r="K307" s="8">
        <v>5.1480891719745271E-2</v>
      </c>
      <c r="L307" s="9">
        <v>2.4869995999876937E-2</v>
      </c>
      <c r="M307" s="10">
        <v>-103.23624595469254</v>
      </c>
      <c r="N307" s="11">
        <v>2.0700000000000003</v>
      </c>
      <c r="O307" s="12">
        <v>3091.1135127274556</v>
      </c>
      <c r="P307" s="32" t="s">
        <v>75</v>
      </c>
      <c r="Q307" s="80" t="s">
        <v>92</v>
      </c>
      <c r="R307" s="82"/>
      <c r="S307" s="32"/>
      <c r="T307" s="32">
        <v>580.92999999999995</v>
      </c>
      <c r="U307" s="32">
        <v>580.92999999999995</v>
      </c>
      <c r="V307" s="74" t="s">
        <v>82</v>
      </c>
      <c r="W307" s="15"/>
      <c r="X307" s="15"/>
      <c r="Y307" s="16"/>
      <c r="Z307" s="17"/>
      <c r="AA307" s="18"/>
      <c r="AB307" s="75">
        <v>-580.92999999999995</v>
      </c>
      <c r="AC307" s="20">
        <v>29.906794426751617</v>
      </c>
      <c r="AD307" s="21">
        <v>45620</v>
      </c>
      <c r="AE307" s="22">
        <v>105938.40914915835</v>
      </c>
      <c r="AF307" s="23">
        <v>27913.015933333358</v>
      </c>
      <c r="AG307" s="24">
        <v>128493.94593333371</v>
      </c>
      <c r="AH307" s="15">
        <v>0.5</v>
      </c>
      <c r="AI307" s="76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</row>
    <row r="308" spans="1:68" ht="15" customHeight="1" x14ac:dyDescent="0.25">
      <c r="A308" s="1">
        <f t="shared" si="19"/>
        <v>131</v>
      </c>
      <c r="B308" s="1" t="str">
        <f t="shared" si="16"/>
        <v xml:space="preserve">Nets </v>
      </c>
      <c r="C308" s="1">
        <f t="shared" si="17"/>
        <v>1</v>
      </c>
      <c r="D308" s="2" t="str">
        <f t="shared" si="18"/>
        <v>2024-11</v>
      </c>
      <c r="E308" s="3" t="s">
        <v>308</v>
      </c>
      <c r="F308" s="4" t="s">
        <v>74</v>
      </c>
      <c r="G308" s="39">
        <v>45620</v>
      </c>
      <c r="H308" s="40">
        <v>-133</v>
      </c>
      <c r="I308" s="40">
        <v>116</v>
      </c>
      <c r="J308" s="7">
        <v>-103</v>
      </c>
      <c r="K308" s="8">
        <v>8.824598554475141E-2</v>
      </c>
      <c r="L308" s="9">
        <v>4.4775056704972394E-2</v>
      </c>
      <c r="M308" s="10">
        <v>-123.2961373390558</v>
      </c>
      <c r="N308" s="11">
        <v>1.970873786407767</v>
      </c>
      <c r="O308" s="12">
        <v>5813.2222298448405</v>
      </c>
      <c r="P308" s="32" t="s">
        <v>75</v>
      </c>
      <c r="Q308" s="81" t="s">
        <v>92</v>
      </c>
      <c r="R308" s="82"/>
      <c r="S308" s="32"/>
      <c r="T308" s="32">
        <v>634.28</v>
      </c>
      <c r="U308" s="32">
        <v>634.28</v>
      </c>
      <c r="V308" s="74" t="s">
        <v>82</v>
      </c>
      <c r="W308" s="15"/>
      <c r="X308" s="15"/>
      <c r="Y308" s="16"/>
      <c r="Z308" s="17"/>
      <c r="AA308" s="18"/>
      <c r="AB308" s="75">
        <v>-634.28</v>
      </c>
      <c r="AC308" s="20">
        <v>55.97266371132492</v>
      </c>
      <c r="AD308" s="21">
        <v>45620</v>
      </c>
      <c r="AE308" s="22">
        <v>105994.38181286967</v>
      </c>
      <c r="AF308" s="23">
        <v>27278.735933333359</v>
      </c>
      <c r="AG308" s="24">
        <v>127913.01593333372</v>
      </c>
      <c r="AH308" s="15">
        <v>0.5</v>
      </c>
      <c r="AI308" s="76"/>
      <c r="AJ308" s="77"/>
      <c r="AK308" s="77"/>
      <c r="AL308" s="77"/>
      <c r="AM308" s="77"/>
      <c r="AN308" s="76"/>
      <c r="AO308" s="76"/>
      <c r="AP308" s="77"/>
      <c r="AQ308" s="77"/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  <c r="BK308" s="77"/>
      <c r="BL308" s="77"/>
      <c r="BM308" s="77"/>
      <c r="BN308" s="77"/>
      <c r="BO308" s="77"/>
      <c r="BP308" s="77"/>
    </row>
    <row r="309" spans="1:68" ht="15" customHeight="1" x14ac:dyDescent="0.25">
      <c r="A309" s="1">
        <f t="shared" si="19"/>
        <v>131</v>
      </c>
      <c r="B309" s="1" t="str">
        <f t="shared" si="16"/>
        <v xml:space="preserve">Nets </v>
      </c>
      <c r="C309" s="1">
        <f t="shared" si="17"/>
        <v>1</v>
      </c>
      <c r="D309" s="2" t="str">
        <f t="shared" si="18"/>
        <v>2024-11</v>
      </c>
      <c r="E309" s="3" t="s">
        <v>309</v>
      </c>
      <c r="F309" s="4" t="s">
        <v>74</v>
      </c>
      <c r="G309" s="39">
        <v>45620</v>
      </c>
      <c r="H309" s="40">
        <v>-134</v>
      </c>
      <c r="I309" s="40">
        <v>122</v>
      </c>
      <c r="J309" s="7">
        <v>-108</v>
      </c>
      <c r="K309" s="8">
        <v>7.7979311440589658E-2</v>
      </c>
      <c r="L309" s="9">
        <v>4.0489257863383088E-2</v>
      </c>
      <c r="M309" s="10">
        <v>-127.12820512820515</v>
      </c>
      <c r="N309" s="11">
        <v>1.925925925925926</v>
      </c>
      <c r="O309" s="12">
        <v>5359.5584221193994</v>
      </c>
      <c r="P309" s="32" t="s">
        <v>75</v>
      </c>
      <c r="Q309" s="81" t="s">
        <v>92</v>
      </c>
      <c r="R309" s="82"/>
      <c r="S309" s="32"/>
      <c r="T309" s="32">
        <v>668.38</v>
      </c>
      <c r="U309" s="32">
        <v>668.38</v>
      </c>
      <c r="V309" s="74" t="s">
        <v>82</v>
      </c>
      <c r="W309" s="15"/>
      <c r="X309" s="15"/>
      <c r="Y309" s="16"/>
      <c r="Z309" s="17"/>
      <c r="AA309" s="18"/>
      <c r="AB309" s="75">
        <v>-668.38</v>
      </c>
      <c r="AC309" s="20">
        <v>52.119812180661313</v>
      </c>
      <c r="AD309" s="21">
        <v>45620</v>
      </c>
      <c r="AE309" s="22">
        <v>106046.50162505034</v>
      </c>
      <c r="AF309" s="23">
        <v>26610.355933333358</v>
      </c>
      <c r="AG309" s="24">
        <v>127278.73593333372</v>
      </c>
      <c r="AH309" s="15">
        <v>0.5</v>
      </c>
      <c r="AI309" s="76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77"/>
    </row>
    <row r="310" spans="1:68" ht="15" customHeight="1" x14ac:dyDescent="0.25">
      <c r="A310" s="1">
        <f t="shared" si="19"/>
        <v>131</v>
      </c>
      <c r="B310" s="1" t="str">
        <f t="shared" si="16"/>
        <v xml:space="preserve">Nets </v>
      </c>
      <c r="C310" s="1">
        <f t="shared" si="17"/>
        <v>1</v>
      </c>
      <c r="D310" s="2" t="str">
        <f t="shared" si="18"/>
        <v>2024-11</v>
      </c>
      <c r="E310" s="3" t="s">
        <v>310</v>
      </c>
      <c r="F310" s="4" t="s">
        <v>74</v>
      </c>
      <c r="G310" s="39">
        <v>45620</v>
      </c>
      <c r="H310" s="40">
        <v>-134</v>
      </c>
      <c r="I310" s="40">
        <v>117</v>
      </c>
      <c r="J310" s="7">
        <v>102</v>
      </c>
      <c r="K310" s="8">
        <v>0.1192796981592289</v>
      </c>
      <c r="L310" s="9">
        <v>5.9049355524370739E-2</v>
      </c>
      <c r="M310" s="10">
        <v>-124.26495726495733</v>
      </c>
      <c r="N310" s="11">
        <v>2.02</v>
      </c>
      <c r="O310" s="12">
        <v>7402.9632546865596</v>
      </c>
      <c r="P310" s="32" t="s">
        <v>75</v>
      </c>
      <c r="Q310" s="81" t="s">
        <v>92</v>
      </c>
      <c r="R310" s="82"/>
      <c r="S310" s="32"/>
      <c r="T310" s="32">
        <v>609.40499999999997</v>
      </c>
      <c r="U310" s="32">
        <v>609.40499999999997</v>
      </c>
      <c r="V310" s="74" t="s">
        <v>82</v>
      </c>
      <c r="W310" s="15"/>
      <c r="X310" s="15"/>
      <c r="Y310" s="16"/>
      <c r="Z310" s="17"/>
      <c r="AA310" s="18"/>
      <c r="AB310" s="75">
        <v>-609.40499999999997</v>
      </c>
      <c r="AC310" s="20">
        <v>72.689644456724878</v>
      </c>
      <c r="AD310" s="21">
        <v>45620</v>
      </c>
      <c r="AE310" s="22">
        <v>106119.19126950706</v>
      </c>
      <c r="AF310" s="23">
        <v>26000.950933333359</v>
      </c>
      <c r="AG310" s="24">
        <v>126610.35593333372</v>
      </c>
      <c r="AH310" s="15">
        <v>0.5</v>
      </c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7"/>
      <c r="AU310" s="77"/>
      <c r="AV310" s="77"/>
      <c r="AW310" s="77"/>
      <c r="AX310" s="76"/>
      <c r="AY310" s="76"/>
      <c r="AZ310" s="76"/>
      <c r="BA310" s="76"/>
      <c r="BB310" s="76"/>
      <c r="BC310" s="76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6"/>
    </row>
    <row r="311" spans="1:68" ht="15" customHeight="1" x14ac:dyDescent="0.25">
      <c r="A311" s="1">
        <f t="shared" si="19"/>
        <v>131</v>
      </c>
      <c r="B311" s="1" t="str">
        <f t="shared" si="16"/>
        <v xml:space="preserve">Nets </v>
      </c>
      <c r="C311" s="1">
        <f t="shared" si="17"/>
        <v>1</v>
      </c>
      <c r="D311" s="2" t="str">
        <f t="shared" si="18"/>
        <v>2024-11</v>
      </c>
      <c r="E311" s="3" t="s">
        <v>311</v>
      </c>
      <c r="F311" s="4" t="s">
        <v>74</v>
      </c>
      <c r="G311" s="39">
        <v>45620</v>
      </c>
      <c r="H311" s="40">
        <v>-101</v>
      </c>
      <c r="I311" s="40">
        <v>-107</v>
      </c>
      <c r="J311" s="7">
        <v>117</v>
      </c>
      <c r="K311" s="8">
        <v>6.9651294383929668E-2</v>
      </c>
      <c r="L311" s="9">
        <v>3.2097370683838555E-2</v>
      </c>
      <c r="M311" s="10">
        <v>102.86985220261157</v>
      </c>
      <c r="N311" s="11">
        <v>2.17</v>
      </c>
      <c r="O311" s="12">
        <v>3750.4826179968823</v>
      </c>
      <c r="P311" s="32" t="s">
        <v>75</v>
      </c>
      <c r="Q311" s="81" t="s">
        <v>92</v>
      </c>
      <c r="R311" s="82"/>
      <c r="S311" s="32"/>
      <c r="T311" s="32">
        <v>698.42</v>
      </c>
      <c r="U311" s="32">
        <v>698.42</v>
      </c>
      <c r="V311" s="74" t="s">
        <v>82</v>
      </c>
      <c r="W311" s="15"/>
      <c r="X311" s="15"/>
      <c r="Y311" s="16"/>
      <c r="Z311" s="17"/>
      <c r="AA311" s="18"/>
      <c r="AB311" s="75">
        <v>-698.42</v>
      </c>
      <c r="AC311" s="20">
        <v>48.645857023624153</v>
      </c>
      <c r="AD311" s="21">
        <v>45620</v>
      </c>
      <c r="AE311" s="22">
        <v>106167.83712653069</v>
      </c>
      <c r="AF311" s="23">
        <v>25302.530933333361</v>
      </c>
      <c r="AG311" s="24">
        <v>126000.95093333372</v>
      </c>
      <c r="AH311" s="15">
        <v>0.5</v>
      </c>
      <c r="AI311" s="76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</row>
    <row r="312" spans="1:68" ht="15" customHeight="1" x14ac:dyDescent="0.25">
      <c r="A312" s="1">
        <f t="shared" si="19"/>
        <v>131</v>
      </c>
      <c r="B312" s="1" t="str">
        <f t="shared" si="16"/>
        <v xml:space="preserve">Nets </v>
      </c>
      <c r="C312" s="1">
        <f t="shared" si="17"/>
        <v>1</v>
      </c>
      <c r="D312" s="2" t="str">
        <f t="shared" si="18"/>
        <v>2024-11</v>
      </c>
      <c r="E312" s="3" t="s">
        <v>312</v>
      </c>
      <c r="F312" s="4" t="s">
        <v>74</v>
      </c>
      <c r="G312" s="39">
        <v>45620</v>
      </c>
      <c r="H312" s="40">
        <v>-111</v>
      </c>
      <c r="I312" s="40">
        <v>-103</v>
      </c>
      <c r="J312" s="7">
        <v>112</v>
      </c>
      <c r="K312" s="8">
        <v>7.9156915013780305E-2</v>
      </c>
      <c r="L312" s="9">
        <v>3.7338167459330329E-2</v>
      </c>
      <c r="M312" s="10">
        <v>-103.68103805273084</v>
      </c>
      <c r="N312" s="11">
        <v>2.12</v>
      </c>
      <c r="O312" s="12">
        <v>4427.9293714738724</v>
      </c>
      <c r="P312" s="32" t="s">
        <v>75</v>
      </c>
      <c r="Q312" s="81" t="s">
        <v>92</v>
      </c>
      <c r="R312" s="82"/>
      <c r="S312" s="32"/>
      <c r="T312" s="32">
        <v>554.995</v>
      </c>
      <c r="U312" s="32">
        <v>554.995</v>
      </c>
      <c r="V312" s="74" t="s">
        <v>82</v>
      </c>
      <c r="W312" s="15"/>
      <c r="X312" s="15"/>
      <c r="Y312" s="16"/>
      <c r="Z312" s="17"/>
      <c r="AA312" s="18"/>
      <c r="AB312" s="75">
        <v>-554.995</v>
      </c>
      <c r="AC312" s="20">
        <v>43.931692048073003</v>
      </c>
      <c r="AD312" s="21">
        <v>45620</v>
      </c>
      <c r="AE312" s="22">
        <v>106211.76881857877</v>
      </c>
      <c r="AF312" s="23">
        <v>24747.535933333362</v>
      </c>
      <c r="AG312" s="24">
        <v>125302.53093333372</v>
      </c>
      <c r="AH312" s="15">
        <v>0.5</v>
      </c>
      <c r="AI312" s="76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  <c r="BK312" s="77"/>
      <c r="BL312" s="77"/>
      <c r="BM312" s="77"/>
      <c r="BN312" s="77"/>
      <c r="BO312" s="77"/>
      <c r="BP312" s="77"/>
    </row>
    <row r="313" spans="1:68" ht="15" customHeight="1" x14ac:dyDescent="0.25">
      <c r="A313" s="1">
        <f t="shared" si="19"/>
        <v>131</v>
      </c>
      <c r="B313" s="1" t="str">
        <f t="shared" si="16"/>
        <v xml:space="preserve">Nets </v>
      </c>
      <c r="C313" s="1">
        <f t="shared" si="17"/>
        <v>1</v>
      </c>
      <c r="D313" s="2" t="str">
        <f t="shared" si="18"/>
        <v>2024-11</v>
      </c>
      <c r="E313" s="3" t="s">
        <v>313</v>
      </c>
      <c r="F313" s="4" t="s">
        <v>74</v>
      </c>
      <c r="G313" s="39">
        <v>45620</v>
      </c>
      <c r="H313" s="40">
        <v>-101</v>
      </c>
      <c r="I313" s="40">
        <v>-108</v>
      </c>
      <c r="J313" s="7">
        <v>117</v>
      </c>
      <c r="K313" s="8">
        <v>6.7219777132690298E-2</v>
      </c>
      <c r="L313" s="9">
        <v>3.0976855821516269E-2</v>
      </c>
      <c r="M313" s="10">
        <v>103.33206397562832</v>
      </c>
      <c r="N313" s="11">
        <v>2.17</v>
      </c>
      <c r="O313" s="12">
        <v>3583.5476766200718</v>
      </c>
      <c r="P313" s="32" t="s">
        <v>75</v>
      </c>
      <c r="Q313" s="80" t="s">
        <v>92</v>
      </c>
      <c r="R313" s="82"/>
      <c r="S313" s="32"/>
      <c r="T313" s="32">
        <v>531.27499999999998</v>
      </c>
      <c r="U313" s="32">
        <v>531.27499999999998</v>
      </c>
      <c r="V313" s="74" t="s">
        <v>82</v>
      </c>
      <c r="W313" s="15"/>
      <c r="X313" s="15"/>
      <c r="Y313" s="16"/>
      <c r="Z313" s="17"/>
      <c r="AA313" s="18"/>
      <c r="AB313" s="75">
        <v>-531.27499999999998</v>
      </c>
      <c r="AC313" s="20">
        <v>35.712187096170034</v>
      </c>
      <c r="AD313" s="21">
        <v>45620</v>
      </c>
      <c r="AE313" s="22">
        <v>106247.48100567494</v>
      </c>
      <c r="AF313" s="23">
        <v>24216.26093333336</v>
      </c>
      <c r="AG313" s="24">
        <v>124747.53593333373</v>
      </c>
      <c r="AH313" s="15">
        <v>0.5</v>
      </c>
      <c r="AI313" s="76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77"/>
    </row>
    <row r="314" spans="1:68" ht="15" customHeight="1" x14ac:dyDescent="0.25">
      <c r="A314" s="1">
        <f t="shared" si="19"/>
        <v>131</v>
      </c>
      <c r="B314" s="1" t="str">
        <f t="shared" si="16"/>
        <v xml:space="preserve">Nets </v>
      </c>
      <c r="C314" s="1">
        <f t="shared" si="17"/>
        <v>1</v>
      </c>
      <c r="D314" s="2" t="str">
        <f t="shared" si="18"/>
        <v>2024-11</v>
      </c>
      <c r="E314" s="3" t="s">
        <v>314</v>
      </c>
      <c r="F314" s="4" t="s">
        <v>74</v>
      </c>
      <c r="G314" s="39">
        <v>45620</v>
      </c>
      <c r="H314" s="40">
        <v>107</v>
      </c>
      <c r="I314" s="40">
        <v>-121</v>
      </c>
      <c r="J314" s="7">
        <v>128</v>
      </c>
      <c r="K314" s="8">
        <v>6.8742443845843826E-2</v>
      </c>
      <c r="L314" s="9">
        <v>3.0150194669229746E-2</v>
      </c>
      <c r="M314" s="10">
        <v>113.33484162895928</v>
      </c>
      <c r="N314" s="11">
        <v>2.2800000000000002</v>
      </c>
      <c r="O314" s="12">
        <v>3335.519274199366</v>
      </c>
      <c r="P314" s="32" t="s">
        <v>75</v>
      </c>
      <c r="Q314" s="80" t="s">
        <v>92</v>
      </c>
      <c r="R314" s="82"/>
      <c r="S314" s="32"/>
      <c r="T314" s="32">
        <v>505.36</v>
      </c>
      <c r="U314" s="32">
        <v>505.36</v>
      </c>
      <c r="V314" s="74" t="s">
        <v>82</v>
      </c>
      <c r="W314" s="15"/>
      <c r="X314" s="15"/>
      <c r="Y314" s="16"/>
      <c r="Z314" s="17"/>
      <c r="AA314" s="18"/>
      <c r="AB314" s="75">
        <v>-505.36</v>
      </c>
      <c r="AC314" s="20">
        <v>34.739681421935636</v>
      </c>
      <c r="AD314" s="21">
        <v>45620</v>
      </c>
      <c r="AE314" s="22">
        <v>106282.22068709688</v>
      </c>
      <c r="AF314" s="23">
        <v>23710.90093333336</v>
      </c>
      <c r="AG314" s="24">
        <v>124216.26093333373</v>
      </c>
      <c r="AH314" s="15">
        <v>0.5</v>
      </c>
      <c r="AI314" s="76"/>
      <c r="AJ314" s="77"/>
      <c r="AK314" s="77"/>
      <c r="AL314" s="77"/>
      <c r="AM314" s="77"/>
      <c r="AN314" s="76"/>
      <c r="AO314" s="76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7"/>
      <c r="BN314" s="77"/>
      <c r="BO314" s="77"/>
      <c r="BP314" s="76"/>
    </row>
    <row r="315" spans="1:68" ht="15" customHeight="1" x14ac:dyDescent="0.25">
      <c r="A315" s="1">
        <f t="shared" si="19"/>
        <v>131</v>
      </c>
      <c r="B315" s="1" t="str">
        <f t="shared" si="16"/>
        <v xml:space="preserve">Nets </v>
      </c>
      <c r="C315" s="1">
        <f t="shared" si="17"/>
        <v>1</v>
      </c>
      <c r="D315" s="2" t="str">
        <f t="shared" si="18"/>
        <v>2024-11</v>
      </c>
      <c r="E315" s="3" t="s">
        <v>315</v>
      </c>
      <c r="F315" s="4" t="s">
        <v>74</v>
      </c>
      <c r="G315" s="39">
        <v>45620</v>
      </c>
      <c r="H315" s="40">
        <v>109</v>
      </c>
      <c r="I315" s="40">
        <v>-124</v>
      </c>
      <c r="J315" s="7">
        <v>128</v>
      </c>
      <c r="K315" s="8">
        <v>5.7041145790214659E-2</v>
      </c>
      <c r="L315" s="9">
        <v>2.5018046399216953E-2</v>
      </c>
      <c r="M315" s="10">
        <v>115.69642857142856</v>
      </c>
      <c r="N315" s="11">
        <v>2.2800000000000002</v>
      </c>
      <c r="O315" s="12">
        <v>2756.4888812410513</v>
      </c>
      <c r="P315" s="32" t="s">
        <v>75</v>
      </c>
      <c r="Q315" s="81" t="s">
        <v>92</v>
      </c>
      <c r="R315" s="82"/>
      <c r="S315" s="32"/>
      <c r="T315" s="32">
        <v>485.62</v>
      </c>
      <c r="U315" s="32">
        <v>485.62</v>
      </c>
      <c r="V315" s="74" t="s">
        <v>82</v>
      </c>
      <c r="W315" s="15"/>
      <c r="X315" s="15"/>
      <c r="Y315" s="16"/>
      <c r="Z315" s="17"/>
      <c r="AA315" s="18"/>
      <c r="AB315" s="75">
        <v>-485.62</v>
      </c>
      <c r="AC315" s="20">
        <v>27.700321218644042</v>
      </c>
      <c r="AD315" s="21">
        <v>45620</v>
      </c>
      <c r="AE315" s="22">
        <v>106309.92100831552</v>
      </c>
      <c r="AF315" s="23">
        <v>23225.280933333361</v>
      </c>
      <c r="AG315" s="24">
        <v>123710.90093333373</v>
      </c>
      <c r="AH315" s="15">
        <v>0.5</v>
      </c>
      <c r="AI315" s="76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</row>
    <row r="316" spans="1:68" ht="15" customHeight="1" x14ac:dyDescent="0.25">
      <c r="A316" s="1">
        <f t="shared" si="19"/>
        <v>131</v>
      </c>
      <c r="B316" s="1" t="str">
        <f t="shared" si="16"/>
        <v xml:space="preserve">Nets </v>
      </c>
      <c r="C316" s="1">
        <f t="shared" si="17"/>
        <v>1</v>
      </c>
      <c r="D316" s="2" t="str">
        <f t="shared" si="18"/>
        <v>2024-11</v>
      </c>
      <c r="E316" s="3" t="s">
        <v>316</v>
      </c>
      <c r="F316" s="4" t="s">
        <v>74</v>
      </c>
      <c r="G316" s="39">
        <v>45620</v>
      </c>
      <c r="H316" s="40">
        <v>109</v>
      </c>
      <c r="I316" s="40">
        <v>-125</v>
      </c>
      <c r="J316" s="7">
        <v>135</v>
      </c>
      <c r="K316" s="8">
        <v>8.740359897172241E-2</v>
      </c>
      <c r="L316" s="9">
        <v>3.719302083903081E-2</v>
      </c>
      <c r="M316" s="10">
        <v>116.1111111111111</v>
      </c>
      <c r="N316" s="11">
        <v>2.35</v>
      </c>
      <c r="O316" s="12">
        <v>3989.0122362499751</v>
      </c>
      <c r="P316" s="32" t="s">
        <v>75</v>
      </c>
      <c r="Q316" s="81" t="s">
        <v>92</v>
      </c>
      <c r="R316" s="82"/>
      <c r="S316" s="32"/>
      <c r="T316" s="32">
        <v>531.27499999999998</v>
      </c>
      <c r="U316" s="32">
        <v>531.27499999999998</v>
      </c>
      <c r="V316" s="74" t="s">
        <v>82</v>
      </c>
      <c r="W316" s="15"/>
      <c r="X316" s="15"/>
      <c r="Y316" s="16"/>
      <c r="Z316" s="17"/>
      <c r="AA316" s="18"/>
      <c r="AB316" s="75">
        <v>-531.27499999999998</v>
      </c>
      <c r="AC316" s="20">
        <v>46.435347043701825</v>
      </c>
      <c r="AD316" s="21">
        <v>45620</v>
      </c>
      <c r="AE316" s="22">
        <v>106356.35635535922</v>
      </c>
      <c r="AF316" s="23">
        <v>22694.005933333359</v>
      </c>
      <c r="AG316" s="24">
        <v>123225.28093333374</v>
      </c>
      <c r="AH316" s="15">
        <v>0.5</v>
      </c>
      <c r="AI316" s="76"/>
      <c r="AJ316" s="77"/>
      <c r="AK316" s="77"/>
      <c r="AL316" s="77"/>
      <c r="AM316" s="77"/>
      <c r="AN316" s="76"/>
      <c r="AO316" s="76"/>
      <c r="AP316" s="76"/>
      <c r="AQ316" s="76"/>
      <c r="AR316" s="76"/>
      <c r="AS316" s="76"/>
      <c r="AT316" s="77"/>
      <c r="AU316" s="77"/>
      <c r="AV316" s="77"/>
      <c r="AW316" s="77"/>
      <c r="AX316" s="76"/>
      <c r="AY316" s="76"/>
      <c r="AZ316" s="76"/>
      <c r="BA316" s="76"/>
      <c r="BB316" s="76"/>
      <c r="BC316" s="76"/>
      <c r="BD316" s="77"/>
      <c r="BE316" s="77"/>
      <c r="BF316" s="77"/>
      <c r="BG316" s="77"/>
      <c r="BH316" s="77"/>
      <c r="BI316" s="77"/>
      <c r="BJ316" s="76"/>
      <c r="BK316" s="76"/>
      <c r="BL316" s="76"/>
      <c r="BM316" s="76"/>
      <c r="BN316" s="76"/>
      <c r="BO316" s="76"/>
      <c r="BP316" s="76"/>
    </row>
    <row r="317" spans="1:68" ht="15" customHeight="1" x14ac:dyDescent="0.25">
      <c r="A317" s="1">
        <f t="shared" si="19"/>
        <v>132</v>
      </c>
      <c r="B317" s="1" t="str">
        <f t="shared" si="16"/>
        <v xml:space="preserve">Portland </v>
      </c>
      <c r="C317" s="1">
        <f t="shared" si="17"/>
        <v>0</v>
      </c>
      <c r="D317" s="2" t="str">
        <f t="shared" si="18"/>
        <v>2024-11</v>
      </c>
      <c r="E317" s="3" t="s">
        <v>317</v>
      </c>
      <c r="F317" s="4" t="s">
        <v>74</v>
      </c>
      <c r="G317" s="39">
        <v>45620</v>
      </c>
      <c r="H317" s="40">
        <v>-147</v>
      </c>
      <c r="I317" s="40">
        <v>122</v>
      </c>
      <c r="J317" s="7">
        <v>-117</v>
      </c>
      <c r="K317" s="8">
        <v>5.5679137899112184E-2</v>
      </c>
      <c r="L317" s="9">
        <v>3.0020549005512098E-2</v>
      </c>
      <c r="M317" s="10">
        <v>-132.12145748987857</v>
      </c>
      <c r="N317" s="11">
        <v>1.8547008547008548</v>
      </c>
      <c r="O317" s="12">
        <v>3825.7023106795477</v>
      </c>
      <c r="P317" s="32" t="s">
        <v>143</v>
      </c>
      <c r="Q317" s="80" t="s">
        <v>76</v>
      </c>
      <c r="R317" s="82"/>
      <c r="S317" s="32"/>
      <c r="T317" s="32">
        <v>1755</v>
      </c>
      <c r="U317" s="32">
        <v>3063.5699999999997</v>
      </c>
      <c r="V317" s="74" t="s">
        <v>77</v>
      </c>
      <c r="W317" s="15"/>
      <c r="X317" s="15"/>
      <c r="Y317" s="16"/>
      <c r="Z317" s="17"/>
      <c r="AA317" s="18"/>
      <c r="AB317" s="75">
        <v>1500</v>
      </c>
      <c r="AC317" s="20">
        <v>97.716887012941882</v>
      </c>
      <c r="AD317" s="21">
        <v>45620</v>
      </c>
      <c r="AE317" s="22">
        <v>107349.90406093186</v>
      </c>
      <c r="AF317" s="23">
        <v>18952.645933333362</v>
      </c>
      <c r="AG317" s="24">
        <v>117452.64593333377</v>
      </c>
      <c r="AH317" s="15">
        <v>0.5</v>
      </c>
      <c r="AI317" s="76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77"/>
    </row>
    <row r="318" spans="1:68" ht="15" customHeight="1" x14ac:dyDescent="0.25">
      <c r="A318" s="1">
        <f t="shared" si="19"/>
        <v>132</v>
      </c>
      <c r="B318" s="1" t="str">
        <f t="shared" si="16"/>
        <v xml:space="preserve">Portland </v>
      </c>
      <c r="C318" s="1">
        <f t="shared" si="17"/>
        <v>0</v>
      </c>
      <c r="D318" s="2" t="str">
        <f t="shared" si="18"/>
        <v>2024-11</v>
      </c>
      <c r="E318" s="3" t="s">
        <v>317</v>
      </c>
      <c r="F318" s="4" t="s">
        <v>83</v>
      </c>
      <c r="G318" s="39">
        <v>45620</v>
      </c>
      <c r="H318" s="40">
        <v>-147</v>
      </c>
      <c r="I318" s="40">
        <v>122</v>
      </c>
      <c r="J318" s="7">
        <v>-117</v>
      </c>
      <c r="K318" s="8">
        <v>5.5679137899112184E-2</v>
      </c>
      <c r="L318" s="9">
        <v>3.0020549005512098E-2</v>
      </c>
      <c r="M318" s="10">
        <v>-132.12145748987857</v>
      </c>
      <c r="N318" s="11">
        <v>1.8547008547008548</v>
      </c>
      <c r="O318" s="12">
        <v>3874.5607541860186</v>
      </c>
      <c r="P318" s="32" t="s">
        <v>143</v>
      </c>
      <c r="Q318" s="80" t="s">
        <v>76</v>
      </c>
      <c r="R318" s="82"/>
      <c r="S318" s="32"/>
      <c r="T318" s="32">
        <v>0</v>
      </c>
      <c r="U318" s="32">
        <v>2421.39</v>
      </c>
      <c r="V318" s="74" t="s">
        <v>77</v>
      </c>
      <c r="W318" s="15"/>
      <c r="X318" s="15"/>
      <c r="Y318" s="16"/>
      <c r="Z318" s="17"/>
      <c r="AA318" s="18"/>
      <c r="AB318" s="75">
        <v>0</v>
      </c>
      <c r="AC318" s="20">
        <v>0</v>
      </c>
      <c r="AD318" s="21">
        <v>45620</v>
      </c>
      <c r="AE318" s="22">
        <v>107349.90406093186</v>
      </c>
      <c r="AF318" s="23">
        <v>18952.645933333362</v>
      </c>
      <c r="AG318" s="24">
        <v>118952.64593333377</v>
      </c>
      <c r="AH318" s="15">
        <v>0.5</v>
      </c>
      <c r="AI318" s="76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7"/>
      <c r="BN318" s="77"/>
      <c r="BO318" s="77"/>
      <c r="BP318" s="77"/>
    </row>
    <row r="319" spans="1:68" ht="15" customHeight="1" x14ac:dyDescent="0.25">
      <c r="A319" s="1">
        <f t="shared" si="19"/>
        <v>132</v>
      </c>
      <c r="B319" s="1" t="str">
        <f t="shared" si="16"/>
        <v xml:space="preserve">Portland </v>
      </c>
      <c r="C319" s="1">
        <f t="shared" si="17"/>
        <v>0</v>
      </c>
      <c r="D319" s="2" t="str">
        <f t="shared" si="18"/>
        <v>2024-11</v>
      </c>
      <c r="E319" s="3" t="s">
        <v>318</v>
      </c>
      <c r="F319" s="4" t="s">
        <v>74</v>
      </c>
      <c r="G319" s="39">
        <v>45620</v>
      </c>
      <c r="H319" s="40">
        <v>-134</v>
      </c>
      <c r="I319" s="40">
        <v>114</v>
      </c>
      <c r="J319" s="7">
        <v>-110</v>
      </c>
      <c r="K319" s="8">
        <v>5.1253761984232933E-2</v>
      </c>
      <c r="L319" s="9">
        <v>2.6847208658407729E-2</v>
      </c>
      <c r="M319" s="10">
        <v>-122.54700854700857</v>
      </c>
      <c r="N319" s="11">
        <v>1.9090909090909092</v>
      </c>
      <c r="O319" s="12">
        <v>3353.223831134002</v>
      </c>
      <c r="P319" s="32" t="s">
        <v>143</v>
      </c>
      <c r="Q319" s="80" t="s">
        <v>76</v>
      </c>
      <c r="R319" s="79"/>
      <c r="S319" s="32"/>
      <c r="T319" s="32">
        <v>1650</v>
      </c>
      <c r="U319" s="32">
        <v>2903.8100000000004</v>
      </c>
      <c r="V319" s="74" t="s">
        <v>77</v>
      </c>
      <c r="W319" s="15"/>
      <c r="X319" s="15"/>
      <c r="Y319" s="16"/>
      <c r="Z319" s="17"/>
      <c r="AA319" s="18"/>
      <c r="AB319" s="75">
        <v>1500</v>
      </c>
      <c r="AC319" s="20">
        <v>84.568707273984344</v>
      </c>
      <c r="AD319" s="21">
        <v>45620</v>
      </c>
      <c r="AE319" s="22">
        <v>107434.47276820584</v>
      </c>
      <c r="AF319" s="23">
        <v>20452.645933333362</v>
      </c>
      <c r="AG319" s="24">
        <v>118952.64593333377</v>
      </c>
      <c r="AH319" s="15">
        <v>0.5</v>
      </c>
      <c r="AI319" s="76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77"/>
    </row>
    <row r="320" spans="1:68" ht="15" customHeight="1" x14ac:dyDescent="0.25">
      <c r="A320" s="1">
        <f t="shared" si="19"/>
        <v>132</v>
      </c>
      <c r="B320" s="1" t="str">
        <f t="shared" si="16"/>
        <v xml:space="preserve">Portland </v>
      </c>
      <c r="C320" s="1">
        <f t="shared" si="17"/>
        <v>0</v>
      </c>
      <c r="D320" s="2" t="str">
        <f t="shared" si="18"/>
        <v>2024-11</v>
      </c>
      <c r="E320" s="3" t="s">
        <v>318</v>
      </c>
      <c r="F320" s="4" t="s">
        <v>83</v>
      </c>
      <c r="G320" s="39">
        <v>45620</v>
      </c>
      <c r="H320" s="40">
        <v>-134</v>
      </c>
      <c r="I320" s="40">
        <v>114</v>
      </c>
      <c r="J320" s="7">
        <v>-110</v>
      </c>
      <c r="K320" s="8">
        <v>5.1253761984232933E-2</v>
      </c>
      <c r="L320" s="9">
        <v>2.6847208658407729E-2</v>
      </c>
      <c r="M320" s="10">
        <v>-122.54700854700857</v>
      </c>
      <c r="N320" s="11">
        <v>1.9090909090909092</v>
      </c>
      <c r="O320" s="12">
        <v>3395.5081847709939</v>
      </c>
      <c r="P320" s="32" t="s">
        <v>143</v>
      </c>
      <c r="Q320" s="81" t="s">
        <v>76</v>
      </c>
      <c r="R320" s="82"/>
      <c r="S320" s="32"/>
      <c r="T320" s="32">
        <v>0</v>
      </c>
      <c r="U320" s="32">
        <v>2288.35</v>
      </c>
      <c r="V320" s="74" t="s">
        <v>77</v>
      </c>
      <c r="W320" s="15"/>
      <c r="X320" s="15"/>
      <c r="Y320" s="16"/>
      <c r="Z320" s="17"/>
      <c r="AA320" s="18"/>
      <c r="AB320" s="75">
        <v>0</v>
      </c>
      <c r="AC320" s="20">
        <v>0</v>
      </c>
      <c r="AD320" s="21">
        <v>45620</v>
      </c>
      <c r="AE320" s="22">
        <v>107434.47276820584</v>
      </c>
      <c r="AF320" s="23">
        <v>20452.645933333362</v>
      </c>
      <c r="AG320" s="24">
        <v>120452.64593333377</v>
      </c>
      <c r="AH320" s="15">
        <v>0.5</v>
      </c>
      <c r="AI320" s="76"/>
      <c r="AJ320" s="76"/>
      <c r="AK320" s="76"/>
      <c r="AL320" s="76"/>
      <c r="AM320" s="76"/>
      <c r="AN320" s="76"/>
      <c r="AO320" s="76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6"/>
      <c r="BC320" s="76"/>
      <c r="BD320" s="77"/>
      <c r="BE320" s="77"/>
      <c r="BF320" s="77"/>
      <c r="BG320" s="77"/>
      <c r="BH320" s="76"/>
      <c r="BI320" s="76"/>
      <c r="BJ320" s="76"/>
      <c r="BK320" s="76"/>
      <c r="BL320" s="77"/>
      <c r="BM320" s="77"/>
      <c r="BN320" s="77"/>
      <c r="BO320" s="77"/>
      <c r="BP320" s="76"/>
    </row>
    <row r="321" spans="1:68" ht="15" customHeight="1" x14ac:dyDescent="0.25">
      <c r="A321" s="1">
        <f t="shared" si="19"/>
        <v>132</v>
      </c>
      <c r="B321" s="1" t="str">
        <f t="shared" si="16"/>
        <v xml:space="preserve">Portland </v>
      </c>
      <c r="C321" s="1">
        <f t="shared" si="17"/>
        <v>0</v>
      </c>
      <c r="D321" s="2" t="str">
        <f t="shared" si="18"/>
        <v>2024-11</v>
      </c>
      <c r="E321" s="3" t="s">
        <v>319</v>
      </c>
      <c r="F321" s="4" t="s">
        <v>74</v>
      </c>
      <c r="G321" s="39">
        <v>45620</v>
      </c>
      <c r="H321" s="40">
        <v>-157</v>
      </c>
      <c r="I321" s="40">
        <v>130</v>
      </c>
      <c r="J321" s="7">
        <v>-127</v>
      </c>
      <c r="K321" s="8">
        <v>4.4217292770453415E-2</v>
      </c>
      <c r="L321" s="9">
        <v>2.4738309171134731E-2</v>
      </c>
      <c r="M321" s="10">
        <v>-140.50583657587546</v>
      </c>
      <c r="N321" s="11">
        <v>1.7874015748031495</v>
      </c>
      <c r="O321" s="12">
        <v>3382.06709298334</v>
      </c>
      <c r="P321" s="32" t="s">
        <v>143</v>
      </c>
      <c r="Q321" s="81" t="s">
        <v>76</v>
      </c>
      <c r="R321" s="82"/>
      <c r="S321" s="32"/>
      <c r="T321" s="32">
        <v>1905</v>
      </c>
      <c r="U321" s="32">
        <v>3095</v>
      </c>
      <c r="V321" s="74" t="s">
        <v>77</v>
      </c>
      <c r="W321" s="15"/>
      <c r="X321" s="15"/>
      <c r="Y321" s="16"/>
      <c r="Z321" s="17"/>
      <c r="AA321" s="18"/>
      <c r="AB321" s="75">
        <v>1500</v>
      </c>
      <c r="AC321" s="20">
        <v>84.233942727713753</v>
      </c>
      <c r="AD321" s="21">
        <v>45620</v>
      </c>
      <c r="AE321" s="22">
        <v>107518.70671093356</v>
      </c>
      <c r="AF321" s="23">
        <v>21952.645933333362</v>
      </c>
      <c r="AG321" s="24">
        <v>120452.64593333377</v>
      </c>
      <c r="AH321" s="15">
        <v>0.5</v>
      </c>
      <c r="AI321" s="76"/>
      <c r="AJ321" s="76"/>
      <c r="AK321" s="76"/>
      <c r="AL321" s="76"/>
      <c r="AM321" s="76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76"/>
    </row>
    <row r="322" spans="1:68" ht="15" customHeight="1" x14ac:dyDescent="0.25">
      <c r="A322" s="1">
        <f t="shared" si="19"/>
        <v>132</v>
      </c>
      <c r="B322" s="1" t="str">
        <f t="shared" ref="B322:B385" si="20">LEFT(E322, FIND(" ", E322))</f>
        <v xml:space="preserve">Portland </v>
      </c>
      <c r="C322" s="1">
        <f t="shared" ref="C322:C385" si="21">IF(Q322="total", 1, 0)</f>
        <v>0</v>
      </c>
      <c r="D322" s="2" t="str">
        <f t="shared" ref="D322:D385" si="22">YEAR(G322)&amp;"-"&amp;IF(MONTH(G322)&lt;10, "0", "")&amp;MONTH(G322)</f>
        <v>2024-11</v>
      </c>
      <c r="E322" s="3" t="s">
        <v>319</v>
      </c>
      <c r="F322" s="4" t="s">
        <v>83</v>
      </c>
      <c r="G322" s="39">
        <v>45620</v>
      </c>
      <c r="H322" s="40">
        <v>-157</v>
      </c>
      <c r="I322" s="40">
        <v>130</v>
      </c>
      <c r="J322" s="7">
        <v>-127</v>
      </c>
      <c r="K322" s="8">
        <v>4.4217292770453415E-2</v>
      </c>
      <c r="L322" s="9">
        <v>2.4738309171134731E-2</v>
      </c>
      <c r="M322" s="10">
        <v>-140.50583657587546</v>
      </c>
      <c r="N322" s="11">
        <v>1.7874015748031495</v>
      </c>
      <c r="O322" s="12">
        <v>3424.1840643471969</v>
      </c>
      <c r="P322" s="32" t="s">
        <v>143</v>
      </c>
      <c r="Q322" s="81" t="s">
        <v>76</v>
      </c>
      <c r="R322" s="82"/>
      <c r="S322" s="32"/>
      <c r="T322" s="32">
        <v>0</v>
      </c>
      <c r="U322" s="32">
        <v>2635.94</v>
      </c>
      <c r="V322" s="74" t="s">
        <v>77</v>
      </c>
      <c r="W322" s="15"/>
      <c r="X322" s="15"/>
      <c r="Y322" s="16"/>
      <c r="Z322" s="17"/>
      <c r="AA322" s="18"/>
      <c r="AB322" s="75">
        <v>0</v>
      </c>
      <c r="AC322" s="20">
        <v>0</v>
      </c>
      <c r="AD322" s="21">
        <v>45620</v>
      </c>
      <c r="AE322" s="22">
        <v>107518.70671093356</v>
      </c>
      <c r="AF322" s="23">
        <v>21952.645933333362</v>
      </c>
      <c r="AG322" s="24">
        <v>121952.64593333377</v>
      </c>
      <c r="AH322" s="15">
        <v>0.5</v>
      </c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7"/>
      <c r="AU322" s="77"/>
      <c r="AV322" s="77"/>
      <c r="AW322" s="77"/>
      <c r="AX322" s="76"/>
      <c r="AY322" s="76"/>
      <c r="AZ322" s="76"/>
      <c r="BA322" s="76"/>
      <c r="BB322" s="76"/>
      <c r="BC322" s="76"/>
      <c r="BD322" s="77"/>
      <c r="BE322" s="77"/>
      <c r="BF322" s="77"/>
      <c r="BG322" s="77"/>
      <c r="BH322" s="76"/>
      <c r="BI322" s="76"/>
      <c r="BJ322" s="76"/>
      <c r="BK322" s="76"/>
      <c r="BL322" s="76"/>
      <c r="BM322" s="76"/>
      <c r="BN322" s="76"/>
      <c r="BO322" s="76"/>
      <c r="BP322" s="76"/>
    </row>
    <row r="323" spans="1:68" ht="15" customHeight="1" x14ac:dyDescent="0.25">
      <c r="A323" s="1">
        <f t="shared" si="19"/>
        <v>132</v>
      </c>
      <c r="B323" s="1" t="str">
        <f t="shared" si="20"/>
        <v xml:space="preserve">Portland </v>
      </c>
      <c r="C323" s="1">
        <f t="shared" si="21"/>
        <v>0</v>
      </c>
      <c r="D323" s="2" t="str">
        <f t="shared" si="22"/>
        <v>2024-11</v>
      </c>
      <c r="E323" s="3" t="s">
        <v>320</v>
      </c>
      <c r="F323" s="4" t="s">
        <v>74</v>
      </c>
      <c r="G323" s="39">
        <v>45620</v>
      </c>
      <c r="H323" s="40">
        <v>-164</v>
      </c>
      <c r="I323" s="40">
        <v>137</v>
      </c>
      <c r="J323" s="7">
        <v>-134</v>
      </c>
      <c r="K323" s="8">
        <v>3.9927225428291406E-2</v>
      </c>
      <c r="L323" s="9">
        <v>2.2864308578594228E-2</v>
      </c>
      <c r="M323" s="10">
        <v>-147.22727272727275</v>
      </c>
      <c r="N323" s="11">
        <v>1.7462686567164178</v>
      </c>
      <c r="O323" s="12">
        <v>3262.3846264570711</v>
      </c>
      <c r="P323" s="32" t="s">
        <v>143</v>
      </c>
      <c r="Q323" s="81" t="s">
        <v>76</v>
      </c>
      <c r="R323" s="82"/>
      <c r="S323" s="32"/>
      <c r="T323" s="32">
        <v>2010</v>
      </c>
      <c r="U323" s="32">
        <v>3515.3</v>
      </c>
      <c r="V323" s="74" t="s">
        <v>77</v>
      </c>
      <c r="W323" s="15"/>
      <c r="X323" s="15"/>
      <c r="Y323" s="16"/>
      <c r="Z323" s="17"/>
      <c r="AA323" s="18"/>
      <c r="AB323" s="75">
        <v>1500</v>
      </c>
      <c r="AC323" s="20">
        <v>80.253723110865721</v>
      </c>
      <c r="AD323" s="21">
        <v>45620</v>
      </c>
      <c r="AE323" s="22">
        <v>107598.96043404443</v>
      </c>
      <c r="AF323" s="23">
        <v>23452.645933333362</v>
      </c>
      <c r="AG323" s="24">
        <v>121952.64593333377</v>
      </c>
      <c r="AH323" s="15">
        <v>0.5</v>
      </c>
      <c r="AI323" s="76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77"/>
    </row>
    <row r="324" spans="1:68" ht="15" customHeight="1" x14ac:dyDescent="0.25">
      <c r="A324" s="1">
        <f t="shared" ref="A324:A387" si="23">IF(AND(B324=B323, C324=C323, G324=G323), A323, A323+1)</f>
        <v>132</v>
      </c>
      <c r="B324" s="1" t="str">
        <f t="shared" si="20"/>
        <v xml:space="preserve">Portland </v>
      </c>
      <c r="C324" s="1">
        <f t="shared" si="21"/>
        <v>0</v>
      </c>
      <c r="D324" s="2" t="str">
        <f t="shared" si="22"/>
        <v>2024-11</v>
      </c>
      <c r="E324" s="3" t="s">
        <v>320</v>
      </c>
      <c r="F324" s="4" t="s">
        <v>83</v>
      </c>
      <c r="G324" s="39">
        <v>45620</v>
      </c>
      <c r="H324" s="40">
        <v>-164</v>
      </c>
      <c r="I324" s="40">
        <v>137</v>
      </c>
      <c r="J324" s="7">
        <v>-134</v>
      </c>
      <c r="K324" s="8">
        <v>3.9927225428291406E-2</v>
      </c>
      <c r="L324" s="9">
        <v>2.2864308578594228E-2</v>
      </c>
      <c r="M324" s="10">
        <v>-147.22727272727275</v>
      </c>
      <c r="N324" s="11">
        <v>1.7462686567164178</v>
      </c>
      <c r="O324" s="12">
        <v>3302.5114880125043</v>
      </c>
      <c r="P324" s="32" t="s">
        <v>143</v>
      </c>
      <c r="Q324" s="81" t="s">
        <v>76</v>
      </c>
      <c r="R324" s="82"/>
      <c r="S324" s="32"/>
      <c r="T324" s="32">
        <v>0</v>
      </c>
      <c r="U324" s="32">
        <v>2776.53</v>
      </c>
      <c r="V324" s="74" t="s">
        <v>77</v>
      </c>
      <c r="W324" s="15"/>
      <c r="X324" s="15"/>
      <c r="Y324" s="16"/>
      <c r="Z324" s="17"/>
      <c r="AA324" s="18"/>
      <c r="AB324" s="75">
        <v>0</v>
      </c>
      <c r="AC324" s="20">
        <v>0</v>
      </c>
      <c r="AD324" s="21">
        <v>45620</v>
      </c>
      <c r="AE324" s="22">
        <v>107598.96043404443</v>
      </c>
      <c r="AF324" s="23">
        <v>23452.645933333362</v>
      </c>
      <c r="AG324" s="24">
        <v>123452.64593333377</v>
      </c>
      <c r="AH324" s="15">
        <v>0.5</v>
      </c>
      <c r="AI324" s="76"/>
      <c r="AJ324" s="77"/>
      <c r="AK324" s="77"/>
      <c r="AL324" s="77"/>
      <c r="AM324" s="77"/>
      <c r="AN324" s="76"/>
      <c r="AO324" s="76"/>
      <c r="AP324" s="77"/>
      <c r="AQ324" s="77"/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  <c r="BK324" s="77"/>
      <c r="BL324" s="77"/>
      <c r="BM324" s="77"/>
      <c r="BN324" s="77"/>
      <c r="BO324" s="77"/>
      <c r="BP324" s="76"/>
    </row>
    <row r="325" spans="1:68" ht="15" customHeight="1" x14ac:dyDescent="0.25">
      <c r="A325" s="1">
        <f t="shared" si="23"/>
        <v>132</v>
      </c>
      <c r="B325" s="1" t="str">
        <f t="shared" si="20"/>
        <v xml:space="preserve">Portland </v>
      </c>
      <c r="C325" s="1">
        <f t="shared" si="21"/>
        <v>0</v>
      </c>
      <c r="D325" s="2" t="str">
        <f t="shared" si="22"/>
        <v>2024-11</v>
      </c>
      <c r="E325" s="3" t="s">
        <v>321</v>
      </c>
      <c r="F325" s="4" t="s">
        <v>74</v>
      </c>
      <c r="G325" s="39">
        <v>45620</v>
      </c>
      <c r="H325" s="40">
        <v>-126</v>
      </c>
      <c r="I325" s="40">
        <v>106</v>
      </c>
      <c r="J325" s="7">
        <v>-106</v>
      </c>
      <c r="K325" s="8">
        <v>3.8858070121719164E-2</v>
      </c>
      <c r="L325" s="9">
        <v>1.9994929285933161E-2</v>
      </c>
      <c r="M325" s="10">
        <v>-114.84955752212393</v>
      </c>
      <c r="N325" s="11">
        <v>1.9433962264150944</v>
      </c>
      <c r="O325" s="12">
        <v>2542.4797333663032</v>
      </c>
      <c r="P325" s="32" t="s">
        <v>143</v>
      </c>
      <c r="Q325" s="81" t="s">
        <v>76</v>
      </c>
      <c r="R325" s="82"/>
      <c r="S325" s="32"/>
      <c r="T325" s="32">
        <v>1590</v>
      </c>
      <c r="U325" s="32">
        <v>2772.0699999999997</v>
      </c>
      <c r="V325" s="74" t="s">
        <v>77</v>
      </c>
      <c r="W325" s="15"/>
      <c r="X325" s="15"/>
      <c r="Y325" s="16"/>
      <c r="Z325" s="17"/>
      <c r="AA325" s="18"/>
      <c r="AB325" s="75">
        <v>1500</v>
      </c>
      <c r="AC325" s="20">
        <v>61.784331493533472</v>
      </c>
      <c r="AD325" s="21">
        <v>45620</v>
      </c>
      <c r="AE325" s="22">
        <v>107660.74476553797</v>
      </c>
      <c r="AF325" s="23">
        <v>24952.645933333362</v>
      </c>
      <c r="AG325" s="24">
        <v>123452.64593333377</v>
      </c>
      <c r="AH325" s="15">
        <v>0.5</v>
      </c>
      <c r="AI325" s="76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  <c r="BK325" s="77"/>
      <c r="BL325" s="77"/>
      <c r="BM325" s="77"/>
      <c r="BN325" s="77"/>
      <c r="BO325" s="77"/>
      <c r="BP325" s="77"/>
    </row>
    <row r="326" spans="1:68" ht="15" customHeight="1" x14ac:dyDescent="0.25">
      <c r="A326" s="1">
        <f t="shared" si="23"/>
        <v>132</v>
      </c>
      <c r="B326" s="1" t="str">
        <f t="shared" si="20"/>
        <v xml:space="preserve">Portland </v>
      </c>
      <c r="C326" s="1">
        <f t="shared" si="21"/>
        <v>0</v>
      </c>
      <c r="D326" s="2" t="str">
        <f t="shared" si="22"/>
        <v>2024-11</v>
      </c>
      <c r="E326" s="3" t="s">
        <v>321</v>
      </c>
      <c r="F326" s="4" t="s">
        <v>83</v>
      </c>
      <c r="G326" s="39">
        <v>45620</v>
      </c>
      <c r="H326" s="40">
        <v>-126</v>
      </c>
      <c r="I326" s="40">
        <v>106</v>
      </c>
      <c r="J326" s="7">
        <v>-106</v>
      </c>
      <c r="K326" s="8">
        <v>3.8858070121719164E-2</v>
      </c>
      <c r="L326" s="9">
        <v>1.9994929285933161E-2</v>
      </c>
      <c r="M326" s="10">
        <v>-114.84955752212393</v>
      </c>
      <c r="N326" s="11">
        <v>1.9433962264150944</v>
      </c>
      <c r="O326" s="12">
        <v>2573.37189911307</v>
      </c>
      <c r="P326" s="32" t="s">
        <v>143</v>
      </c>
      <c r="Q326" s="81" t="s">
        <v>76</v>
      </c>
      <c r="R326" s="82"/>
      <c r="S326" s="32"/>
      <c r="T326" s="32">
        <v>0</v>
      </c>
      <c r="U326" s="32">
        <v>2192</v>
      </c>
      <c r="V326" s="74" t="s">
        <v>77</v>
      </c>
      <c r="W326" s="15"/>
      <c r="X326" s="15"/>
      <c r="Y326" s="16"/>
      <c r="Z326" s="17"/>
      <c r="AA326" s="18"/>
      <c r="AB326" s="75">
        <v>0</v>
      </c>
      <c r="AC326" s="20">
        <v>0</v>
      </c>
      <c r="AD326" s="21">
        <v>45620</v>
      </c>
      <c r="AE326" s="22">
        <v>107660.74476553797</v>
      </c>
      <c r="AF326" s="23">
        <v>24952.645933333362</v>
      </c>
      <c r="AG326" s="24">
        <v>124952.64593333377</v>
      </c>
      <c r="AH326" s="15">
        <v>0.5</v>
      </c>
      <c r="AI326" s="76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7"/>
      <c r="BN326" s="77"/>
      <c r="BO326" s="77"/>
      <c r="BP326" s="77"/>
    </row>
    <row r="327" spans="1:68" ht="15" customHeight="1" x14ac:dyDescent="0.25">
      <c r="A327" s="1">
        <f t="shared" si="23"/>
        <v>132</v>
      </c>
      <c r="B327" s="1" t="str">
        <f t="shared" si="20"/>
        <v xml:space="preserve">Portland </v>
      </c>
      <c r="C327" s="1">
        <f t="shared" si="21"/>
        <v>0</v>
      </c>
      <c r="D327" s="2" t="str">
        <f t="shared" si="22"/>
        <v>2024-11</v>
      </c>
      <c r="E327" s="3" t="s">
        <v>322</v>
      </c>
      <c r="F327" s="4" t="s">
        <v>74</v>
      </c>
      <c r="G327" s="39">
        <v>45620</v>
      </c>
      <c r="H327" s="40">
        <v>-117</v>
      </c>
      <c r="I327" s="40">
        <v>-101</v>
      </c>
      <c r="J327" s="7">
        <v>102</v>
      </c>
      <c r="K327" s="8">
        <v>4.5568076770700384E-2</v>
      </c>
      <c r="L327" s="9">
        <v>2.2558453846881377E-2</v>
      </c>
      <c r="M327" s="10">
        <v>-107.30026919742666</v>
      </c>
      <c r="N327" s="11">
        <v>2.02</v>
      </c>
      <c r="O327" s="12">
        <v>2791.1038051923019</v>
      </c>
      <c r="P327" s="32" t="s">
        <v>143</v>
      </c>
      <c r="Q327" s="81" t="s">
        <v>76</v>
      </c>
      <c r="R327" s="82"/>
      <c r="S327" s="32"/>
      <c r="T327" s="32">
        <v>1500</v>
      </c>
      <c r="U327" s="32">
        <v>2562.75</v>
      </c>
      <c r="V327" s="74" t="s">
        <v>77</v>
      </c>
      <c r="W327" s="15"/>
      <c r="X327" s="15"/>
      <c r="Y327" s="16"/>
      <c r="Z327" s="17"/>
      <c r="AA327" s="18"/>
      <c r="AB327" s="75">
        <v>1530</v>
      </c>
      <c r="AC327" s="20">
        <v>68.352115156050573</v>
      </c>
      <c r="AD327" s="21">
        <v>45620</v>
      </c>
      <c r="AE327" s="22">
        <v>107729.09688069402</v>
      </c>
      <c r="AF327" s="23">
        <v>26482.645933333362</v>
      </c>
      <c r="AG327" s="24">
        <v>124952.64593333377</v>
      </c>
      <c r="AH327" s="15">
        <v>0.5</v>
      </c>
      <c r="AI327" s="76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77"/>
    </row>
    <row r="328" spans="1:68" ht="15" customHeight="1" x14ac:dyDescent="0.25">
      <c r="A328" s="1">
        <f t="shared" si="23"/>
        <v>132</v>
      </c>
      <c r="B328" s="1" t="str">
        <f t="shared" si="20"/>
        <v xml:space="preserve">Portland </v>
      </c>
      <c r="C328" s="1">
        <f t="shared" si="21"/>
        <v>0</v>
      </c>
      <c r="D328" s="2" t="str">
        <f t="shared" si="22"/>
        <v>2024-11</v>
      </c>
      <c r="E328" s="3" t="s">
        <v>322</v>
      </c>
      <c r="F328" s="4" t="s">
        <v>83</v>
      </c>
      <c r="G328" s="39">
        <v>45620</v>
      </c>
      <c r="H328" s="40">
        <v>-117</v>
      </c>
      <c r="I328" s="40">
        <v>-101</v>
      </c>
      <c r="J328" s="7">
        <v>102</v>
      </c>
      <c r="K328" s="8">
        <v>4.5568076770700384E-2</v>
      </c>
      <c r="L328" s="9">
        <v>2.2558453846881377E-2</v>
      </c>
      <c r="M328" s="10">
        <v>-107.30026919742666</v>
      </c>
      <c r="N328" s="11">
        <v>2.02</v>
      </c>
      <c r="O328" s="12">
        <v>2825.2798627703273</v>
      </c>
      <c r="P328" s="32" t="s">
        <v>143</v>
      </c>
      <c r="Q328" s="81" t="s">
        <v>76</v>
      </c>
      <c r="R328" s="82"/>
      <c r="S328" s="32"/>
      <c r="T328" s="32">
        <v>0</v>
      </c>
      <c r="U328" s="32">
        <v>2041.56</v>
      </c>
      <c r="V328" s="74" t="s">
        <v>77</v>
      </c>
      <c r="W328" s="15"/>
      <c r="X328" s="15"/>
      <c r="Y328" s="16"/>
      <c r="Z328" s="17"/>
      <c r="AA328" s="18"/>
      <c r="AB328" s="75">
        <v>0</v>
      </c>
      <c r="AC328" s="20">
        <v>0</v>
      </c>
      <c r="AD328" s="21">
        <v>45620</v>
      </c>
      <c r="AE328" s="22">
        <v>107729.09688069402</v>
      </c>
      <c r="AF328" s="23">
        <v>26482.645933333362</v>
      </c>
      <c r="AG328" s="24">
        <v>126482.64593333377</v>
      </c>
      <c r="AH328" s="15">
        <v>0.5</v>
      </c>
      <c r="AI328" s="76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  <c r="BK328" s="77"/>
      <c r="BL328" s="77"/>
      <c r="BM328" s="77"/>
      <c r="BN328" s="77"/>
      <c r="BO328" s="77"/>
      <c r="BP328" s="77"/>
    </row>
    <row r="329" spans="1:68" ht="15" customHeight="1" x14ac:dyDescent="0.25">
      <c r="A329" s="1">
        <f t="shared" si="23"/>
        <v>133</v>
      </c>
      <c r="B329" s="1" t="str">
        <f t="shared" si="20"/>
        <v xml:space="preserve">Raptors </v>
      </c>
      <c r="C329" s="1">
        <f t="shared" si="21"/>
        <v>0</v>
      </c>
      <c r="D329" s="2" t="str">
        <f t="shared" si="22"/>
        <v>2024-11</v>
      </c>
      <c r="E329" s="3" t="s">
        <v>241</v>
      </c>
      <c r="F329" s="4" t="s">
        <v>74</v>
      </c>
      <c r="G329" s="39">
        <v>45620</v>
      </c>
      <c r="H329" s="40">
        <v>276</v>
      </c>
      <c r="I329" s="40">
        <v>-335</v>
      </c>
      <c r="J329" s="7">
        <v>390</v>
      </c>
      <c r="K329" s="8">
        <v>0.25781895432550456</v>
      </c>
      <c r="L329" s="9">
        <v>5.2616113127653991E-2</v>
      </c>
      <c r="M329" s="10">
        <v>289.56321839080459</v>
      </c>
      <c r="N329" s="11">
        <v>4.9000000000000004</v>
      </c>
      <c r="O329" s="12">
        <v>4140.3509774467248</v>
      </c>
      <c r="P329" s="32" t="s">
        <v>75</v>
      </c>
      <c r="Q329" s="81" t="s">
        <v>81</v>
      </c>
      <c r="R329" s="82"/>
      <c r="S329" s="32"/>
      <c r="T329" s="32">
        <v>265.63499999999999</v>
      </c>
      <c r="U329" s="32">
        <v>265.63499999999999</v>
      </c>
      <c r="V329" s="74" t="s">
        <v>82</v>
      </c>
      <c r="W329" s="15"/>
      <c r="X329" s="15"/>
      <c r="Y329" s="16"/>
      <c r="Z329" s="17"/>
      <c r="AA329" s="18"/>
      <c r="AB329" s="75">
        <v>-265.63499999999999</v>
      </c>
      <c r="AC329" s="20">
        <v>68.485737932255404</v>
      </c>
      <c r="AD329" s="21">
        <v>45620</v>
      </c>
      <c r="AE329" s="22">
        <v>106567.23525556737</v>
      </c>
      <c r="AF329" s="23">
        <v>24995.665933333363</v>
      </c>
      <c r="AG329" s="24">
        <v>125261.30093333374</v>
      </c>
      <c r="AH329" s="15">
        <v>0.5</v>
      </c>
      <c r="AI329" s="76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  <c r="BK329" s="77"/>
      <c r="BL329" s="77"/>
      <c r="BM329" s="77"/>
      <c r="BN329" s="77"/>
      <c r="BO329" s="77"/>
      <c r="BP329" s="77"/>
    </row>
    <row r="330" spans="1:68" ht="15" customHeight="1" x14ac:dyDescent="0.25">
      <c r="A330" s="1">
        <f t="shared" si="23"/>
        <v>133</v>
      </c>
      <c r="B330" s="1" t="str">
        <f t="shared" si="20"/>
        <v xml:space="preserve">Raptors </v>
      </c>
      <c r="C330" s="1">
        <f t="shared" si="21"/>
        <v>0</v>
      </c>
      <c r="D330" s="2" t="str">
        <f t="shared" si="22"/>
        <v>2024-11</v>
      </c>
      <c r="E330" s="3" t="s">
        <v>241</v>
      </c>
      <c r="F330" s="4" t="s">
        <v>83</v>
      </c>
      <c r="G330" s="39">
        <v>45620</v>
      </c>
      <c r="H330" s="40">
        <v>276</v>
      </c>
      <c r="I330" s="40">
        <v>-335</v>
      </c>
      <c r="J330" s="7">
        <v>390</v>
      </c>
      <c r="K330" s="8">
        <v>0.25781895432550456</v>
      </c>
      <c r="L330" s="9">
        <v>5.2616113127653991E-2</v>
      </c>
      <c r="M330" s="10">
        <v>289.56321839080459</v>
      </c>
      <c r="N330" s="11">
        <v>4.9000000000000004</v>
      </c>
      <c r="O330" s="12">
        <v>4131.5707546348967</v>
      </c>
      <c r="P330" s="32" t="s">
        <v>75</v>
      </c>
      <c r="Q330" s="81" t="s">
        <v>81</v>
      </c>
      <c r="R330" s="82"/>
      <c r="S330" s="32"/>
      <c r="T330" s="32">
        <v>133.48500000000001</v>
      </c>
      <c r="U330" s="32">
        <v>133.48500000000001</v>
      </c>
      <c r="V330" s="74" t="s">
        <v>82</v>
      </c>
      <c r="W330" s="15"/>
      <c r="X330" s="15"/>
      <c r="Y330" s="16"/>
      <c r="Z330" s="17"/>
      <c r="AA330" s="18"/>
      <c r="AB330" s="75">
        <v>-133.48500000000001</v>
      </c>
      <c r="AC330" s="20">
        <v>34.41496311813998</v>
      </c>
      <c r="AD330" s="21">
        <v>45620</v>
      </c>
      <c r="AE330" s="22">
        <v>106601.65021868551</v>
      </c>
      <c r="AF330" s="23">
        <v>24862.180933333362</v>
      </c>
      <c r="AG330" s="24">
        <v>124995.66593333374</v>
      </c>
      <c r="AH330" s="15">
        <v>0.5</v>
      </c>
      <c r="AI330" s="76"/>
      <c r="AJ330" s="77"/>
      <c r="AK330" s="77"/>
      <c r="AL330" s="77"/>
      <c r="AM330" s="77"/>
      <c r="AN330" s="76"/>
      <c r="AO330" s="76"/>
      <c r="AP330" s="76"/>
      <c r="AQ330" s="76"/>
      <c r="AR330" s="76"/>
      <c r="AS330" s="76"/>
      <c r="AT330" s="77"/>
      <c r="AU330" s="77"/>
      <c r="AV330" s="77"/>
      <c r="AW330" s="77"/>
      <c r="AX330" s="76"/>
      <c r="AY330" s="76"/>
      <c r="AZ330" s="76"/>
      <c r="BA330" s="76"/>
      <c r="BB330" s="76"/>
      <c r="BC330" s="76"/>
      <c r="BD330" s="77"/>
      <c r="BE330" s="77"/>
      <c r="BF330" s="77"/>
      <c r="BG330" s="77"/>
      <c r="BH330" s="77"/>
      <c r="BI330" s="77"/>
      <c r="BJ330" s="77"/>
      <c r="BK330" s="77"/>
      <c r="BL330" s="77"/>
      <c r="BM330" s="77"/>
      <c r="BN330" s="77"/>
      <c r="BO330" s="77"/>
      <c r="BP330" s="77"/>
    </row>
    <row r="331" spans="1:68" ht="15" customHeight="1" x14ac:dyDescent="0.25">
      <c r="A331" s="1">
        <f t="shared" si="23"/>
        <v>133</v>
      </c>
      <c r="B331" s="1" t="str">
        <f t="shared" si="20"/>
        <v xml:space="preserve">Raptors </v>
      </c>
      <c r="C331" s="1">
        <f t="shared" si="21"/>
        <v>0</v>
      </c>
      <c r="D331" s="2" t="str">
        <f t="shared" si="22"/>
        <v>2024-11</v>
      </c>
      <c r="E331" s="3" t="s">
        <v>323</v>
      </c>
      <c r="F331" s="4" t="s">
        <v>74</v>
      </c>
      <c r="G331" s="39">
        <v>45620</v>
      </c>
      <c r="H331" s="40">
        <v>181</v>
      </c>
      <c r="I331" s="40">
        <v>-209</v>
      </c>
      <c r="J331" s="7">
        <v>225</v>
      </c>
      <c r="K331" s="8">
        <v>0.12045208582043762</v>
      </c>
      <c r="L331" s="9">
        <v>3.7062180252442345E-2</v>
      </c>
      <c r="M331" s="10">
        <v>190.06148867313914</v>
      </c>
      <c r="N331" s="11">
        <v>3.25</v>
      </c>
      <c r="O331" s="12">
        <v>3342.2022518908725</v>
      </c>
      <c r="P331" s="32" t="s">
        <v>75</v>
      </c>
      <c r="Q331" s="80" t="s">
        <v>81</v>
      </c>
      <c r="R331" s="82"/>
      <c r="S331" s="32"/>
      <c r="T331" s="32">
        <v>345.33</v>
      </c>
      <c r="U331" s="32">
        <v>345.33</v>
      </c>
      <c r="V331" s="74" t="s">
        <v>77</v>
      </c>
      <c r="W331" s="15"/>
      <c r="X331" s="15"/>
      <c r="Y331" s="16"/>
      <c r="Z331" s="17"/>
      <c r="AA331" s="18"/>
      <c r="AB331" s="75">
        <v>776.99</v>
      </c>
      <c r="AC331" s="20">
        <v>41.59571879637172</v>
      </c>
      <c r="AD331" s="21">
        <v>45620</v>
      </c>
      <c r="AE331" s="22">
        <v>106643.24593748187</v>
      </c>
      <c r="AF331" s="23">
        <v>25639.170933333364</v>
      </c>
      <c r="AG331" s="24">
        <v>124862.18093333374</v>
      </c>
      <c r="AH331" s="15">
        <v>0.5</v>
      </c>
      <c r="AI331" s="76"/>
      <c r="AJ331" s="77"/>
      <c r="AK331" s="77"/>
      <c r="AL331" s="77"/>
      <c r="AM331" s="77"/>
      <c r="AN331" s="76"/>
      <c r="AO331" s="76"/>
      <c r="AP331" s="77"/>
      <c r="AQ331" s="77"/>
      <c r="AR331" s="77"/>
      <c r="AS331" s="77"/>
      <c r="AT331" s="77"/>
      <c r="AU331" s="77"/>
      <c r="AV331" s="77"/>
      <c r="AW331" s="77"/>
      <c r="AX331" s="76"/>
      <c r="AY331" s="76"/>
      <c r="AZ331" s="76"/>
      <c r="BA331" s="76"/>
      <c r="BB331" s="77"/>
      <c r="BC331" s="77"/>
      <c r="BD331" s="77"/>
      <c r="BE331" s="77"/>
      <c r="BF331" s="77"/>
      <c r="BG331" s="77"/>
      <c r="BH331" s="77"/>
      <c r="BI331" s="77"/>
      <c r="BJ331" s="77"/>
      <c r="BK331" s="77"/>
      <c r="BL331" s="77"/>
      <c r="BM331" s="77"/>
      <c r="BN331" s="77"/>
      <c r="BO331" s="77"/>
      <c r="BP331" s="76"/>
    </row>
    <row r="332" spans="1:68" ht="15" customHeight="1" x14ac:dyDescent="0.25">
      <c r="A332" s="1">
        <f t="shared" si="23"/>
        <v>133</v>
      </c>
      <c r="B332" s="1" t="str">
        <f t="shared" si="20"/>
        <v xml:space="preserve">Raptors </v>
      </c>
      <c r="C332" s="1">
        <f t="shared" si="21"/>
        <v>0</v>
      </c>
      <c r="D332" s="2" t="str">
        <f t="shared" si="22"/>
        <v>2024-11</v>
      </c>
      <c r="E332" s="3" t="s">
        <v>323</v>
      </c>
      <c r="F332" s="4" t="s">
        <v>83</v>
      </c>
      <c r="G332" s="39">
        <v>45620</v>
      </c>
      <c r="H332" s="40">
        <v>181</v>
      </c>
      <c r="I332" s="40">
        <v>-209</v>
      </c>
      <c r="J332" s="7">
        <v>225</v>
      </c>
      <c r="K332" s="8">
        <v>0.12045208582043762</v>
      </c>
      <c r="L332" s="9">
        <v>3.7062180252442345E-2</v>
      </c>
      <c r="M332" s="10">
        <v>190.06148867313914</v>
      </c>
      <c r="N332" s="11">
        <v>3.25</v>
      </c>
      <c r="O332" s="12">
        <v>3363.0000443712333</v>
      </c>
      <c r="P332" s="32" t="s">
        <v>75</v>
      </c>
      <c r="Q332" s="80" t="s">
        <v>81</v>
      </c>
      <c r="R332" s="82"/>
      <c r="S332" s="32"/>
      <c r="T332" s="32">
        <v>173.53</v>
      </c>
      <c r="U332" s="32">
        <v>173.53</v>
      </c>
      <c r="V332" s="74" t="s">
        <v>77</v>
      </c>
      <c r="W332" s="15"/>
      <c r="X332" s="15"/>
      <c r="Y332" s="16"/>
      <c r="Z332" s="17"/>
      <c r="AA332" s="18"/>
      <c r="AB332" s="75">
        <v>390.44</v>
      </c>
      <c r="AC332" s="20">
        <v>20.902050452420539</v>
      </c>
      <c r="AD332" s="21">
        <v>45620</v>
      </c>
      <c r="AE332" s="22">
        <v>106664.1479879343</v>
      </c>
      <c r="AF332" s="23">
        <v>26029.610933333362</v>
      </c>
      <c r="AG332" s="24">
        <v>125639.17093333375</v>
      </c>
      <c r="AH332" s="15">
        <v>0.5</v>
      </c>
      <c r="AI332" s="76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/>
      <c r="BN332" s="77"/>
      <c r="BO332" s="77"/>
      <c r="BP332" s="77"/>
    </row>
    <row r="333" spans="1:68" ht="15" customHeight="1" x14ac:dyDescent="0.25">
      <c r="A333" s="1">
        <f t="shared" si="23"/>
        <v>134</v>
      </c>
      <c r="B333" s="1" t="str">
        <f t="shared" si="20"/>
        <v xml:space="preserve">St </v>
      </c>
      <c r="C333" s="1">
        <f t="shared" si="21"/>
        <v>0</v>
      </c>
      <c r="D333" s="2" t="str">
        <f t="shared" si="22"/>
        <v>2024-11</v>
      </c>
      <c r="E333" s="96" t="s">
        <v>324</v>
      </c>
      <c r="F333" s="4" t="s">
        <v>74</v>
      </c>
      <c r="G333" s="39">
        <v>45620</v>
      </c>
      <c r="H333" s="40">
        <v>-133</v>
      </c>
      <c r="I333" s="40">
        <v>109</v>
      </c>
      <c r="J333" s="7">
        <v>100</v>
      </c>
      <c r="K333" s="8">
        <v>8.8009080767950998E-2</v>
      </c>
      <c r="L333" s="9">
        <v>4.4004540383975499E-2</v>
      </c>
      <c r="M333" s="10">
        <v>-119.30042918454932</v>
      </c>
      <c r="N333" s="11">
        <v>2</v>
      </c>
      <c r="O333" s="12">
        <v>5696.6793238565961</v>
      </c>
      <c r="P333" s="32" t="s">
        <v>143</v>
      </c>
      <c r="Q333" s="81" t="s">
        <v>76</v>
      </c>
      <c r="R333" s="82"/>
      <c r="S333" s="32"/>
      <c r="T333" s="32">
        <v>1500</v>
      </c>
      <c r="U333" s="32">
        <v>2643.9700000000003</v>
      </c>
      <c r="V333" s="74" t="s">
        <v>88</v>
      </c>
      <c r="W333" s="15"/>
      <c r="X333" s="15"/>
      <c r="Y333" s="16"/>
      <c r="Z333" s="17"/>
      <c r="AA333" s="18"/>
      <c r="AB333" s="75" t="s">
        <v>89</v>
      </c>
      <c r="AC333" s="20">
        <v>132.01362115192649</v>
      </c>
      <c r="AD333" s="21">
        <v>45620</v>
      </c>
      <c r="AE333" s="22">
        <v>108247.87607262305</v>
      </c>
      <c r="AF333" s="23">
        <v>29456.625933333362</v>
      </c>
      <c r="AG333" s="24">
        <v>129456.62593333378</v>
      </c>
      <c r="AH333" s="15">
        <v>0.5</v>
      </c>
      <c r="AI333" s="76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  <c r="BK333" s="77"/>
      <c r="BL333" s="77"/>
      <c r="BM333" s="77"/>
      <c r="BN333" s="77"/>
      <c r="BO333" s="77"/>
      <c r="BP333" s="77"/>
    </row>
    <row r="334" spans="1:68" ht="15" customHeight="1" x14ac:dyDescent="0.25">
      <c r="A334" s="1">
        <f t="shared" si="23"/>
        <v>134</v>
      </c>
      <c r="B334" s="1" t="str">
        <f t="shared" si="20"/>
        <v xml:space="preserve">St </v>
      </c>
      <c r="C334" s="1">
        <f t="shared" si="21"/>
        <v>0</v>
      </c>
      <c r="D334" s="2" t="str">
        <f t="shared" si="22"/>
        <v>2024-11</v>
      </c>
      <c r="E334" s="96" t="s">
        <v>325</v>
      </c>
      <c r="F334" s="4" t="s">
        <v>74</v>
      </c>
      <c r="G334" s="39">
        <v>45620</v>
      </c>
      <c r="H334" s="40">
        <v>-105</v>
      </c>
      <c r="I334" s="40">
        <v>-109</v>
      </c>
      <c r="J334" s="7">
        <v>114</v>
      </c>
      <c r="K334" s="8">
        <v>6.0336419056220371E-2</v>
      </c>
      <c r="L334" s="9">
        <v>2.8194588344028215E-2</v>
      </c>
      <c r="M334" s="10">
        <v>101.82273866484391</v>
      </c>
      <c r="N334" s="11">
        <v>2.1399999999999997</v>
      </c>
      <c r="O334" s="12">
        <v>3425.8549262798224</v>
      </c>
      <c r="P334" s="32" t="s">
        <v>143</v>
      </c>
      <c r="Q334" s="81" t="s">
        <v>76</v>
      </c>
      <c r="R334" s="82"/>
      <c r="S334" s="32"/>
      <c r="T334" s="32">
        <v>1500</v>
      </c>
      <c r="U334" s="32">
        <v>2135.06</v>
      </c>
      <c r="V334" s="74" t="s">
        <v>82</v>
      </c>
      <c r="W334" s="15"/>
      <c r="X334" s="15"/>
      <c r="Y334" s="16"/>
      <c r="Z334" s="17"/>
      <c r="AA334" s="18"/>
      <c r="AB334" s="75">
        <v>-1500</v>
      </c>
      <c r="AC334" s="20">
        <v>90.504628584330561</v>
      </c>
      <c r="AD334" s="21">
        <v>45620</v>
      </c>
      <c r="AE334" s="22">
        <v>108338.38070120738</v>
      </c>
      <c r="AF334" s="23">
        <v>27956.625933333362</v>
      </c>
      <c r="AG334" s="24">
        <v>129456.62593333378</v>
      </c>
      <c r="AH334" s="15">
        <v>0.5</v>
      </c>
      <c r="AI334" s="76"/>
      <c r="AJ334" s="77"/>
      <c r="AK334" s="77"/>
      <c r="AL334" s="77"/>
      <c r="AM334" s="77"/>
      <c r="AN334" s="76"/>
      <c r="AO334" s="76"/>
      <c r="AP334" s="77"/>
      <c r="AQ334" s="77"/>
      <c r="AR334" s="77"/>
      <c r="AS334" s="77"/>
      <c r="AT334" s="77"/>
      <c r="AU334" s="77"/>
      <c r="AV334" s="77"/>
      <c r="AW334" s="77"/>
      <c r="AX334" s="76"/>
      <c r="AY334" s="76"/>
      <c r="AZ334" s="76"/>
      <c r="BA334" s="76"/>
      <c r="BB334" s="76"/>
      <c r="BC334" s="76"/>
      <c r="BD334" s="77"/>
      <c r="BE334" s="77"/>
      <c r="BF334" s="77"/>
      <c r="BG334" s="77"/>
      <c r="BH334" s="77"/>
      <c r="BI334" s="77"/>
      <c r="BJ334" s="77"/>
      <c r="BK334" s="77"/>
      <c r="BL334" s="77"/>
      <c r="BM334" s="77"/>
      <c r="BN334" s="77"/>
      <c r="BO334" s="77"/>
      <c r="BP334" s="76"/>
    </row>
    <row r="335" spans="1:68" ht="15" customHeight="1" x14ac:dyDescent="0.25">
      <c r="A335" s="1">
        <f t="shared" si="23"/>
        <v>134</v>
      </c>
      <c r="B335" s="1" t="str">
        <f t="shared" si="20"/>
        <v xml:space="preserve">St </v>
      </c>
      <c r="C335" s="1">
        <f t="shared" si="21"/>
        <v>0</v>
      </c>
      <c r="D335" s="2" t="str">
        <f t="shared" si="22"/>
        <v>2024-11</v>
      </c>
      <c r="E335" s="96" t="s">
        <v>326</v>
      </c>
      <c r="F335" s="4" t="s">
        <v>74</v>
      </c>
      <c r="G335" s="39">
        <v>45620</v>
      </c>
      <c r="H335" s="40">
        <v>-135</v>
      </c>
      <c r="I335" s="40">
        <v>116</v>
      </c>
      <c r="J335" s="7">
        <v>-108</v>
      </c>
      <c r="K335" s="8">
        <v>6.6464109380934333E-2</v>
      </c>
      <c r="L335" s="9">
        <v>3.4510210640100514E-2</v>
      </c>
      <c r="M335" s="10">
        <v>-124.08510638297869</v>
      </c>
      <c r="N335" s="11">
        <v>1.925925925925926</v>
      </c>
      <c r="O335" s="12">
        <v>4592.442518306133</v>
      </c>
      <c r="P335" s="32" t="s">
        <v>143</v>
      </c>
      <c r="Q335" s="81" t="s">
        <v>76</v>
      </c>
      <c r="R335" s="82"/>
      <c r="S335" s="32"/>
      <c r="T335" s="32">
        <v>1620</v>
      </c>
      <c r="U335" s="32">
        <v>2835.88</v>
      </c>
      <c r="V335" s="74" t="s">
        <v>77</v>
      </c>
      <c r="W335" s="15"/>
      <c r="X335" s="15"/>
      <c r="Y335" s="16"/>
      <c r="Z335" s="17"/>
      <c r="AA335" s="18"/>
      <c r="AB335" s="75">
        <v>1500</v>
      </c>
      <c r="AC335" s="20">
        <v>107.67185719711362</v>
      </c>
      <c r="AD335" s="21">
        <v>45620</v>
      </c>
      <c r="AE335" s="22">
        <v>108446.0525584045</v>
      </c>
      <c r="AF335" s="23">
        <v>29456.625933333362</v>
      </c>
      <c r="AG335" s="24">
        <v>127956.62593333378</v>
      </c>
      <c r="AH335" s="15">
        <v>0.5</v>
      </c>
      <c r="AI335" s="76"/>
      <c r="AJ335" s="77"/>
      <c r="AK335" s="77"/>
      <c r="AL335" s="77"/>
      <c r="AM335" s="77"/>
      <c r="AN335" s="76"/>
      <c r="AO335" s="76"/>
      <c r="AP335" s="77"/>
      <c r="AQ335" s="77"/>
      <c r="AR335" s="77"/>
      <c r="AS335" s="77"/>
      <c r="AT335" s="77"/>
      <c r="AU335" s="77"/>
      <c r="AV335" s="77"/>
      <c r="AW335" s="77"/>
      <c r="AX335" s="76"/>
      <c r="AY335" s="76"/>
      <c r="AZ335" s="76"/>
      <c r="BA335" s="76"/>
      <c r="BB335" s="76"/>
      <c r="BC335" s="76"/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76"/>
    </row>
    <row r="336" spans="1:68" ht="15" customHeight="1" x14ac:dyDescent="0.25">
      <c r="A336" s="1">
        <f t="shared" si="23"/>
        <v>134</v>
      </c>
      <c r="B336" s="1" t="str">
        <f t="shared" si="20"/>
        <v xml:space="preserve">St </v>
      </c>
      <c r="C336" s="1">
        <f t="shared" si="21"/>
        <v>0</v>
      </c>
      <c r="D336" s="2" t="str">
        <f t="shared" si="22"/>
        <v>2024-11</v>
      </c>
      <c r="E336" s="96" t="s">
        <v>327</v>
      </c>
      <c r="F336" s="4" t="s">
        <v>74</v>
      </c>
      <c r="G336" s="39">
        <v>45620</v>
      </c>
      <c r="H336" s="40">
        <v>-115</v>
      </c>
      <c r="I336" s="40">
        <v>100</v>
      </c>
      <c r="J336" s="7">
        <v>106</v>
      </c>
      <c r="K336" s="8">
        <v>6.4719101123595579E-2</v>
      </c>
      <c r="L336" s="9">
        <v>3.1417039380386202E-2</v>
      </c>
      <c r="M336" s="10">
        <v>-106.97674418604653</v>
      </c>
      <c r="N336" s="11">
        <v>2.06</v>
      </c>
      <c r="O336" s="12">
        <v>3952.0360683485446</v>
      </c>
      <c r="P336" s="32" t="s">
        <v>143</v>
      </c>
      <c r="Q336" s="81" t="s">
        <v>76</v>
      </c>
      <c r="R336" s="82"/>
      <c r="S336" s="32"/>
      <c r="T336" s="32">
        <v>1500</v>
      </c>
      <c r="U336" s="32">
        <v>2409.41</v>
      </c>
      <c r="V336" s="74" t="s">
        <v>82</v>
      </c>
      <c r="W336" s="15"/>
      <c r="X336" s="15"/>
      <c r="Y336" s="16"/>
      <c r="Z336" s="17"/>
      <c r="AA336" s="18"/>
      <c r="AB336" s="75">
        <v>-1500</v>
      </c>
      <c r="AC336" s="20">
        <v>97.078651685393368</v>
      </c>
      <c r="AD336" s="21">
        <v>45620</v>
      </c>
      <c r="AE336" s="22">
        <v>108543.13121008989</v>
      </c>
      <c r="AF336" s="23">
        <v>27956.625933333362</v>
      </c>
      <c r="AG336" s="24">
        <v>129456.62593333378</v>
      </c>
      <c r="AH336" s="15">
        <v>0.5</v>
      </c>
      <c r="AI336" s="76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77"/>
    </row>
    <row r="337" spans="1:68" ht="15" customHeight="1" x14ac:dyDescent="0.25">
      <c r="A337" s="1">
        <f t="shared" si="23"/>
        <v>135</v>
      </c>
      <c r="B337" s="1" t="str">
        <f t="shared" si="20"/>
        <v xml:space="preserve">Timberwolves </v>
      </c>
      <c r="C337" s="1">
        <f t="shared" si="21"/>
        <v>1</v>
      </c>
      <c r="D337" s="2" t="str">
        <f t="shared" si="22"/>
        <v>2024-11</v>
      </c>
      <c r="E337" s="3" t="s">
        <v>328</v>
      </c>
      <c r="F337" s="4" t="s">
        <v>74</v>
      </c>
      <c r="G337" s="39">
        <v>45620</v>
      </c>
      <c r="H337" s="40">
        <v>-114</v>
      </c>
      <c r="I337" s="40">
        <v>107</v>
      </c>
      <c r="J337" s="7">
        <v>102</v>
      </c>
      <c r="K337" s="8">
        <v>5.9335081559180547E-2</v>
      </c>
      <c r="L337" s="9">
        <v>2.9373802752069578E-2</v>
      </c>
      <c r="M337" s="10">
        <v>-110.2710280373832</v>
      </c>
      <c r="N337" s="11">
        <v>2.02</v>
      </c>
      <c r="O337" s="12">
        <v>3665.6751194123285</v>
      </c>
      <c r="P337" s="32" t="s">
        <v>75</v>
      </c>
      <c r="Q337" s="80" t="s">
        <v>92</v>
      </c>
      <c r="R337" s="82"/>
      <c r="S337" s="32"/>
      <c r="T337" s="32">
        <v>1500</v>
      </c>
      <c r="U337" s="32">
        <v>1547.04</v>
      </c>
      <c r="V337" s="74" t="s">
        <v>82</v>
      </c>
      <c r="W337" s="15"/>
      <c r="X337" s="15"/>
      <c r="Y337" s="16"/>
      <c r="Z337" s="17"/>
      <c r="AA337" s="18"/>
      <c r="AB337" s="75">
        <v>-1500</v>
      </c>
      <c r="AC337" s="20">
        <v>89.00262233877082</v>
      </c>
      <c r="AD337" s="21">
        <v>45620</v>
      </c>
      <c r="AE337" s="22">
        <v>106753.15061027306</v>
      </c>
      <c r="AF337" s="23">
        <v>24529.610933333362</v>
      </c>
      <c r="AG337" s="24">
        <v>126029.61093333375</v>
      </c>
      <c r="AH337" s="15">
        <v>0.5</v>
      </c>
      <c r="AI337" s="76"/>
      <c r="AJ337" s="77"/>
      <c r="AK337" s="77"/>
      <c r="AL337" s="77"/>
      <c r="AM337" s="77"/>
      <c r="AN337" s="76"/>
      <c r="AO337" s="76"/>
      <c r="AP337" s="77"/>
      <c r="AQ337" s="77"/>
      <c r="AR337" s="77"/>
      <c r="AS337" s="77"/>
      <c r="AT337" s="77"/>
      <c r="AU337" s="77"/>
      <c r="AV337" s="77"/>
      <c r="AW337" s="77"/>
      <c r="AX337" s="76"/>
      <c r="AY337" s="76"/>
      <c r="AZ337" s="76"/>
      <c r="BA337" s="76"/>
      <c r="BB337" s="77"/>
      <c r="BC337" s="77"/>
      <c r="BD337" s="77"/>
      <c r="BE337" s="77"/>
      <c r="BF337" s="77"/>
      <c r="BG337" s="77"/>
      <c r="BH337" s="77"/>
      <c r="BI337" s="77"/>
      <c r="BJ337" s="77"/>
      <c r="BK337" s="77"/>
      <c r="BL337" s="77"/>
      <c r="BM337" s="77"/>
      <c r="BN337" s="77"/>
      <c r="BO337" s="77"/>
      <c r="BP337" s="76"/>
    </row>
    <row r="338" spans="1:68" ht="15" customHeight="1" x14ac:dyDescent="0.25">
      <c r="A338" s="1">
        <f t="shared" si="23"/>
        <v>135</v>
      </c>
      <c r="B338" s="1" t="str">
        <f t="shared" si="20"/>
        <v xml:space="preserve">Timberwolves </v>
      </c>
      <c r="C338" s="1">
        <f t="shared" si="21"/>
        <v>1</v>
      </c>
      <c r="D338" s="2" t="str">
        <f t="shared" si="22"/>
        <v>2024-11</v>
      </c>
      <c r="E338" s="3" t="s">
        <v>328</v>
      </c>
      <c r="F338" s="4" t="s">
        <v>83</v>
      </c>
      <c r="G338" s="39">
        <v>45620</v>
      </c>
      <c r="H338" s="40">
        <v>-114</v>
      </c>
      <c r="I338" s="40">
        <v>107</v>
      </c>
      <c r="J338" s="7">
        <v>102</v>
      </c>
      <c r="K338" s="8">
        <v>5.9335081559180547E-2</v>
      </c>
      <c r="L338" s="9">
        <v>2.9373802752069578E-2</v>
      </c>
      <c r="M338" s="10">
        <v>-110.2710280373832</v>
      </c>
      <c r="N338" s="11">
        <v>2.02</v>
      </c>
      <c r="O338" s="12">
        <v>3622.0463829717546</v>
      </c>
      <c r="P338" s="32" t="s">
        <v>75</v>
      </c>
      <c r="Q338" s="80" t="s">
        <v>92</v>
      </c>
      <c r="R338" s="82"/>
      <c r="S338" s="32"/>
      <c r="T338" s="32">
        <v>0</v>
      </c>
      <c r="U338" s="32">
        <v>1531.17</v>
      </c>
      <c r="V338" s="74" t="s">
        <v>82</v>
      </c>
      <c r="W338" s="15"/>
      <c r="X338" s="15"/>
      <c r="Y338" s="16"/>
      <c r="Z338" s="17"/>
      <c r="AA338" s="18"/>
      <c r="AB338" s="75">
        <v>0</v>
      </c>
      <c r="AC338" s="20">
        <v>0</v>
      </c>
      <c r="AD338" s="21">
        <v>45620</v>
      </c>
      <c r="AE338" s="22">
        <v>106753.15061027306</v>
      </c>
      <c r="AF338" s="23">
        <v>24529.610933333362</v>
      </c>
      <c r="AG338" s="24">
        <v>124529.61093333375</v>
      </c>
      <c r="AH338" s="15">
        <v>0.5</v>
      </c>
      <c r="AI338" s="76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  <c r="BK338" s="77"/>
      <c r="BL338" s="77"/>
      <c r="BM338" s="77"/>
      <c r="BN338" s="77"/>
      <c r="BO338" s="77"/>
      <c r="BP338" s="77"/>
    </row>
    <row r="339" spans="1:68" ht="15" customHeight="1" x14ac:dyDescent="0.25">
      <c r="A339" s="1">
        <f t="shared" si="23"/>
        <v>135</v>
      </c>
      <c r="B339" s="1" t="str">
        <f t="shared" si="20"/>
        <v xml:space="preserve">Timberwolves </v>
      </c>
      <c r="C339" s="1">
        <f t="shared" si="21"/>
        <v>1</v>
      </c>
      <c r="D339" s="2" t="str">
        <f t="shared" si="22"/>
        <v>2024-11</v>
      </c>
      <c r="E339" s="3" t="s">
        <v>329</v>
      </c>
      <c r="F339" s="4" t="s">
        <v>74</v>
      </c>
      <c r="G339" s="39">
        <v>45620</v>
      </c>
      <c r="H339" s="40">
        <v>-137</v>
      </c>
      <c r="I339" s="40">
        <v>119</v>
      </c>
      <c r="J339" s="7">
        <v>-109</v>
      </c>
      <c r="K339" s="8">
        <v>7.1237883794099191E-2</v>
      </c>
      <c r="L339" s="9">
        <v>3.7152771930893835E-2</v>
      </c>
      <c r="M339" s="10">
        <v>-126.59493670886079</v>
      </c>
      <c r="N339" s="11">
        <v>1.9174311926605505</v>
      </c>
      <c r="O339" s="12">
        <v>4834.8181441633014</v>
      </c>
      <c r="P339" s="32" t="s">
        <v>75</v>
      </c>
      <c r="Q339" s="80" t="s">
        <v>92</v>
      </c>
      <c r="R339" s="82"/>
      <c r="S339" s="32"/>
      <c r="T339" s="32">
        <v>1635</v>
      </c>
      <c r="U339" s="32">
        <v>1743.2399999999998</v>
      </c>
      <c r="V339" s="74" t="s">
        <v>82</v>
      </c>
      <c r="W339" s="15"/>
      <c r="X339" s="15"/>
      <c r="Y339" s="16"/>
      <c r="Z339" s="17"/>
      <c r="AA339" s="18"/>
      <c r="AB339" s="75">
        <v>-1635</v>
      </c>
      <c r="AC339" s="20">
        <v>116.47394000335218</v>
      </c>
      <c r="AD339" s="21">
        <v>45620</v>
      </c>
      <c r="AE339" s="22">
        <v>106869.62455027642</v>
      </c>
      <c r="AF339" s="23">
        <v>22894.610933333362</v>
      </c>
      <c r="AG339" s="24">
        <v>124529.61093333375</v>
      </c>
      <c r="AH339" s="15">
        <v>0.5</v>
      </c>
      <c r="AI339" s="76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77"/>
    </row>
    <row r="340" spans="1:68" ht="15" customHeight="1" x14ac:dyDescent="0.25">
      <c r="A340" s="1">
        <f t="shared" si="23"/>
        <v>135</v>
      </c>
      <c r="B340" s="1" t="str">
        <f t="shared" si="20"/>
        <v xml:space="preserve">Timberwolves </v>
      </c>
      <c r="C340" s="1">
        <f t="shared" si="21"/>
        <v>1</v>
      </c>
      <c r="D340" s="2" t="str">
        <f t="shared" si="22"/>
        <v>2024-11</v>
      </c>
      <c r="E340" s="3" t="s">
        <v>329</v>
      </c>
      <c r="F340" s="4" t="s">
        <v>83</v>
      </c>
      <c r="G340" s="39">
        <v>45620</v>
      </c>
      <c r="H340" s="40">
        <v>-137</v>
      </c>
      <c r="I340" s="40">
        <v>119</v>
      </c>
      <c r="J340" s="7">
        <v>-109</v>
      </c>
      <c r="K340" s="8">
        <v>7.1237883794099191E-2</v>
      </c>
      <c r="L340" s="9">
        <v>3.7152771930893835E-2</v>
      </c>
      <c r="M340" s="10">
        <v>-126.59493670886079</v>
      </c>
      <c r="N340" s="11">
        <v>1.9174311926605505</v>
      </c>
      <c r="O340" s="12">
        <v>4771.3398468614741</v>
      </c>
      <c r="P340" s="32" t="s">
        <v>75</v>
      </c>
      <c r="Q340" s="80" t="s">
        <v>92</v>
      </c>
      <c r="R340" s="82"/>
      <c r="S340" s="32"/>
      <c r="T340" s="32">
        <v>0</v>
      </c>
      <c r="U340" s="32">
        <v>1697.6</v>
      </c>
      <c r="V340" s="74" t="s">
        <v>82</v>
      </c>
      <c r="W340" s="15"/>
      <c r="X340" s="15"/>
      <c r="Y340" s="16"/>
      <c r="Z340" s="17"/>
      <c r="AA340" s="18"/>
      <c r="AB340" s="75">
        <v>0</v>
      </c>
      <c r="AC340" s="20">
        <v>0</v>
      </c>
      <c r="AD340" s="21">
        <v>45620</v>
      </c>
      <c r="AE340" s="22">
        <v>106869.62455027642</v>
      </c>
      <c r="AF340" s="23">
        <v>22894.610933333362</v>
      </c>
      <c r="AG340" s="24">
        <v>122894.61093333375</v>
      </c>
      <c r="AH340" s="15">
        <v>0.5</v>
      </c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7"/>
      <c r="AU340" s="77"/>
      <c r="AV340" s="77"/>
      <c r="AW340" s="77"/>
      <c r="AX340" s="76"/>
      <c r="AY340" s="76"/>
      <c r="AZ340" s="76"/>
      <c r="BA340" s="76"/>
      <c r="BB340" s="76"/>
      <c r="BC340" s="76"/>
      <c r="BD340" s="77"/>
      <c r="BE340" s="77"/>
      <c r="BF340" s="77"/>
      <c r="BG340" s="77"/>
      <c r="BH340" s="76"/>
      <c r="BI340" s="76"/>
      <c r="BJ340" s="76"/>
      <c r="BK340" s="76"/>
      <c r="BL340" s="77"/>
      <c r="BM340" s="77"/>
      <c r="BN340" s="77"/>
      <c r="BO340" s="77"/>
      <c r="BP340" s="76"/>
    </row>
    <row r="341" spans="1:68" ht="15" customHeight="1" x14ac:dyDescent="0.25">
      <c r="A341" s="1">
        <f t="shared" si="23"/>
        <v>135</v>
      </c>
      <c r="B341" s="1" t="str">
        <f t="shared" si="20"/>
        <v xml:space="preserve">Timberwolves </v>
      </c>
      <c r="C341" s="1">
        <f t="shared" si="21"/>
        <v>1</v>
      </c>
      <c r="D341" s="2" t="str">
        <f t="shared" si="22"/>
        <v>2024-11</v>
      </c>
      <c r="E341" s="3" t="s">
        <v>330</v>
      </c>
      <c r="F341" s="4" t="s">
        <v>74</v>
      </c>
      <c r="G341" s="39">
        <v>45620</v>
      </c>
      <c r="H341" s="40">
        <v>-144</v>
      </c>
      <c r="I341" s="40">
        <v>123</v>
      </c>
      <c r="J341" s="7">
        <v>-114</v>
      </c>
      <c r="K341" s="8">
        <v>6.6683554866782055E-2</v>
      </c>
      <c r="L341" s="9">
        <v>3.552301520940726E-2</v>
      </c>
      <c r="M341" s="10">
        <v>-131.6065573770492</v>
      </c>
      <c r="N341" s="11">
        <v>1.8771929824561404</v>
      </c>
      <c r="O341" s="12">
        <v>4671.1782326727325</v>
      </c>
      <c r="P341" s="32" t="s">
        <v>75</v>
      </c>
      <c r="Q341" s="80" t="s">
        <v>92</v>
      </c>
      <c r="R341" s="82"/>
      <c r="S341" s="32"/>
      <c r="T341" s="32">
        <v>1710</v>
      </c>
      <c r="U341" s="32">
        <v>1821.79</v>
      </c>
      <c r="V341" s="74" t="s">
        <v>82</v>
      </c>
      <c r="W341" s="15"/>
      <c r="X341" s="15"/>
      <c r="Y341" s="16"/>
      <c r="Z341" s="17"/>
      <c r="AA341" s="18"/>
      <c r="AB341" s="75">
        <v>-1710</v>
      </c>
      <c r="AC341" s="20">
        <v>114.02887882219731</v>
      </c>
      <c r="AD341" s="21">
        <v>45620</v>
      </c>
      <c r="AE341" s="22">
        <v>106983.65342909862</v>
      </c>
      <c r="AF341" s="23">
        <v>21184.610933333362</v>
      </c>
      <c r="AG341" s="24">
        <v>122894.61093333375</v>
      </c>
      <c r="AH341" s="15">
        <v>0.5</v>
      </c>
      <c r="AI341" s="76"/>
      <c r="AJ341" s="76"/>
      <c r="AK341" s="76"/>
      <c r="AL341" s="76"/>
      <c r="AM341" s="76"/>
      <c r="AN341" s="76"/>
      <c r="AO341" s="76"/>
      <c r="AP341" s="77"/>
      <c r="AQ341" s="77"/>
      <c r="AR341" s="77"/>
      <c r="AS341" s="77"/>
      <c r="AT341" s="77"/>
      <c r="AU341" s="77"/>
      <c r="AV341" s="77"/>
      <c r="AW341" s="77"/>
      <c r="AX341" s="76"/>
      <c r="AY341" s="76"/>
      <c r="AZ341" s="76"/>
      <c r="BA341" s="76"/>
      <c r="BB341" s="77"/>
      <c r="BC341" s="77"/>
      <c r="BD341" s="77"/>
      <c r="BE341" s="77"/>
      <c r="BF341" s="77"/>
      <c r="BG341" s="77"/>
      <c r="BH341" s="77"/>
      <c r="BI341" s="77"/>
      <c r="BJ341" s="77"/>
      <c r="BK341" s="77"/>
      <c r="BL341" s="77"/>
      <c r="BM341" s="77"/>
      <c r="BN341" s="77"/>
      <c r="BO341" s="77"/>
      <c r="BP341" s="76"/>
    </row>
    <row r="342" spans="1:68" ht="15" customHeight="1" x14ac:dyDescent="0.25">
      <c r="A342" s="1">
        <f t="shared" si="23"/>
        <v>135</v>
      </c>
      <c r="B342" s="1" t="str">
        <f t="shared" si="20"/>
        <v xml:space="preserve">Timberwolves </v>
      </c>
      <c r="C342" s="1">
        <f t="shared" si="21"/>
        <v>1</v>
      </c>
      <c r="D342" s="2" t="str">
        <f t="shared" si="22"/>
        <v>2024-11</v>
      </c>
      <c r="E342" s="3" t="s">
        <v>330</v>
      </c>
      <c r="F342" s="4" t="s">
        <v>83</v>
      </c>
      <c r="G342" s="39">
        <v>45620</v>
      </c>
      <c r="H342" s="40">
        <v>-144</v>
      </c>
      <c r="I342" s="40">
        <v>123</v>
      </c>
      <c r="J342" s="7">
        <v>-114</v>
      </c>
      <c r="K342" s="8">
        <v>6.6683554866782055E-2</v>
      </c>
      <c r="L342" s="9">
        <v>3.552301520940726E-2</v>
      </c>
      <c r="M342" s="10">
        <v>-131.6065573770492</v>
      </c>
      <c r="N342" s="11">
        <v>1.8771929824561404</v>
      </c>
      <c r="O342" s="12">
        <v>4606.1817717440799</v>
      </c>
      <c r="P342" s="32" t="s">
        <v>75</v>
      </c>
      <c r="Q342" s="80" t="s">
        <v>92</v>
      </c>
      <c r="R342" s="82"/>
      <c r="S342" s="32"/>
      <c r="T342" s="32">
        <v>0</v>
      </c>
      <c r="U342" s="32">
        <v>1774.77</v>
      </c>
      <c r="V342" s="74" t="s">
        <v>82</v>
      </c>
      <c r="W342" s="15"/>
      <c r="X342" s="15"/>
      <c r="Y342" s="16"/>
      <c r="Z342" s="17"/>
      <c r="AA342" s="18"/>
      <c r="AB342" s="75">
        <v>0</v>
      </c>
      <c r="AC342" s="20">
        <v>0</v>
      </c>
      <c r="AD342" s="21">
        <v>45620</v>
      </c>
      <c r="AE342" s="22">
        <v>106983.65342909862</v>
      </c>
      <c r="AF342" s="23">
        <v>21184.610933333362</v>
      </c>
      <c r="AG342" s="24">
        <v>121184.61093333375</v>
      </c>
      <c r="AH342" s="15">
        <v>0.5</v>
      </c>
      <c r="AI342" s="76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/>
      <c r="BP342" s="77"/>
    </row>
    <row r="343" spans="1:68" ht="15" customHeight="1" x14ac:dyDescent="0.25">
      <c r="A343" s="1">
        <f t="shared" si="23"/>
        <v>135</v>
      </c>
      <c r="B343" s="1" t="str">
        <f t="shared" si="20"/>
        <v xml:space="preserve">Timberwolves </v>
      </c>
      <c r="C343" s="1">
        <f t="shared" si="21"/>
        <v>1</v>
      </c>
      <c r="D343" s="2" t="str">
        <f t="shared" si="22"/>
        <v>2024-11</v>
      </c>
      <c r="E343" s="3" t="s">
        <v>331</v>
      </c>
      <c r="F343" s="4" t="s">
        <v>74</v>
      </c>
      <c r="G343" s="39">
        <v>45620</v>
      </c>
      <c r="H343" s="40">
        <v>-118</v>
      </c>
      <c r="I343" s="40">
        <v>104</v>
      </c>
      <c r="J343" s="7">
        <v>106</v>
      </c>
      <c r="K343" s="8">
        <v>8.1014998256016713E-2</v>
      </c>
      <c r="L343" s="9">
        <v>3.9327669056318793E-2</v>
      </c>
      <c r="M343" s="10">
        <v>-110.42201834862385</v>
      </c>
      <c r="N343" s="11">
        <v>2.06</v>
      </c>
      <c r="O343" s="12">
        <v>4631.0240770849514</v>
      </c>
      <c r="P343" s="32" t="s">
        <v>75</v>
      </c>
      <c r="Q343" s="80" t="s">
        <v>92</v>
      </c>
      <c r="R343" s="82"/>
      <c r="S343" s="32"/>
      <c r="T343" s="32">
        <v>1466.0250000000001</v>
      </c>
      <c r="U343" s="32">
        <v>1466.0250000000001</v>
      </c>
      <c r="V343" s="74" t="s">
        <v>82</v>
      </c>
      <c r="W343" s="15"/>
      <c r="X343" s="15"/>
      <c r="Y343" s="16"/>
      <c r="Z343" s="17"/>
      <c r="AA343" s="18"/>
      <c r="AB343" s="75">
        <v>-1466.0250000000001</v>
      </c>
      <c r="AC343" s="20">
        <v>118.77001281827691</v>
      </c>
      <c r="AD343" s="21">
        <v>45620</v>
      </c>
      <c r="AE343" s="22">
        <v>107102.42344191689</v>
      </c>
      <c r="AF343" s="23">
        <v>19718.585933333361</v>
      </c>
      <c r="AG343" s="24">
        <v>121184.61093333375</v>
      </c>
      <c r="AH343" s="15">
        <v>0.5</v>
      </c>
      <c r="AI343" s="76"/>
      <c r="AJ343" s="76"/>
      <c r="AK343" s="76"/>
      <c r="AL343" s="76"/>
      <c r="AM343" s="76"/>
      <c r="AN343" s="77"/>
      <c r="AO343" s="77"/>
      <c r="AP343" s="77"/>
      <c r="AQ343" s="77"/>
      <c r="AR343" s="77"/>
      <c r="AS343" s="77"/>
      <c r="AT343" s="77"/>
      <c r="AU343" s="77"/>
      <c r="AV343" s="77"/>
      <c r="AW343" s="77"/>
      <c r="AX343" s="76"/>
      <c r="AY343" s="76"/>
      <c r="AZ343" s="76"/>
      <c r="BA343" s="76"/>
      <c r="BB343" s="77"/>
      <c r="BC343" s="77"/>
      <c r="BD343" s="77"/>
      <c r="BE343" s="77"/>
      <c r="BF343" s="77"/>
      <c r="BG343" s="77"/>
      <c r="BH343" s="77"/>
      <c r="BI343" s="77"/>
      <c r="BJ343" s="77"/>
      <c r="BK343" s="77"/>
      <c r="BL343" s="77"/>
      <c r="BM343" s="77"/>
      <c r="BN343" s="77"/>
      <c r="BO343" s="77"/>
      <c r="BP343" s="76"/>
    </row>
    <row r="344" spans="1:68" ht="15" customHeight="1" x14ac:dyDescent="0.25">
      <c r="A344" s="1">
        <f t="shared" si="23"/>
        <v>135</v>
      </c>
      <c r="B344" s="1" t="str">
        <f t="shared" si="20"/>
        <v xml:space="preserve">Timberwolves </v>
      </c>
      <c r="C344" s="1">
        <f t="shared" si="21"/>
        <v>1</v>
      </c>
      <c r="D344" s="2" t="str">
        <f t="shared" si="22"/>
        <v>2024-11</v>
      </c>
      <c r="E344" s="3" t="s">
        <v>331</v>
      </c>
      <c r="F344" s="4" t="s">
        <v>83</v>
      </c>
      <c r="G344" s="39">
        <v>45620</v>
      </c>
      <c r="H344" s="40">
        <v>-118</v>
      </c>
      <c r="I344" s="40">
        <v>104</v>
      </c>
      <c r="J344" s="7">
        <v>106</v>
      </c>
      <c r="K344" s="8">
        <v>8.1014998256016713E-2</v>
      </c>
      <c r="L344" s="9">
        <v>3.9327669056318793E-2</v>
      </c>
      <c r="M344" s="10">
        <v>-110.42201834862385</v>
      </c>
      <c r="N344" s="11">
        <v>2.06</v>
      </c>
      <c r="O344" s="12">
        <v>4575.0004861329344</v>
      </c>
      <c r="P344" s="32" t="s">
        <v>75</v>
      </c>
      <c r="Q344" s="80" t="s">
        <v>92</v>
      </c>
      <c r="R344" s="82"/>
      <c r="S344" s="32"/>
      <c r="T344" s="32">
        <v>33.97</v>
      </c>
      <c r="U344" s="32">
        <v>1439.42</v>
      </c>
      <c r="V344" s="74" t="s">
        <v>82</v>
      </c>
      <c r="W344" s="15"/>
      <c r="X344" s="15"/>
      <c r="Y344" s="16"/>
      <c r="Z344" s="17"/>
      <c r="AA344" s="18"/>
      <c r="AB344" s="75">
        <v>-33.97</v>
      </c>
      <c r="AC344" s="20">
        <v>2.7520794907568877</v>
      </c>
      <c r="AD344" s="21">
        <v>45620</v>
      </c>
      <c r="AE344" s="22">
        <v>107105.17552140765</v>
      </c>
      <c r="AF344" s="23">
        <v>19684.61593333336</v>
      </c>
      <c r="AG344" s="24">
        <v>119718.58593333376</v>
      </c>
      <c r="AH344" s="15">
        <v>0.5</v>
      </c>
      <c r="AI344" s="76"/>
      <c r="AJ344" s="77"/>
      <c r="AK344" s="77"/>
      <c r="AL344" s="77"/>
      <c r="AM344" s="77"/>
      <c r="AN344" s="76"/>
      <c r="AO344" s="76"/>
      <c r="AP344" s="77"/>
      <c r="AQ344" s="77"/>
      <c r="AR344" s="77"/>
      <c r="AS344" s="77"/>
      <c r="AT344" s="77"/>
      <c r="AU344" s="77"/>
      <c r="AV344" s="77"/>
      <c r="AW344" s="77"/>
      <c r="AX344" s="76"/>
      <c r="AY344" s="76"/>
      <c r="AZ344" s="76"/>
      <c r="BA344" s="76"/>
      <c r="BB344" s="77"/>
      <c r="BC344" s="77"/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76"/>
    </row>
    <row r="345" spans="1:68" ht="15" customHeight="1" x14ac:dyDescent="0.25">
      <c r="A345" s="1">
        <f t="shared" si="23"/>
        <v>135</v>
      </c>
      <c r="B345" s="1" t="str">
        <f t="shared" si="20"/>
        <v xml:space="preserve">Timberwolves </v>
      </c>
      <c r="C345" s="1">
        <f t="shared" si="21"/>
        <v>1</v>
      </c>
      <c r="D345" s="2" t="str">
        <f t="shared" si="22"/>
        <v>2024-11</v>
      </c>
      <c r="E345" s="3" t="s">
        <v>332</v>
      </c>
      <c r="F345" s="4" t="s">
        <v>74</v>
      </c>
      <c r="G345" s="39">
        <v>45620</v>
      </c>
      <c r="H345" s="40">
        <v>-110</v>
      </c>
      <c r="I345" s="40">
        <v>-102</v>
      </c>
      <c r="J345" s="7">
        <v>110</v>
      </c>
      <c r="K345" s="8">
        <v>6.9248395967002913E-2</v>
      </c>
      <c r="L345" s="9">
        <v>3.2975426650953765E-2</v>
      </c>
      <c r="M345" s="10">
        <v>-103.73482726423904</v>
      </c>
      <c r="N345" s="11">
        <v>2.1</v>
      </c>
      <c r="O345" s="12">
        <v>3767.2580342318911</v>
      </c>
      <c r="P345" s="32" t="s">
        <v>75</v>
      </c>
      <c r="Q345" s="80" t="s">
        <v>92</v>
      </c>
      <c r="R345" s="82"/>
      <c r="S345" s="32"/>
      <c r="T345" s="32">
        <v>1412.7149999999999</v>
      </c>
      <c r="U345" s="32">
        <v>1412.7149999999999</v>
      </c>
      <c r="V345" s="74" t="s">
        <v>82</v>
      </c>
      <c r="W345" s="15"/>
      <c r="X345" s="15"/>
      <c r="Y345" s="16"/>
      <c r="Z345" s="17"/>
      <c r="AA345" s="18"/>
      <c r="AB345" s="75">
        <v>-1412.7149999999999</v>
      </c>
      <c r="AC345" s="20">
        <v>97.828247708524515</v>
      </c>
      <c r="AD345" s="21">
        <v>45620</v>
      </c>
      <c r="AE345" s="22">
        <v>107203.00376911619</v>
      </c>
      <c r="AF345" s="23">
        <v>18271.90093333336</v>
      </c>
      <c r="AG345" s="24">
        <v>119684.61593333376</v>
      </c>
      <c r="AH345" s="15">
        <v>0.5</v>
      </c>
      <c r="AI345" s="76"/>
      <c r="AJ345" s="77"/>
      <c r="AK345" s="77"/>
      <c r="AL345" s="77"/>
      <c r="AM345" s="77"/>
      <c r="AN345" s="76"/>
      <c r="AO345" s="76"/>
      <c r="AP345" s="76"/>
      <c r="AQ345" s="76"/>
      <c r="AR345" s="76"/>
      <c r="AS345" s="76"/>
      <c r="AT345" s="77"/>
      <c r="AU345" s="77"/>
      <c r="AV345" s="77"/>
      <c r="AW345" s="77"/>
      <c r="AX345" s="76"/>
      <c r="AY345" s="76"/>
      <c r="AZ345" s="76"/>
      <c r="BA345" s="76"/>
      <c r="BB345" s="76"/>
      <c r="BC345" s="76"/>
      <c r="BD345" s="77"/>
      <c r="BE345" s="77"/>
      <c r="BF345" s="77"/>
      <c r="BG345" s="77"/>
      <c r="BH345" s="77"/>
      <c r="BI345" s="77"/>
      <c r="BJ345" s="77"/>
      <c r="BK345" s="77"/>
      <c r="BL345" s="76"/>
      <c r="BM345" s="76"/>
      <c r="BN345" s="76"/>
      <c r="BO345" s="76"/>
      <c r="BP345" s="76"/>
    </row>
    <row r="346" spans="1:68" ht="15" customHeight="1" x14ac:dyDescent="0.25">
      <c r="A346" s="1">
        <f t="shared" si="23"/>
        <v>136</v>
      </c>
      <c r="B346" s="1" t="str">
        <f t="shared" si="20"/>
        <v xml:space="preserve">USC </v>
      </c>
      <c r="C346" s="1">
        <f t="shared" si="21"/>
        <v>0</v>
      </c>
      <c r="D346" s="2" t="str">
        <f t="shared" si="22"/>
        <v>2024-11</v>
      </c>
      <c r="E346" s="3" t="s">
        <v>333</v>
      </c>
      <c r="F346" s="4" t="s">
        <v>74</v>
      </c>
      <c r="G346" s="39">
        <v>45620</v>
      </c>
      <c r="H346" s="40">
        <v>-125</v>
      </c>
      <c r="I346" s="40">
        <v>116</v>
      </c>
      <c r="J346" s="7">
        <v>-106</v>
      </c>
      <c r="K346" s="8">
        <v>6.0034305317324121E-2</v>
      </c>
      <c r="L346" s="9">
        <v>3.0891438658428916E-2</v>
      </c>
      <c r="M346" s="10">
        <v>-119.99999999999997</v>
      </c>
      <c r="N346" s="11">
        <v>1.9433962264150944</v>
      </c>
      <c r="O346" s="12">
        <v>3763.1968478787976</v>
      </c>
      <c r="P346" s="32" t="s">
        <v>143</v>
      </c>
      <c r="Q346" s="80" t="s">
        <v>76</v>
      </c>
      <c r="R346" s="82"/>
      <c r="S346" s="32"/>
      <c r="T346" s="32">
        <v>545.26</v>
      </c>
      <c r="U346" s="32">
        <v>545.26</v>
      </c>
      <c r="V346" s="74" t="s">
        <v>82</v>
      </c>
      <c r="W346" s="15"/>
      <c r="X346" s="15"/>
      <c r="Y346" s="16"/>
      <c r="Z346" s="17"/>
      <c r="AA346" s="18"/>
      <c r="AB346" s="75">
        <v>-545.26</v>
      </c>
      <c r="AC346" s="20">
        <v>32.73430531732415</v>
      </c>
      <c r="AD346" s="21">
        <v>45620</v>
      </c>
      <c r="AE346" s="22">
        <v>107235.73807443351</v>
      </c>
      <c r="AF346" s="23">
        <v>17726.640933333361</v>
      </c>
      <c r="AG346" s="24">
        <v>118271.90093333376</v>
      </c>
      <c r="AH346" s="15">
        <v>0.5</v>
      </c>
      <c r="AI346" s="76"/>
      <c r="AJ346" s="77"/>
      <c r="AK346" s="77"/>
      <c r="AL346" s="77"/>
      <c r="AM346" s="77"/>
      <c r="AN346" s="76"/>
      <c r="AO346" s="76"/>
      <c r="AP346" s="77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6"/>
      <c r="BC346" s="76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/>
      <c r="BP346" s="76"/>
    </row>
    <row r="347" spans="1:68" ht="15" customHeight="1" x14ac:dyDescent="0.25">
      <c r="A347" s="1">
        <f t="shared" si="23"/>
        <v>136</v>
      </c>
      <c r="B347" s="1" t="str">
        <f t="shared" si="20"/>
        <v xml:space="preserve">USC </v>
      </c>
      <c r="C347" s="1">
        <f t="shared" si="21"/>
        <v>0</v>
      </c>
      <c r="D347" s="2" t="str">
        <f t="shared" si="22"/>
        <v>2024-11</v>
      </c>
      <c r="E347" s="3" t="s">
        <v>333</v>
      </c>
      <c r="F347" s="4" t="s">
        <v>83</v>
      </c>
      <c r="G347" s="39">
        <v>45620</v>
      </c>
      <c r="H347" s="40">
        <v>-125</v>
      </c>
      <c r="I347" s="40">
        <v>116</v>
      </c>
      <c r="J347" s="7">
        <v>-106</v>
      </c>
      <c r="K347" s="8">
        <v>6.0034305317324121E-2</v>
      </c>
      <c r="L347" s="9">
        <v>3.0891438658428916E-2</v>
      </c>
      <c r="M347" s="10">
        <v>-119.99999999999997</v>
      </c>
      <c r="N347" s="11">
        <v>1.9433962264150944</v>
      </c>
      <c r="O347" s="12">
        <v>3745.8476660606161</v>
      </c>
      <c r="P347" s="32" t="s">
        <v>143</v>
      </c>
      <c r="Q347" s="80" t="s">
        <v>76</v>
      </c>
      <c r="R347" s="82"/>
      <c r="S347" s="32"/>
      <c r="T347" s="32">
        <v>273.995</v>
      </c>
      <c r="U347" s="32">
        <v>273.995</v>
      </c>
      <c r="V347" s="74" t="s">
        <v>82</v>
      </c>
      <c r="W347" s="15"/>
      <c r="X347" s="15"/>
      <c r="Y347" s="16"/>
      <c r="Z347" s="17"/>
      <c r="AA347" s="18"/>
      <c r="AB347" s="75">
        <v>-273.995</v>
      </c>
      <c r="AC347" s="20">
        <v>16.449099485420223</v>
      </c>
      <c r="AD347" s="21">
        <v>45620</v>
      </c>
      <c r="AE347" s="22">
        <v>107252.18717391892</v>
      </c>
      <c r="AF347" s="23">
        <v>17452.645933333362</v>
      </c>
      <c r="AG347" s="24">
        <v>117726.64093333377</v>
      </c>
      <c r="AH347" s="15">
        <v>0.5</v>
      </c>
      <c r="AI347" s="76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77"/>
    </row>
    <row r="348" spans="1:68" ht="15" customHeight="1" x14ac:dyDescent="0.25">
      <c r="A348" s="1">
        <f t="shared" si="23"/>
        <v>137</v>
      </c>
      <c r="B348" s="1" t="str">
        <f t="shared" si="20"/>
        <v xml:space="preserve">Villanova </v>
      </c>
      <c r="C348" s="1">
        <f t="shared" si="21"/>
        <v>1</v>
      </c>
      <c r="D348" s="2" t="str">
        <f t="shared" si="22"/>
        <v>2024-11</v>
      </c>
      <c r="E348" s="3" t="s">
        <v>334</v>
      </c>
      <c r="F348" s="4" t="s">
        <v>74</v>
      </c>
      <c r="G348" s="39">
        <v>45620</v>
      </c>
      <c r="H348" s="40">
        <v>-117</v>
      </c>
      <c r="I348" s="40">
        <v>-103</v>
      </c>
      <c r="J348" s="7">
        <v>102</v>
      </c>
      <c r="K348" s="8">
        <v>4.0671120558761029E-2</v>
      </c>
      <c r="L348" s="9">
        <v>2.013421809839655E-2</v>
      </c>
      <c r="M348" s="10">
        <v>-106.26370184779205</v>
      </c>
      <c r="N348" s="11">
        <v>2.02</v>
      </c>
      <c r="O348" s="12">
        <v>2651.027889708324</v>
      </c>
      <c r="P348" s="32" t="s">
        <v>143</v>
      </c>
      <c r="Q348" s="81" t="s">
        <v>92</v>
      </c>
      <c r="R348" s="82"/>
      <c r="S348" s="32"/>
      <c r="T348" s="32">
        <v>1015.68</v>
      </c>
      <c r="U348" s="32">
        <v>1015.68</v>
      </c>
      <c r="V348" s="74" t="s">
        <v>77</v>
      </c>
      <c r="W348" s="15"/>
      <c r="X348" s="15"/>
      <c r="Y348" s="16"/>
      <c r="Z348" s="17"/>
      <c r="AA348" s="18"/>
      <c r="AB348" s="75">
        <v>1035.99</v>
      </c>
      <c r="AC348" s="20">
        <v>41.308843729122401</v>
      </c>
      <c r="AD348" s="21">
        <v>45620</v>
      </c>
      <c r="AE348" s="22">
        <v>109103.51940829698</v>
      </c>
      <c r="AF348" s="23">
        <v>34007.415933333359</v>
      </c>
      <c r="AG348" s="24">
        <v>132971.42593333378</v>
      </c>
      <c r="AH348" s="15">
        <v>0.5</v>
      </c>
      <c r="AI348" s="76"/>
      <c r="AJ348" s="76"/>
      <c r="AK348" s="76"/>
      <c r="AL348" s="76"/>
      <c r="AM348" s="76"/>
      <c r="AN348" s="76"/>
      <c r="AO348" s="76"/>
      <c r="AP348" s="77"/>
      <c r="AQ348" s="77"/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6"/>
      <c r="BC348" s="76"/>
      <c r="BD348" s="77"/>
      <c r="BE348" s="77"/>
      <c r="BF348" s="77"/>
      <c r="BG348" s="77"/>
      <c r="BH348" s="76"/>
      <c r="BI348" s="76"/>
      <c r="BJ348" s="76"/>
      <c r="BK348" s="76"/>
      <c r="BL348" s="76"/>
      <c r="BM348" s="76"/>
      <c r="BN348" s="76"/>
      <c r="BO348" s="76"/>
      <c r="BP348" s="77"/>
    </row>
    <row r="349" spans="1:68" ht="15" customHeight="1" x14ac:dyDescent="0.25">
      <c r="A349" s="1">
        <f t="shared" si="23"/>
        <v>137</v>
      </c>
      <c r="B349" s="1" t="str">
        <f t="shared" si="20"/>
        <v xml:space="preserve">Villanova </v>
      </c>
      <c r="C349" s="1">
        <f t="shared" si="21"/>
        <v>1</v>
      </c>
      <c r="D349" s="2" t="str">
        <f t="shared" si="22"/>
        <v>2024-11</v>
      </c>
      <c r="E349" s="3" t="s">
        <v>334</v>
      </c>
      <c r="F349" s="4" t="s">
        <v>83</v>
      </c>
      <c r="G349" s="39">
        <v>45620</v>
      </c>
      <c r="H349" s="40">
        <v>-117</v>
      </c>
      <c r="I349" s="40">
        <v>-103</v>
      </c>
      <c r="J349" s="7">
        <v>102</v>
      </c>
      <c r="K349" s="8">
        <v>4.0671120558761029E-2</v>
      </c>
      <c r="L349" s="9">
        <v>2.013421809839655E-2</v>
      </c>
      <c r="M349" s="10">
        <v>-106.26370184779205</v>
      </c>
      <c r="N349" s="11">
        <v>2.02</v>
      </c>
      <c r="O349" s="12">
        <v>2671.6822398003196</v>
      </c>
      <c r="P349" s="32" t="s">
        <v>143</v>
      </c>
      <c r="Q349" s="81" t="s">
        <v>92</v>
      </c>
      <c r="R349" s="82"/>
      <c r="S349" s="32"/>
      <c r="T349" s="32">
        <v>484.32</v>
      </c>
      <c r="U349" s="32">
        <v>536.46</v>
      </c>
      <c r="V349" s="74" t="s">
        <v>77</v>
      </c>
      <c r="W349" s="15"/>
      <c r="X349" s="15"/>
      <c r="Y349" s="16"/>
      <c r="Z349" s="17"/>
      <c r="AA349" s="18"/>
      <c r="AB349" s="75">
        <v>494.01</v>
      </c>
      <c r="AC349" s="20">
        <v>19.69783710901914</v>
      </c>
      <c r="AD349" s="21">
        <v>45620</v>
      </c>
      <c r="AE349" s="22">
        <v>109123.21724540601</v>
      </c>
      <c r="AF349" s="23">
        <v>34501.425933333361</v>
      </c>
      <c r="AG349" s="24">
        <v>134007.41593333377</v>
      </c>
      <c r="AH349" s="15">
        <v>0.5</v>
      </c>
      <c r="AI349" s="76"/>
      <c r="AJ349" s="76"/>
      <c r="AK349" s="76"/>
      <c r="AL349" s="76"/>
      <c r="AM349" s="76"/>
      <c r="AN349" s="76"/>
      <c r="AO349" s="76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6"/>
      <c r="BC349" s="76"/>
      <c r="BD349" s="77"/>
      <c r="BE349" s="77"/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76"/>
    </row>
    <row r="350" spans="1:68" ht="15" customHeight="1" x14ac:dyDescent="0.25">
      <c r="A350" s="1">
        <f t="shared" si="23"/>
        <v>138</v>
      </c>
      <c r="B350" s="1" t="str">
        <f t="shared" si="20"/>
        <v xml:space="preserve">Alabama </v>
      </c>
      <c r="C350" s="1">
        <f t="shared" si="21"/>
        <v>0</v>
      </c>
      <c r="D350" s="2" t="str">
        <f t="shared" si="22"/>
        <v>2024-11</v>
      </c>
      <c r="E350" s="3" t="s">
        <v>335</v>
      </c>
      <c r="F350" s="4" t="s">
        <v>74</v>
      </c>
      <c r="G350" s="39">
        <v>45621</v>
      </c>
      <c r="H350" s="40">
        <v>-145</v>
      </c>
      <c r="I350" s="40">
        <v>116</v>
      </c>
      <c r="J350" s="7">
        <v>-114</v>
      </c>
      <c r="K350" s="8">
        <v>5.3272737558694529E-2</v>
      </c>
      <c r="L350" s="9">
        <v>2.8378934961173718E-2</v>
      </c>
      <c r="M350" s="10">
        <v>-127.83673469387759</v>
      </c>
      <c r="N350" s="11">
        <v>1.8771929824561404</v>
      </c>
      <c r="O350" s="12">
        <v>4616.053621587278</v>
      </c>
      <c r="P350" s="32" t="s">
        <v>143</v>
      </c>
      <c r="Q350" s="81" t="s">
        <v>76</v>
      </c>
      <c r="R350" s="82"/>
      <c r="S350" s="32"/>
      <c r="T350" s="32">
        <v>584.38</v>
      </c>
      <c r="U350" s="32">
        <v>584.38</v>
      </c>
      <c r="V350" s="74" t="s">
        <v>82</v>
      </c>
      <c r="W350" s="15"/>
      <c r="X350" s="15"/>
      <c r="Y350" s="16"/>
      <c r="Z350" s="17"/>
      <c r="AA350" s="18"/>
      <c r="AB350" s="75">
        <v>-584.38</v>
      </c>
      <c r="AC350" s="20">
        <v>31.13152237454991</v>
      </c>
      <c r="AD350" s="21">
        <v>45621</v>
      </c>
      <c r="AE350" s="22">
        <v>115190.3834892903</v>
      </c>
      <c r="AF350" s="23">
        <v>51432.205933333338</v>
      </c>
      <c r="AG350" s="24">
        <v>152016.58593333379</v>
      </c>
      <c r="AH350" s="15">
        <v>0.5</v>
      </c>
      <c r="AI350" s="76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  <c r="BK350" s="77"/>
      <c r="BL350" s="77"/>
      <c r="BM350" s="77"/>
      <c r="BN350" s="77"/>
      <c r="BO350" s="77"/>
      <c r="BP350" s="77"/>
    </row>
    <row r="351" spans="1:68" ht="15" customHeight="1" x14ac:dyDescent="0.25">
      <c r="A351" s="1">
        <f t="shared" si="23"/>
        <v>138</v>
      </c>
      <c r="B351" s="1" t="str">
        <f t="shared" si="20"/>
        <v xml:space="preserve">Alabama </v>
      </c>
      <c r="C351" s="1">
        <f t="shared" si="21"/>
        <v>0</v>
      </c>
      <c r="D351" s="2" t="str">
        <f t="shared" si="22"/>
        <v>2024-11</v>
      </c>
      <c r="E351" s="3" t="s">
        <v>335</v>
      </c>
      <c r="F351" s="4" t="s">
        <v>83</v>
      </c>
      <c r="G351" s="39">
        <v>45621</v>
      </c>
      <c r="H351" s="40">
        <v>-145</v>
      </c>
      <c r="I351" s="40">
        <v>116</v>
      </c>
      <c r="J351" s="7">
        <v>-114</v>
      </c>
      <c r="K351" s="8">
        <v>5.3272737558694529E-2</v>
      </c>
      <c r="L351" s="9">
        <v>2.8378934961173718E-2</v>
      </c>
      <c r="M351" s="10">
        <v>-127.83673469387759</v>
      </c>
      <c r="N351" s="11">
        <v>1.8771929824561404</v>
      </c>
      <c r="O351" s="12">
        <v>4598.3086538337848</v>
      </c>
      <c r="P351" s="32" t="s">
        <v>143</v>
      </c>
      <c r="Q351" s="81" t="s">
        <v>76</v>
      </c>
      <c r="R351" s="82"/>
      <c r="S351" s="32"/>
      <c r="T351" s="32">
        <v>584.38</v>
      </c>
      <c r="U351" s="32">
        <v>584.38</v>
      </c>
      <c r="V351" s="74" t="s">
        <v>82</v>
      </c>
      <c r="W351" s="15"/>
      <c r="X351" s="15"/>
      <c r="Y351" s="16"/>
      <c r="Z351" s="17"/>
      <c r="AA351" s="18"/>
      <c r="AB351" s="75">
        <v>-584.38</v>
      </c>
      <c r="AC351" s="20">
        <v>31.13152237454991</v>
      </c>
      <c r="AD351" s="21">
        <v>45621</v>
      </c>
      <c r="AE351" s="22">
        <v>115221.51501166484</v>
      </c>
      <c r="AF351" s="23">
        <v>50847.825933333341</v>
      </c>
      <c r="AG351" s="24">
        <v>151432.20593333378</v>
      </c>
      <c r="AH351" s="15">
        <v>0.5</v>
      </c>
      <c r="AI351" s="76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  <c r="BK351" s="77"/>
      <c r="BL351" s="77"/>
      <c r="BM351" s="77"/>
      <c r="BN351" s="77"/>
      <c r="BO351" s="77"/>
      <c r="BP351" s="77"/>
    </row>
    <row r="352" spans="1:68" ht="15" customHeight="1" x14ac:dyDescent="0.25">
      <c r="A352" s="1">
        <f t="shared" si="23"/>
        <v>138</v>
      </c>
      <c r="B352" s="1" t="str">
        <f t="shared" si="20"/>
        <v xml:space="preserve">Alabama </v>
      </c>
      <c r="C352" s="1">
        <f t="shared" si="21"/>
        <v>0</v>
      </c>
      <c r="D352" s="2" t="str">
        <f t="shared" si="22"/>
        <v>2024-11</v>
      </c>
      <c r="E352" s="3" t="s">
        <v>336</v>
      </c>
      <c r="F352" s="4" t="s">
        <v>74</v>
      </c>
      <c r="G352" s="39">
        <v>45621</v>
      </c>
      <c r="H352" s="40">
        <v>-156</v>
      </c>
      <c r="I352" s="40">
        <v>124</v>
      </c>
      <c r="J352" s="7">
        <v>-122</v>
      </c>
      <c r="K352" s="8">
        <v>5.0254739541815502E-2</v>
      </c>
      <c r="L352" s="9">
        <v>2.7617469477934642E-2</v>
      </c>
      <c r="M352" s="10">
        <v>-136.5</v>
      </c>
      <c r="N352" s="11">
        <v>1.819672131147541</v>
      </c>
      <c r="O352" s="12">
        <v>4624.2991036645744</v>
      </c>
      <c r="P352" s="32" t="s">
        <v>143</v>
      </c>
      <c r="Q352" s="81" t="s">
        <v>76</v>
      </c>
      <c r="R352" s="82"/>
      <c r="S352" s="32"/>
      <c r="T352" s="32">
        <v>627.14</v>
      </c>
      <c r="U352" s="32">
        <v>627.14</v>
      </c>
      <c r="V352" s="74" t="s">
        <v>82</v>
      </c>
      <c r="W352" s="15"/>
      <c r="X352" s="15"/>
      <c r="Y352" s="16"/>
      <c r="Z352" s="17"/>
      <c r="AA352" s="18"/>
      <c r="AB352" s="75">
        <v>-627.14</v>
      </c>
      <c r="AC352" s="20">
        <v>31.516757356254175</v>
      </c>
      <c r="AD352" s="21">
        <v>45621</v>
      </c>
      <c r="AE352" s="22">
        <v>115253.03176902109</v>
      </c>
      <c r="AF352" s="23">
        <v>50220.685933333341</v>
      </c>
      <c r="AG352" s="24">
        <v>150847.82593333378</v>
      </c>
      <c r="AH352" s="15">
        <v>0.5</v>
      </c>
      <c r="AI352" s="76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/>
      <c r="BP352" s="77"/>
    </row>
    <row r="353" spans="1:68" ht="15" customHeight="1" x14ac:dyDescent="0.25">
      <c r="A353" s="1">
        <f t="shared" si="23"/>
        <v>138</v>
      </c>
      <c r="B353" s="1" t="str">
        <f t="shared" si="20"/>
        <v xml:space="preserve">Alabama </v>
      </c>
      <c r="C353" s="1">
        <f t="shared" si="21"/>
        <v>0</v>
      </c>
      <c r="D353" s="2" t="str">
        <f t="shared" si="22"/>
        <v>2024-11</v>
      </c>
      <c r="E353" s="3" t="s">
        <v>336</v>
      </c>
      <c r="F353" s="4" t="s">
        <v>83</v>
      </c>
      <c r="G353" s="39">
        <v>45621</v>
      </c>
      <c r="H353" s="40">
        <v>-156</v>
      </c>
      <c r="I353" s="40">
        <v>124</v>
      </c>
      <c r="J353" s="7">
        <v>-122</v>
      </c>
      <c r="K353" s="8">
        <v>5.0254739541815502E-2</v>
      </c>
      <c r="L353" s="9">
        <v>2.7617469477934642E-2</v>
      </c>
      <c r="M353" s="10">
        <v>-136.5</v>
      </c>
      <c r="N353" s="11">
        <v>1.819672131147541</v>
      </c>
      <c r="O353" s="12">
        <v>4605.0738816772591</v>
      </c>
      <c r="P353" s="32" t="s">
        <v>143</v>
      </c>
      <c r="Q353" s="81" t="s">
        <v>76</v>
      </c>
      <c r="R353" s="82"/>
      <c r="S353" s="32"/>
      <c r="T353" s="32">
        <v>627.14</v>
      </c>
      <c r="U353" s="32">
        <v>627.14</v>
      </c>
      <c r="V353" s="74" t="s">
        <v>82</v>
      </c>
      <c r="W353" s="15"/>
      <c r="X353" s="15"/>
      <c r="Y353" s="16"/>
      <c r="Z353" s="17"/>
      <c r="AA353" s="18"/>
      <c r="AB353" s="75">
        <v>-627.14</v>
      </c>
      <c r="AC353" s="20">
        <v>31.516757356254175</v>
      </c>
      <c r="AD353" s="21">
        <v>45621</v>
      </c>
      <c r="AE353" s="22">
        <v>115284.54852637734</v>
      </c>
      <c r="AF353" s="23">
        <v>49593.545933333342</v>
      </c>
      <c r="AG353" s="24">
        <v>150220.68593333376</v>
      </c>
      <c r="AH353" s="15">
        <v>0.5</v>
      </c>
      <c r="AI353" s="76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7"/>
      <c r="BN353" s="77"/>
      <c r="BO353" s="77"/>
      <c r="BP353" s="77"/>
    </row>
    <row r="354" spans="1:68" ht="15" customHeight="1" x14ac:dyDescent="0.25">
      <c r="A354" s="1">
        <f t="shared" si="23"/>
        <v>138</v>
      </c>
      <c r="B354" s="1" t="str">
        <f t="shared" si="20"/>
        <v xml:space="preserve">Alabama </v>
      </c>
      <c r="C354" s="1">
        <f t="shared" si="21"/>
        <v>0</v>
      </c>
      <c r="D354" s="2" t="str">
        <f t="shared" si="22"/>
        <v>2024-11</v>
      </c>
      <c r="E354" s="3" t="s">
        <v>337</v>
      </c>
      <c r="F354" s="4" t="s">
        <v>74</v>
      </c>
      <c r="G354" s="39">
        <v>45621</v>
      </c>
      <c r="H354" s="40">
        <v>-134</v>
      </c>
      <c r="I354" s="40">
        <v>108</v>
      </c>
      <c r="J354" s="7">
        <v>-107</v>
      </c>
      <c r="K354" s="8">
        <v>5.1657788477943709E-2</v>
      </c>
      <c r="L354" s="9">
        <v>2.670233510695641E-2</v>
      </c>
      <c r="M354" s="10">
        <v>-119.11111111111113</v>
      </c>
      <c r="N354" s="11">
        <v>1.9345794392523366</v>
      </c>
      <c r="O354" s="12">
        <v>4134.3043881169951</v>
      </c>
      <c r="P354" s="32" t="s">
        <v>143</v>
      </c>
      <c r="Q354" s="81" t="s">
        <v>76</v>
      </c>
      <c r="R354" s="82"/>
      <c r="S354" s="32"/>
      <c r="T354" s="32">
        <v>547.07500000000005</v>
      </c>
      <c r="U354" s="32">
        <v>547.07500000000005</v>
      </c>
      <c r="V354" s="74" t="s">
        <v>82</v>
      </c>
      <c r="W354" s="15"/>
      <c r="X354" s="15"/>
      <c r="Y354" s="16"/>
      <c r="Z354" s="17"/>
      <c r="AA354" s="18"/>
      <c r="AB354" s="75">
        <v>-547.07500000000005</v>
      </c>
      <c r="AC354" s="20">
        <v>28.260684631571056</v>
      </c>
      <c r="AD354" s="21">
        <v>45621</v>
      </c>
      <c r="AE354" s="22">
        <v>115312.80921100892</v>
      </c>
      <c r="AF354" s="23">
        <v>49046.470933333345</v>
      </c>
      <c r="AG354" s="24">
        <v>149593.54593333375</v>
      </c>
      <c r="AH354" s="15">
        <v>0.5</v>
      </c>
      <c r="AI354" s="76"/>
      <c r="AJ354" s="77"/>
      <c r="AK354" s="77"/>
      <c r="AL354" s="77"/>
      <c r="AM354" s="77"/>
      <c r="AN354" s="76"/>
      <c r="AO354" s="76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6"/>
      <c r="BC354" s="76"/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76"/>
    </row>
    <row r="355" spans="1:68" ht="15" customHeight="1" x14ac:dyDescent="0.25">
      <c r="A355" s="1">
        <f t="shared" si="23"/>
        <v>138</v>
      </c>
      <c r="B355" s="1" t="str">
        <f t="shared" si="20"/>
        <v xml:space="preserve">Alabama </v>
      </c>
      <c r="C355" s="1">
        <f t="shared" si="21"/>
        <v>0</v>
      </c>
      <c r="D355" s="2" t="str">
        <f t="shared" si="22"/>
        <v>2024-11</v>
      </c>
      <c r="E355" s="3" t="s">
        <v>337</v>
      </c>
      <c r="F355" s="4" t="s">
        <v>83</v>
      </c>
      <c r="G355" s="39">
        <v>45621</v>
      </c>
      <c r="H355" s="40">
        <v>-134</v>
      </c>
      <c r="I355" s="40">
        <v>108</v>
      </c>
      <c r="J355" s="7">
        <v>-107</v>
      </c>
      <c r="K355" s="8">
        <v>5.1657788477943709E-2</v>
      </c>
      <c r="L355" s="9">
        <v>2.670233510695641E-2</v>
      </c>
      <c r="M355" s="10">
        <v>-119.11111111111113</v>
      </c>
      <c r="N355" s="11">
        <v>1.9345794392523366</v>
      </c>
      <c r="O355" s="12">
        <v>4119.1849218391044</v>
      </c>
      <c r="P355" s="32" t="s">
        <v>143</v>
      </c>
      <c r="Q355" s="82" t="s">
        <v>76</v>
      </c>
      <c r="R355" s="82"/>
      <c r="S355" s="32"/>
      <c r="T355" s="32">
        <v>547.07500000000005</v>
      </c>
      <c r="U355" s="32">
        <v>547.07500000000005</v>
      </c>
      <c r="V355" s="74" t="s">
        <v>82</v>
      </c>
      <c r="W355" s="15"/>
      <c r="X355" s="15"/>
      <c r="Y355" s="16"/>
      <c r="Z355" s="17"/>
      <c r="AA355" s="18"/>
      <c r="AB355" s="75">
        <v>-547.07500000000005</v>
      </c>
      <c r="AC355" s="20">
        <v>28.260684631571056</v>
      </c>
      <c r="AD355" s="21">
        <v>45621</v>
      </c>
      <c r="AE355" s="22">
        <v>115341.0698956405</v>
      </c>
      <c r="AF355" s="23">
        <v>48499.395933333348</v>
      </c>
      <c r="AG355" s="24">
        <v>149046.47093333374</v>
      </c>
      <c r="AH355" s="15">
        <v>0.5</v>
      </c>
      <c r="AI355" s="76"/>
      <c r="AJ355" s="77"/>
      <c r="AK355" s="77"/>
      <c r="AL355" s="77"/>
      <c r="AM355" s="77"/>
      <c r="AN355" s="76"/>
      <c r="AO355" s="76"/>
      <c r="AP355" s="77"/>
      <c r="AQ355" s="77"/>
      <c r="AR355" s="77"/>
      <c r="AS355" s="77"/>
      <c r="AT355" s="77"/>
      <c r="AU355" s="77"/>
      <c r="AV355" s="77"/>
      <c r="AW355" s="77"/>
      <c r="AX355" s="76"/>
      <c r="AY355" s="76"/>
      <c r="AZ355" s="76"/>
      <c r="BA355" s="76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7"/>
      <c r="BN355" s="77"/>
      <c r="BO355" s="77"/>
      <c r="BP355" s="76"/>
    </row>
    <row r="356" spans="1:68" ht="15" customHeight="1" x14ac:dyDescent="0.25">
      <c r="A356" s="1">
        <f t="shared" si="23"/>
        <v>138</v>
      </c>
      <c r="B356" s="1" t="str">
        <f t="shared" si="20"/>
        <v xml:space="preserve">Alabama </v>
      </c>
      <c r="C356" s="1">
        <f t="shared" si="21"/>
        <v>0</v>
      </c>
      <c r="D356" s="2" t="str">
        <f t="shared" si="22"/>
        <v>2024-11</v>
      </c>
      <c r="E356" s="3" t="s">
        <v>338</v>
      </c>
      <c r="F356" s="4" t="s">
        <v>74</v>
      </c>
      <c r="G356" s="39">
        <v>45621</v>
      </c>
      <c r="H356" s="40">
        <v>-122</v>
      </c>
      <c r="I356" s="40">
        <v>-101</v>
      </c>
      <c r="J356" s="7">
        <v>100</v>
      </c>
      <c r="K356" s="8">
        <v>4.4734151329243188E-2</v>
      </c>
      <c r="L356" s="9">
        <v>2.2367075664621594E-2</v>
      </c>
      <c r="M356" s="10">
        <v>-109.36580144500932</v>
      </c>
      <c r="N356" s="11">
        <v>2</v>
      </c>
      <c r="O356" s="12">
        <v>3321.4972249914758</v>
      </c>
      <c r="P356" s="32" t="s">
        <v>143</v>
      </c>
      <c r="Q356" s="82" t="s">
        <v>76</v>
      </c>
      <c r="R356" s="82"/>
      <c r="S356" s="32"/>
      <c r="T356" s="32">
        <v>514.255</v>
      </c>
      <c r="U356" s="32">
        <v>514.255</v>
      </c>
      <c r="V356" s="74" t="s">
        <v>82</v>
      </c>
      <c r="W356" s="15"/>
      <c r="X356" s="15"/>
      <c r="Y356" s="16"/>
      <c r="Z356" s="17"/>
      <c r="AA356" s="18"/>
      <c r="AB356" s="75">
        <v>-514.255</v>
      </c>
      <c r="AC356" s="20">
        <v>23.004760991819957</v>
      </c>
      <c r="AD356" s="21">
        <v>45621</v>
      </c>
      <c r="AE356" s="22">
        <v>115364.07465663232</v>
      </c>
      <c r="AF356" s="23">
        <v>47985.14093333335</v>
      </c>
      <c r="AG356" s="24">
        <v>148499.39593333373</v>
      </c>
      <c r="AH356" s="15">
        <v>0.5</v>
      </c>
      <c r="AI356" s="76"/>
      <c r="AJ356" s="77"/>
      <c r="AK356" s="77"/>
      <c r="AL356" s="77"/>
      <c r="AM356" s="77"/>
      <c r="AN356" s="76"/>
      <c r="AO356" s="76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6"/>
      <c r="BC356" s="76"/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76"/>
    </row>
    <row r="357" spans="1:68" ht="15" customHeight="1" x14ac:dyDescent="0.25">
      <c r="A357" s="1">
        <f t="shared" si="23"/>
        <v>138</v>
      </c>
      <c r="B357" s="1" t="str">
        <f t="shared" si="20"/>
        <v xml:space="preserve">Alabama </v>
      </c>
      <c r="C357" s="1">
        <f t="shared" si="21"/>
        <v>0</v>
      </c>
      <c r="D357" s="2" t="str">
        <f t="shared" si="22"/>
        <v>2024-11</v>
      </c>
      <c r="E357" s="3" t="s">
        <v>338</v>
      </c>
      <c r="F357" s="4" t="s">
        <v>83</v>
      </c>
      <c r="G357" s="39">
        <v>45621</v>
      </c>
      <c r="H357" s="40">
        <v>-122</v>
      </c>
      <c r="I357" s="40">
        <v>-101</v>
      </c>
      <c r="J357" s="7">
        <v>100</v>
      </c>
      <c r="K357" s="8">
        <v>4.4734151329243188E-2</v>
      </c>
      <c r="L357" s="9">
        <v>2.2367075664621594E-2</v>
      </c>
      <c r="M357" s="10">
        <v>-109.36580144500932</v>
      </c>
      <c r="N357" s="11">
        <v>2</v>
      </c>
      <c r="O357" s="12">
        <v>3309.9948444955658</v>
      </c>
      <c r="P357" s="32" t="s">
        <v>143</v>
      </c>
      <c r="Q357" s="81" t="s">
        <v>76</v>
      </c>
      <c r="R357" s="82"/>
      <c r="S357" s="32"/>
      <c r="T357" s="32">
        <v>514.255</v>
      </c>
      <c r="U357" s="32">
        <v>514.255</v>
      </c>
      <c r="V357" s="74" t="s">
        <v>82</v>
      </c>
      <c r="W357" s="15"/>
      <c r="X357" s="15"/>
      <c r="Y357" s="16"/>
      <c r="Z357" s="17"/>
      <c r="AA357" s="18"/>
      <c r="AB357" s="75">
        <v>-514.255</v>
      </c>
      <c r="AC357" s="20">
        <v>23.004760991819957</v>
      </c>
      <c r="AD357" s="21">
        <v>45621</v>
      </c>
      <c r="AE357" s="22">
        <v>115387.07941762415</v>
      </c>
      <c r="AF357" s="23">
        <v>47470.885933333353</v>
      </c>
      <c r="AG357" s="24">
        <v>147985.14093333372</v>
      </c>
      <c r="AH357" s="15">
        <v>0.5</v>
      </c>
      <c r="AI357" s="76"/>
      <c r="AJ357" s="77"/>
      <c r="AK357" s="77"/>
      <c r="AL357" s="77"/>
      <c r="AM357" s="77"/>
      <c r="AN357" s="76"/>
      <c r="AO357" s="76"/>
      <c r="AP357" s="77"/>
      <c r="AQ357" s="77"/>
      <c r="AR357" s="77"/>
      <c r="AS357" s="77"/>
      <c r="AT357" s="77"/>
      <c r="AU357" s="77"/>
      <c r="AV357" s="77"/>
      <c r="AW357" s="77"/>
      <c r="AX357" s="76"/>
      <c r="AY357" s="76"/>
      <c r="AZ357" s="76"/>
      <c r="BA357" s="76"/>
      <c r="BB357" s="76"/>
      <c r="BC357" s="76"/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77"/>
    </row>
    <row r="358" spans="1:68" ht="15" customHeight="1" x14ac:dyDescent="0.25">
      <c r="A358" s="1">
        <f t="shared" si="23"/>
        <v>139</v>
      </c>
      <c r="B358" s="1" t="str">
        <f t="shared" si="20"/>
        <v xml:space="preserve">Chattanooga </v>
      </c>
      <c r="C358" s="1">
        <f t="shared" si="21"/>
        <v>0</v>
      </c>
      <c r="D358" s="2" t="str">
        <f t="shared" si="22"/>
        <v>2024-11</v>
      </c>
      <c r="E358" s="3" t="s">
        <v>339</v>
      </c>
      <c r="F358" s="4" t="s">
        <v>74</v>
      </c>
      <c r="G358" s="39">
        <v>45621</v>
      </c>
      <c r="H358" s="40">
        <v>-538</v>
      </c>
      <c r="I358" s="40">
        <v>431</v>
      </c>
      <c r="J358" s="7">
        <v>-400</v>
      </c>
      <c r="K358" s="8">
        <v>2.1802516896628626E-2</v>
      </c>
      <c r="L358" s="9">
        <v>1.7442013517302901E-2</v>
      </c>
      <c r="M358" s="10">
        <v>-447.77115987460814</v>
      </c>
      <c r="N358" s="11">
        <v>1.25</v>
      </c>
      <c r="O358" s="12">
        <v>6043.0581552288486</v>
      </c>
      <c r="P358" s="32" t="s">
        <v>143</v>
      </c>
      <c r="Q358" s="81" t="s">
        <v>81</v>
      </c>
      <c r="R358" s="82"/>
      <c r="S358" s="32"/>
      <c r="T358" s="32">
        <v>2057.0250000000001</v>
      </c>
      <c r="U358" s="32">
        <v>2057.0250000000001</v>
      </c>
      <c r="V358" s="74" t="s">
        <v>77</v>
      </c>
      <c r="W358" s="15"/>
      <c r="X358" s="15"/>
      <c r="Y358" s="16"/>
      <c r="Z358" s="17"/>
      <c r="AA358" s="18"/>
      <c r="AB358" s="75">
        <v>514.26</v>
      </c>
      <c r="AC358" s="20">
        <v>44.848322319287504</v>
      </c>
      <c r="AD358" s="21">
        <v>45621</v>
      </c>
      <c r="AE358" s="22">
        <v>115864.52602422518</v>
      </c>
      <c r="AF358" s="23">
        <v>39100.510933333353</v>
      </c>
      <c r="AG358" s="24">
        <v>138586.25093333377</v>
      </c>
      <c r="AH358" s="15">
        <v>0.5</v>
      </c>
      <c r="AI358" s="76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/>
      <c r="BN358" s="77"/>
      <c r="BO358" s="77"/>
      <c r="BP358" s="77"/>
    </row>
    <row r="359" spans="1:68" ht="15" customHeight="1" x14ac:dyDescent="0.25">
      <c r="A359" s="1">
        <f t="shared" si="23"/>
        <v>139</v>
      </c>
      <c r="B359" s="1" t="str">
        <f t="shared" si="20"/>
        <v xml:space="preserve">Chattanooga </v>
      </c>
      <c r="C359" s="1">
        <f t="shared" si="21"/>
        <v>0</v>
      </c>
      <c r="D359" s="2" t="str">
        <f t="shared" si="22"/>
        <v>2024-11</v>
      </c>
      <c r="E359" s="3" t="s">
        <v>339</v>
      </c>
      <c r="F359" s="4" t="s">
        <v>83</v>
      </c>
      <c r="G359" s="39">
        <v>45621</v>
      </c>
      <c r="H359" s="40">
        <v>-538</v>
      </c>
      <c r="I359" s="40">
        <v>431</v>
      </c>
      <c r="J359" s="7">
        <v>-400</v>
      </c>
      <c r="K359" s="8">
        <v>2.1802516896628626E-2</v>
      </c>
      <c r="L359" s="9">
        <v>1.7442013517302901E-2</v>
      </c>
      <c r="M359" s="10">
        <v>-447.77115987460814</v>
      </c>
      <c r="N359" s="11">
        <v>1.25</v>
      </c>
      <c r="O359" s="12">
        <v>6065.4824799073695</v>
      </c>
      <c r="P359" s="32" t="s">
        <v>143</v>
      </c>
      <c r="Q359" s="80" t="s">
        <v>81</v>
      </c>
      <c r="R359" s="82"/>
      <c r="S359" s="32"/>
      <c r="T359" s="32">
        <v>2057.0250000000001</v>
      </c>
      <c r="U359" s="32">
        <v>2057.0250000000001</v>
      </c>
      <c r="V359" s="74" t="s">
        <v>77</v>
      </c>
      <c r="W359" s="15"/>
      <c r="X359" s="15"/>
      <c r="Y359" s="16"/>
      <c r="Z359" s="17"/>
      <c r="AA359" s="18"/>
      <c r="AB359" s="75">
        <v>514.26</v>
      </c>
      <c r="AC359" s="20">
        <v>44.848322319287504</v>
      </c>
      <c r="AD359" s="21">
        <v>45621</v>
      </c>
      <c r="AE359" s="22">
        <v>115909.37434654447</v>
      </c>
      <c r="AF359" s="23">
        <v>39614.770933333355</v>
      </c>
      <c r="AG359" s="24">
        <v>139100.51093333378</v>
      </c>
      <c r="AH359" s="15">
        <v>0.5</v>
      </c>
      <c r="AI359" s="76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7"/>
      <c r="BN359" s="77"/>
      <c r="BO359" s="77"/>
      <c r="BP359" s="77"/>
    </row>
    <row r="360" spans="1:68" ht="15" customHeight="1" x14ac:dyDescent="0.25">
      <c r="A360" s="1">
        <f t="shared" si="23"/>
        <v>140</v>
      </c>
      <c r="B360" s="1" t="str">
        <f t="shared" si="20"/>
        <v xml:space="preserve">Clemson </v>
      </c>
      <c r="C360" s="1">
        <f t="shared" si="21"/>
        <v>0</v>
      </c>
      <c r="D360" s="2" t="str">
        <f t="shared" si="22"/>
        <v>2024-11</v>
      </c>
      <c r="E360" s="3" t="s">
        <v>340</v>
      </c>
      <c r="F360" s="4" t="s">
        <v>74</v>
      </c>
      <c r="G360" s="39">
        <v>45621</v>
      </c>
      <c r="H360" s="40">
        <v>-155</v>
      </c>
      <c r="I360" s="40">
        <v>138</v>
      </c>
      <c r="J360" s="7">
        <v>-137</v>
      </c>
      <c r="K360" s="8">
        <v>2.2872372163328283E-2</v>
      </c>
      <c r="L360" s="9">
        <v>1.3221582220995676E-2</v>
      </c>
      <c r="M360" s="10">
        <v>-144.66666666666663</v>
      </c>
      <c r="N360" s="11">
        <v>1.7299270072992701</v>
      </c>
      <c r="O360" s="12">
        <v>2237.5408354677297</v>
      </c>
      <c r="P360" s="32" t="s">
        <v>143</v>
      </c>
      <c r="Q360" s="81" t="s">
        <v>81</v>
      </c>
      <c r="R360" s="82"/>
      <c r="S360" s="32"/>
      <c r="T360" s="32">
        <v>704.95500000000004</v>
      </c>
      <c r="U360" s="32">
        <v>704.95500000000004</v>
      </c>
      <c r="V360" s="74" t="s">
        <v>77</v>
      </c>
      <c r="W360" s="15"/>
      <c r="X360" s="15"/>
      <c r="Y360" s="16"/>
      <c r="Z360" s="17"/>
      <c r="AA360" s="18"/>
      <c r="AB360" s="75">
        <v>514.57000000000005</v>
      </c>
      <c r="AC360" s="20">
        <v>16.123993118399092</v>
      </c>
      <c r="AD360" s="21">
        <v>45621</v>
      </c>
      <c r="AE360" s="22">
        <v>115604.05431808119</v>
      </c>
      <c r="AF360" s="23">
        <v>43328.045933333349</v>
      </c>
      <c r="AG360" s="24">
        <v>142813.47593333374</v>
      </c>
      <c r="AH360" s="15">
        <v>0.5</v>
      </c>
      <c r="AI360" s="76"/>
      <c r="AJ360" s="77"/>
      <c r="AK360" s="77"/>
      <c r="AL360" s="77"/>
      <c r="AM360" s="77"/>
      <c r="AN360" s="76"/>
      <c r="AO360" s="76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6"/>
      <c r="BC360" s="76"/>
      <c r="BD360" s="77"/>
      <c r="BE360" s="77"/>
      <c r="BF360" s="77"/>
      <c r="BG360" s="77"/>
      <c r="BH360" s="77"/>
      <c r="BI360" s="77"/>
      <c r="BJ360" s="77"/>
      <c r="BK360" s="77"/>
      <c r="BL360" s="77"/>
      <c r="BM360" s="77"/>
      <c r="BN360" s="77"/>
      <c r="BO360" s="77"/>
      <c r="BP360" s="77"/>
    </row>
    <row r="361" spans="1:68" ht="15" customHeight="1" x14ac:dyDescent="0.25">
      <c r="A361" s="1">
        <f t="shared" si="23"/>
        <v>140</v>
      </c>
      <c r="B361" s="1" t="str">
        <f t="shared" si="20"/>
        <v xml:space="preserve">Clemson </v>
      </c>
      <c r="C361" s="1">
        <f t="shared" si="21"/>
        <v>0</v>
      </c>
      <c r="D361" s="2" t="str">
        <f t="shared" si="22"/>
        <v>2024-11</v>
      </c>
      <c r="E361" s="3" t="s">
        <v>340</v>
      </c>
      <c r="F361" s="4" t="s">
        <v>83</v>
      </c>
      <c r="G361" s="39">
        <v>45621</v>
      </c>
      <c r="H361" s="40">
        <v>-155</v>
      </c>
      <c r="I361" s="40">
        <v>138</v>
      </c>
      <c r="J361" s="7">
        <v>-137</v>
      </c>
      <c r="K361" s="8">
        <v>2.2872372163328283E-2</v>
      </c>
      <c r="L361" s="9">
        <v>1.3221582220995676E-2</v>
      </c>
      <c r="M361" s="10">
        <v>-144.66666666666663</v>
      </c>
      <c r="N361" s="11">
        <v>1.7299270072992701</v>
      </c>
      <c r="O361" s="12">
        <v>2245.6028995004272</v>
      </c>
      <c r="P361" s="32" t="s">
        <v>143</v>
      </c>
      <c r="Q361" s="81" t="s">
        <v>81</v>
      </c>
      <c r="R361" s="82"/>
      <c r="S361" s="32"/>
      <c r="T361" s="32">
        <v>704.95500000000004</v>
      </c>
      <c r="U361" s="32">
        <v>704.95500000000004</v>
      </c>
      <c r="V361" s="74" t="s">
        <v>77</v>
      </c>
      <c r="W361" s="15"/>
      <c r="X361" s="15"/>
      <c r="Y361" s="16"/>
      <c r="Z361" s="17"/>
      <c r="AA361" s="18"/>
      <c r="AB361" s="75">
        <v>514.57000000000005</v>
      </c>
      <c r="AC361" s="20">
        <v>16.123993118399092</v>
      </c>
      <c r="AD361" s="21">
        <v>45621</v>
      </c>
      <c r="AE361" s="22">
        <v>115620.17831119959</v>
      </c>
      <c r="AF361" s="23">
        <v>43842.615933333349</v>
      </c>
      <c r="AG361" s="24">
        <v>143328.04593333375</v>
      </c>
      <c r="AH361" s="15">
        <v>0.5</v>
      </c>
      <c r="AI361" s="76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/>
      <c r="BP361" s="77"/>
    </row>
    <row r="362" spans="1:68" ht="15" customHeight="1" x14ac:dyDescent="0.25">
      <c r="A362" s="1">
        <f t="shared" si="23"/>
        <v>141</v>
      </c>
      <c r="B362" s="1" t="str">
        <f t="shared" si="20"/>
        <v xml:space="preserve">Colorado </v>
      </c>
      <c r="C362" s="1">
        <f t="shared" si="21"/>
        <v>0</v>
      </c>
      <c r="D362" s="2" t="str">
        <f t="shared" si="22"/>
        <v>2024-11</v>
      </c>
      <c r="E362" s="3" t="s">
        <v>341</v>
      </c>
      <c r="F362" s="4" t="s">
        <v>74</v>
      </c>
      <c r="G362" s="39">
        <v>45621</v>
      </c>
      <c r="H362" s="40">
        <v>-113</v>
      </c>
      <c r="I362" s="40">
        <v>108</v>
      </c>
      <c r="J362" s="7">
        <v>100</v>
      </c>
      <c r="K362" s="8">
        <v>4.9192036425319108E-2</v>
      </c>
      <c r="L362" s="9">
        <v>2.4596018212659554E-2</v>
      </c>
      <c r="M362" s="10">
        <v>-110.34741784037557</v>
      </c>
      <c r="N362" s="11">
        <v>2</v>
      </c>
      <c r="O362" s="12">
        <v>3627.1965962533159</v>
      </c>
      <c r="P362" s="32" t="s">
        <v>143</v>
      </c>
      <c r="Q362" s="81" t="s">
        <v>76</v>
      </c>
      <c r="R362" s="82"/>
      <c r="S362" s="32"/>
      <c r="T362" s="32">
        <v>787.125</v>
      </c>
      <c r="U362" s="32">
        <v>787.125</v>
      </c>
      <c r="V362" s="74" t="s">
        <v>82</v>
      </c>
      <c r="W362" s="15"/>
      <c r="X362" s="15"/>
      <c r="Y362" s="16"/>
      <c r="Z362" s="17"/>
      <c r="AA362" s="18"/>
      <c r="AB362" s="75">
        <v>-787.125</v>
      </c>
      <c r="AC362" s="20">
        <v>38.720281671279302</v>
      </c>
      <c r="AD362" s="21">
        <v>45621</v>
      </c>
      <c r="AE362" s="22">
        <v>115425.79969929543</v>
      </c>
      <c r="AF362" s="23">
        <v>46683.760933333353</v>
      </c>
      <c r="AG362" s="24">
        <v>147470.88593333372</v>
      </c>
      <c r="AH362" s="15">
        <v>0.5</v>
      </c>
      <c r="AI362" s="76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  <c r="BK362" s="77"/>
      <c r="BL362" s="77"/>
      <c r="BM362" s="77"/>
      <c r="BN362" s="77"/>
      <c r="BO362" s="77"/>
      <c r="BP362" s="77"/>
    </row>
    <row r="363" spans="1:68" ht="15" customHeight="1" x14ac:dyDescent="0.25">
      <c r="A363" s="1">
        <f t="shared" si="23"/>
        <v>141</v>
      </c>
      <c r="B363" s="1" t="str">
        <f t="shared" si="20"/>
        <v xml:space="preserve">Colorado </v>
      </c>
      <c r="C363" s="1">
        <f t="shared" si="21"/>
        <v>0</v>
      </c>
      <c r="D363" s="2" t="str">
        <f t="shared" si="22"/>
        <v>2024-11</v>
      </c>
      <c r="E363" s="3" t="s">
        <v>341</v>
      </c>
      <c r="F363" s="4" t="s">
        <v>83</v>
      </c>
      <c r="G363" s="39">
        <v>45621</v>
      </c>
      <c r="H363" s="40">
        <v>-113</v>
      </c>
      <c r="I363" s="40">
        <v>108</v>
      </c>
      <c r="J363" s="7">
        <v>100</v>
      </c>
      <c r="K363" s="8">
        <v>4.9192036425319108E-2</v>
      </c>
      <c r="L363" s="9">
        <v>2.4596018212659554E-2</v>
      </c>
      <c r="M363" s="10">
        <v>-110.34741784037557</v>
      </c>
      <c r="N363" s="11">
        <v>2</v>
      </c>
      <c r="O363" s="12">
        <v>3607.836455417676</v>
      </c>
      <c r="P363" s="32" t="s">
        <v>143</v>
      </c>
      <c r="Q363" s="81" t="s">
        <v>76</v>
      </c>
      <c r="R363" s="82"/>
      <c r="S363" s="32"/>
      <c r="T363" s="32">
        <v>787.125</v>
      </c>
      <c r="U363" s="32">
        <v>787.125</v>
      </c>
      <c r="V363" s="74" t="s">
        <v>82</v>
      </c>
      <c r="W363" s="15"/>
      <c r="X363" s="15"/>
      <c r="Y363" s="16"/>
      <c r="Z363" s="17"/>
      <c r="AA363" s="18"/>
      <c r="AB363" s="75">
        <v>-787.125</v>
      </c>
      <c r="AC363" s="20">
        <v>38.720281671279302</v>
      </c>
      <c r="AD363" s="21">
        <v>45621</v>
      </c>
      <c r="AE363" s="22">
        <v>115464.51998096671</v>
      </c>
      <c r="AF363" s="23">
        <v>45896.635933333353</v>
      </c>
      <c r="AG363" s="24">
        <v>146683.76093333372</v>
      </c>
      <c r="AH363" s="15">
        <v>0.5</v>
      </c>
      <c r="AI363" s="76"/>
      <c r="AJ363" s="77"/>
      <c r="AK363" s="77"/>
      <c r="AL363" s="77"/>
      <c r="AM363" s="77"/>
      <c r="AN363" s="76"/>
      <c r="AO363" s="76"/>
      <c r="AP363" s="77"/>
      <c r="AQ363" s="77"/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6"/>
      <c r="BC363" s="76"/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76"/>
    </row>
    <row r="364" spans="1:68" ht="15" customHeight="1" x14ac:dyDescent="0.25">
      <c r="A364" s="1">
        <f t="shared" si="23"/>
        <v>141</v>
      </c>
      <c r="B364" s="1" t="str">
        <f t="shared" si="20"/>
        <v xml:space="preserve">Colorado </v>
      </c>
      <c r="C364" s="1">
        <f t="shared" si="21"/>
        <v>0</v>
      </c>
      <c r="D364" s="2" t="str">
        <f t="shared" si="22"/>
        <v>2024-11</v>
      </c>
      <c r="E364" s="3" t="s">
        <v>342</v>
      </c>
      <c r="F364" s="4" t="s">
        <v>74</v>
      </c>
      <c r="G364" s="39">
        <v>45621</v>
      </c>
      <c r="H364" s="40">
        <v>-137</v>
      </c>
      <c r="I364" s="40">
        <v>114</v>
      </c>
      <c r="J364" s="7">
        <v>-109</v>
      </c>
      <c r="K364" s="8">
        <v>6.0304947497491782E-2</v>
      </c>
      <c r="L364" s="9">
        <v>3.1450905632663173E-2</v>
      </c>
      <c r="M364" s="10">
        <v>-123.70464135021095</v>
      </c>
      <c r="N364" s="11">
        <v>1.9174311926605505</v>
      </c>
      <c r="O364" s="12">
        <v>4795.0674886610977</v>
      </c>
      <c r="P364" s="32" t="s">
        <v>143</v>
      </c>
      <c r="Q364" s="81" t="s">
        <v>76</v>
      </c>
      <c r="R364" s="82"/>
      <c r="S364" s="32"/>
      <c r="T364" s="32">
        <v>838.45500000000004</v>
      </c>
      <c r="U364" s="32">
        <v>838.45500000000004</v>
      </c>
      <c r="V364" s="74" t="s">
        <v>82</v>
      </c>
      <c r="W364" s="15"/>
      <c r="X364" s="15"/>
      <c r="Y364" s="16"/>
      <c r="Z364" s="17"/>
      <c r="AA364" s="18"/>
      <c r="AB364" s="75">
        <v>-838.45500000000004</v>
      </c>
      <c r="AC364" s="20">
        <v>50.562984754009477</v>
      </c>
      <c r="AD364" s="21">
        <v>45621</v>
      </c>
      <c r="AE364" s="22">
        <v>115515.08296572072</v>
      </c>
      <c r="AF364" s="23">
        <v>45058.180933333351</v>
      </c>
      <c r="AG364" s="24">
        <v>145896.63593333372</v>
      </c>
      <c r="AH364" s="15">
        <v>0.5</v>
      </c>
      <c r="AI364" s="76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  <c r="BK364" s="77"/>
      <c r="BL364" s="77"/>
      <c r="BM364" s="77"/>
      <c r="BN364" s="77"/>
      <c r="BO364" s="77"/>
      <c r="BP364" s="77"/>
    </row>
    <row r="365" spans="1:68" ht="15" customHeight="1" x14ac:dyDescent="0.25">
      <c r="A365" s="1">
        <f t="shared" si="23"/>
        <v>141</v>
      </c>
      <c r="B365" s="1" t="str">
        <f t="shared" si="20"/>
        <v xml:space="preserve">Colorado </v>
      </c>
      <c r="C365" s="1">
        <f t="shared" si="21"/>
        <v>0</v>
      </c>
      <c r="D365" s="2" t="str">
        <f t="shared" si="22"/>
        <v>2024-11</v>
      </c>
      <c r="E365" s="3" t="s">
        <v>342</v>
      </c>
      <c r="F365" s="4" t="s">
        <v>83</v>
      </c>
      <c r="G365" s="39">
        <v>45621</v>
      </c>
      <c r="H365" s="40">
        <v>-137</v>
      </c>
      <c r="I365" s="40">
        <v>114</v>
      </c>
      <c r="J365" s="7">
        <v>-109</v>
      </c>
      <c r="K365" s="8">
        <v>6.0304947497491782E-2</v>
      </c>
      <c r="L365" s="9">
        <v>3.1450905632663173E-2</v>
      </c>
      <c r="M365" s="10">
        <v>-123.70464135021095</v>
      </c>
      <c r="N365" s="11">
        <v>1.9174311926605505</v>
      </c>
      <c r="O365" s="12">
        <v>4767.5106619701628</v>
      </c>
      <c r="P365" s="32" t="s">
        <v>143</v>
      </c>
      <c r="Q365" s="81" t="s">
        <v>76</v>
      </c>
      <c r="R365" s="82"/>
      <c r="S365" s="32"/>
      <c r="T365" s="32">
        <v>838.45500000000004</v>
      </c>
      <c r="U365" s="32">
        <v>838.45500000000004</v>
      </c>
      <c r="V365" s="74" t="s">
        <v>82</v>
      </c>
      <c r="W365" s="15"/>
      <c r="X365" s="15"/>
      <c r="Y365" s="16"/>
      <c r="Z365" s="17"/>
      <c r="AA365" s="18"/>
      <c r="AB365" s="75">
        <v>-838.45500000000004</v>
      </c>
      <c r="AC365" s="20">
        <v>50.562984754009477</v>
      </c>
      <c r="AD365" s="21">
        <v>45621</v>
      </c>
      <c r="AE365" s="22">
        <v>115565.64595047473</v>
      </c>
      <c r="AF365" s="23">
        <v>44219.72593333335</v>
      </c>
      <c r="AG365" s="24">
        <v>145058.18093333373</v>
      </c>
      <c r="AH365" s="15">
        <v>0.5</v>
      </c>
      <c r="AI365" s="76"/>
      <c r="AJ365" s="76"/>
      <c r="AK365" s="76"/>
      <c r="AL365" s="76"/>
      <c r="AM365" s="76"/>
      <c r="AN365" s="76"/>
      <c r="AO365" s="76"/>
      <c r="AP365" s="77"/>
      <c r="AQ365" s="77"/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6"/>
      <c r="BC365" s="76"/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76"/>
    </row>
    <row r="366" spans="1:68" ht="15" customHeight="1" x14ac:dyDescent="0.25">
      <c r="A366" s="1">
        <f t="shared" si="23"/>
        <v>142</v>
      </c>
      <c r="B366" s="1" t="str">
        <f t="shared" si="20"/>
        <v xml:space="preserve">Mavericks </v>
      </c>
      <c r="C366" s="1">
        <f t="shared" si="21"/>
        <v>0</v>
      </c>
      <c r="D366" s="2" t="str">
        <f t="shared" si="22"/>
        <v>2024-11</v>
      </c>
      <c r="E366" s="3" t="s">
        <v>343</v>
      </c>
      <c r="F366" s="4" t="s">
        <v>74</v>
      </c>
      <c r="G366" s="39">
        <v>45621</v>
      </c>
      <c r="H366" s="40">
        <v>138</v>
      </c>
      <c r="I366" s="40">
        <v>-149</v>
      </c>
      <c r="J366" s="7">
        <v>155</v>
      </c>
      <c r="K366" s="8">
        <v>5.1903515456744188E-2</v>
      </c>
      <c r="L366" s="9">
        <v>2.0354319786958508E-2</v>
      </c>
      <c r="M366" s="10">
        <v>142.41767068273091</v>
      </c>
      <c r="N366" s="11">
        <v>2.5499999999999998</v>
      </c>
      <c r="O366" s="12">
        <v>2353.9128449971931</v>
      </c>
      <c r="P366" s="32" t="s">
        <v>75</v>
      </c>
      <c r="Q366" s="81" t="s">
        <v>81</v>
      </c>
      <c r="R366" s="82"/>
      <c r="S366" s="32"/>
      <c r="T366" s="32">
        <v>414.72</v>
      </c>
      <c r="U366" s="32">
        <v>414.72</v>
      </c>
      <c r="V366" s="74" t="s">
        <v>77</v>
      </c>
      <c r="W366" s="15"/>
      <c r="X366" s="15"/>
      <c r="Y366" s="16"/>
      <c r="Z366" s="17"/>
      <c r="AA366" s="18"/>
      <c r="AB366" s="75">
        <v>642.82000000000005</v>
      </c>
      <c r="AC366" s="20">
        <v>21.525425930220951</v>
      </c>
      <c r="AD366" s="21">
        <v>45621</v>
      </c>
      <c r="AE366" s="22">
        <v>115994.72386231806</v>
      </c>
      <c r="AF366" s="23">
        <v>41233.10093333335</v>
      </c>
      <c r="AG366" s="24">
        <v>140590.28093333379</v>
      </c>
      <c r="AH366" s="15">
        <v>0.5</v>
      </c>
      <c r="AI366" s="76"/>
      <c r="AJ366" s="77"/>
      <c r="AK366" s="77"/>
      <c r="AL366" s="77"/>
      <c r="AM366" s="77"/>
      <c r="AN366" s="76"/>
      <c r="AO366" s="76"/>
      <c r="AP366" s="77"/>
      <c r="AQ366" s="77"/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6"/>
      <c r="BC366" s="76"/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77"/>
    </row>
    <row r="367" spans="1:68" ht="15" customHeight="1" x14ac:dyDescent="0.25">
      <c r="A367" s="1">
        <f t="shared" si="23"/>
        <v>142</v>
      </c>
      <c r="B367" s="1" t="str">
        <f t="shared" si="20"/>
        <v xml:space="preserve">Mavericks </v>
      </c>
      <c r="C367" s="1">
        <f t="shared" si="21"/>
        <v>0</v>
      </c>
      <c r="D367" s="2" t="str">
        <f t="shared" si="22"/>
        <v>2024-11</v>
      </c>
      <c r="E367" s="3" t="s">
        <v>343</v>
      </c>
      <c r="F367" s="4" t="s">
        <v>83</v>
      </c>
      <c r="G367" s="39">
        <v>45621</v>
      </c>
      <c r="H367" s="40">
        <v>138</v>
      </c>
      <c r="I367" s="40">
        <v>-149</v>
      </c>
      <c r="J367" s="7">
        <v>155</v>
      </c>
      <c r="K367" s="8">
        <v>5.1903515456744188E-2</v>
      </c>
      <c r="L367" s="9">
        <v>2.0354319786958508E-2</v>
      </c>
      <c r="M367" s="10">
        <v>142.41767068273091</v>
      </c>
      <c r="N367" s="11">
        <v>2.5499999999999998</v>
      </c>
      <c r="O367" s="12">
        <v>2364.6756249345817</v>
      </c>
      <c r="P367" s="32" t="s">
        <v>75</v>
      </c>
      <c r="Q367" s="81" t="s">
        <v>81</v>
      </c>
      <c r="R367" s="82"/>
      <c r="S367" s="32"/>
      <c r="T367" s="32">
        <v>414.72</v>
      </c>
      <c r="U367" s="32">
        <v>414.72</v>
      </c>
      <c r="V367" s="74" t="s">
        <v>77</v>
      </c>
      <c r="W367" s="15"/>
      <c r="X367" s="15"/>
      <c r="Y367" s="16"/>
      <c r="Z367" s="17"/>
      <c r="AA367" s="18"/>
      <c r="AB367" s="75">
        <v>642.82000000000005</v>
      </c>
      <c r="AC367" s="20">
        <v>21.525425930220951</v>
      </c>
      <c r="AD367" s="21">
        <v>45621</v>
      </c>
      <c r="AE367" s="22">
        <v>116016.24928824828</v>
      </c>
      <c r="AF367" s="23">
        <v>41875.920933333349</v>
      </c>
      <c r="AG367" s="24">
        <v>141233.1009333338</v>
      </c>
      <c r="AH367" s="15">
        <v>0.5</v>
      </c>
      <c r="AI367" s="76"/>
      <c r="AJ367" s="76"/>
      <c r="AK367" s="76"/>
      <c r="AL367" s="76"/>
      <c r="AM367" s="76"/>
      <c r="AN367" s="77"/>
      <c r="AO367" s="77"/>
      <c r="AP367" s="77"/>
      <c r="AQ367" s="77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  <c r="BK367" s="77"/>
      <c r="BL367" s="77"/>
      <c r="BM367" s="77"/>
      <c r="BN367" s="77"/>
      <c r="BO367" s="77"/>
      <c r="BP367" s="76"/>
    </row>
    <row r="368" spans="1:68" ht="15" customHeight="1" x14ac:dyDescent="0.25">
      <c r="A368" s="1">
        <f t="shared" si="23"/>
        <v>143</v>
      </c>
      <c r="B368" s="1" t="str">
        <f t="shared" si="20"/>
        <v xml:space="preserve">Nets </v>
      </c>
      <c r="C368" s="1">
        <f t="shared" si="21"/>
        <v>0</v>
      </c>
      <c r="D368" s="2" t="str">
        <f t="shared" si="22"/>
        <v>2024-11</v>
      </c>
      <c r="E368" s="3" t="s">
        <v>344</v>
      </c>
      <c r="F368" s="4" t="s">
        <v>74</v>
      </c>
      <c r="G368" s="39">
        <v>45621</v>
      </c>
      <c r="H368" s="40">
        <v>-163</v>
      </c>
      <c r="I368" s="40">
        <v>142</v>
      </c>
      <c r="J368" s="7">
        <v>-141</v>
      </c>
      <c r="K368" s="8">
        <v>2.5490319180219385E-2</v>
      </c>
      <c r="L368" s="9">
        <v>1.4913423254817149E-2</v>
      </c>
      <c r="M368" s="10">
        <v>-149.98479087452472</v>
      </c>
      <c r="N368" s="11">
        <v>1.7092198581560285</v>
      </c>
      <c r="O368" s="12">
        <v>2543.4105884804353</v>
      </c>
      <c r="P368" s="32" t="s">
        <v>75</v>
      </c>
      <c r="Q368" s="81" t="s">
        <v>76</v>
      </c>
      <c r="R368" s="82"/>
      <c r="S368" s="32"/>
      <c r="T368" s="32">
        <v>905.375</v>
      </c>
      <c r="U368" s="32">
        <v>905.375</v>
      </c>
      <c r="V368" s="74" t="s">
        <v>77</v>
      </c>
      <c r="W368" s="15"/>
      <c r="X368" s="15"/>
      <c r="Y368" s="16"/>
      <c r="Z368" s="17"/>
      <c r="AA368" s="18"/>
      <c r="AB368" s="75">
        <v>642.11</v>
      </c>
      <c r="AC368" s="20">
        <v>23.078297727791124</v>
      </c>
      <c r="AD368" s="21">
        <v>45621</v>
      </c>
      <c r="AE368" s="22">
        <v>116057.99909634744</v>
      </c>
      <c r="AF368" s="23">
        <v>42173.275933333352</v>
      </c>
      <c r="AG368" s="24">
        <v>141531.1659333338</v>
      </c>
      <c r="AH368" s="15">
        <v>0.5</v>
      </c>
      <c r="AI368" s="76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  <c r="BK368" s="77"/>
      <c r="BL368" s="77"/>
      <c r="BM368" s="77"/>
      <c r="BN368" s="77"/>
      <c r="BO368" s="77"/>
      <c r="BP368" s="77"/>
    </row>
    <row r="369" spans="1:68" ht="15" customHeight="1" x14ac:dyDescent="0.25">
      <c r="A369" s="1">
        <f t="shared" si="23"/>
        <v>144</v>
      </c>
      <c r="B369" s="1" t="str">
        <f t="shared" si="20"/>
        <v xml:space="preserve">North </v>
      </c>
      <c r="C369" s="1">
        <f t="shared" si="21"/>
        <v>0</v>
      </c>
      <c r="D369" s="2" t="str">
        <f t="shared" si="22"/>
        <v>2024-11</v>
      </c>
      <c r="E369" s="3" t="s">
        <v>345</v>
      </c>
      <c r="F369" s="4" t="s">
        <v>74</v>
      </c>
      <c r="G369" s="39">
        <v>45621</v>
      </c>
      <c r="H369" s="40">
        <v>-411</v>
      </c>
      <c r="I369" s="40">
        <v>340</v>
      </c>
      <c r="J369" s="7">
        <v>-295</v>
      </c>
      <c r="K369" s="8">
        <v>4.3984198134233959E-2</v>
      </c>
      <c r="L369" s="9">
        <v>3.284895810025068E-2</v>
      </c>
      <c r="M369" s="10">
        <v>-353.89432485322885</v>
      </c>
      <c r="N369" s="11">
        <v>1.3389830508474576</v>
      </c>
      <c r="O369" s="12">
        <v>9795.8061068890129</v>
      </c>
      <c r="P369" s="32" t="s">
        <v>143</v>
      </c>
      <c r="Q369" s="81" t="s">
        <v>81</v>
      </c>
      <c r="R369" s="82"/>
      <c r="S369" s="32"/>
      <c r="T369" s="32">
        <v>1512.51</v>
      </c>
      <c r="U369" s="32">
        <v>1512.51</v>
      </c>
      <c r="V369" s="74" t="s">
        <v>77</v>
      </c>
      <c r="W369" s="15"/>
      <c r="X369" s="15"/>
      <c r="Y369" s="16"/>
      <c r="Z369" s="17"/>
      <c r="AA369" s="18"/>
      <c r="AB369" s="75">
        <v>512.72</v>
      </c>
      <c r="AC369" s="20">
        <v>66.526539520010203</v>
      </c>
      <c r="AD369" s="21">
        <v>45621</v>
      </c>
      <c r="AE369" s="22">
        <v>115092.72542739574</v>
      </c>
      <c r="AF369" s="23">
        <v>51503.865933333334</v>
      </c>
      <c r="AG369" s="24">
        <v>150991.14593333378</v>
      </c>
      <c r="AH369" s="15">
        <v>0.5</v>
      </c>
      <c r="AI369" s="76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77"/>
    </row>
    <row r="370" spans="1:68" ht="15" customHeight="1" x14ac:dyDescent="0.25">
      <c r="A370" s="1">
        <f t="shared" si="23"/>
        <v>144</v>
      </c>
      <c r="B370" s="1" t="str">
        <f t="shared" si="20"/>
        <v xml:space="preserve">North </v>
      </c>
      <c r="C370" s="1">
        <f t="shared" si="21"/>
        <v>0</v>
      </c>
      <c r="D370" s="2" t="str">
        <f t="shared" si="22"/>
        <v>2024-11</v>
      </c>
      <c r="E370" s="3" t="s">
        <v>345</v>
      </c>
      <c r="F370" s="4" t="s">
        <v>83</v>
      </c>
      <c r="G370" s="39">
        <v>45621</v>
      </c>
      <c r="H370" s="40">
        <v>-411</v>
      </c>
      <c r="I370" s="40">
        <v>340</v>
      </c>
      <c r="J370" s="7">
        <v>-295</v>
      </c>
      <c r="K370" s="8">
        <v>4.3984198134233959E-2</v>
      </c>
      <c r="L370" s="9">
        <v>3.284895810025068E-2</v>
      </c>
      <c r="M370" s="10">
        <v>-353.89432485322885</v>
      </c>
      <c r="N370" s="11">
        <v>1.3389830508474576</v>
      </c>
      <c r="O370" s="12">
        <v>9829.0696845384045</v>
      </c>
      <c r="P370" s="32" t="s">
        <v>143</v>
      </c>
      <c r="Q370" s="81" t="s">
        <v>81</v>
      </c>
      <c r="R370" s="82"/>
      <c r="S370" s="32"/>
      <c r="T370" s="32">
        <v>1512.51</v>
      </c>
      <c r="U370" s="32">
        <v>1512.51</v>
      </c>
      <c r="V370" s="74" t="s">
        <v>77</v>
      </c>
      <c r="W370" s="15"/>
      <c r="X370" s="15"/>
      <c r="Y370" s="16"/>
      <c r="Z370" s="17"/>
      <c r="AA370" s="18"/>
      <c r="AB370" s="75">
        <v>512.72</v>
      </c>
      <c r="AC370" s="20">
        <v>66.526539520010203</v>
      </c>
      <c r="AD370" s="21">
        <v>45621</v>
      </c>
      <c r="AE370" s="22">
        <v>115159.25196691575</v>
      </c>
      <c r="AF370" s="23">
        <v>52016.585933333336</v>
      </c>
      <c r="AG370" s="24">
        <v>151503.86593333379</v>
      </c>
      <c r="AH370" s="15">
        <v>0.5</v>
      </c>
      <c r="AI370" s="76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  <c r="BM370" s="77"/>
      <c r="BN370" s="77"/>
      <c r="BO370" s="77"/>
      <c r="BP370" s="77"/>
    </row>
    <row r="371" spans="1:68" ht="15" customHeight="1" x14ac:dyDescent="0.25">
      <c r="A371" s="1">
        <f t="shared" si="23"/>
        <v>144</v>
      </c>
      <c r="B371" s="1" t="str">
        <f t="shared" si="20"/>
        <v xml:space="preserve">North </v>
      </c>
      <c r="C371" s="1">
        <f t="shared" si="21"/>
        <v>0</v>
      </c>
      <c r="D371" s="2" t="str">
        <f t="shared" si="22"/>
        <v>2024-11</v>
      </c>
      <c r="E371" s="3" t="s">
        <v>345</v>
      </c>
      <c r="F371" s="4" t="s">
        <v>74</v>
      </c>
      <c r="G371" s="39">
        <v>45621</v>
      </c>
      <c r="H371" s="40">
        <v>-412</v>
      </c>
      <c r="I371" s="40">
        <v>340</v>
      </c>
      <c r="J371" s="7">
        <v>-315</v>
      </c>
      <c r="K371" s="8">
        <v>2.7310763718196865E-2</v>
      </c>
      <c r="L371" s="9">
        <v>2.0729856798149426E-2</v>
      </c>
      <c r="M371" s="10">
        <v>-354.06250000000017</v>
      </c>
      <c r="N371" s="11">
        <v>1.3174603174603174</v>
      </c>
      <c r="O371" s="12">
        <v>6005.4529823354724</v>
      </c>
      <c r="P371" s="32" t="s">
        <v>143</v>
      </c>
      <c r="Q371" s="80" t="s">
        <v>81</v>
      </c>
      <c r="R371" s="82"/>
      <c r="S371" s="32"/>
      <c r="T371" s="32">
        <v>1494.86</v>
      </c>
      <c r="U371" s="32">
        <v>3326.2800000000007</v>
      </c>
      <c r="V371" s="74" t="s">
        <v>77</v>
      </c>
      <c r="W371" s="15"/>
      <c r="X371" s="15"/>
      <c r="Y371" s="16"/>
      <c r="Z371" s="17"/>
      <c r="AA371" s="18"/>
      <c r="AB371" s="75">
        <v>474.56</v>
      </c>
      <c r="AC371" s="20">
        <v>40.825768251783764</v>
      </c>
      <c r="AD371" s="21">
        <v>45621</v>
      </c>
      <c r="AE371" s="22">
        <v>115950.20011479626</v>
      </c>
      <c r="AF371" s="23">
        <v>40089.330933333353</v>
      </c>
      <c r="AG371" s="24">
        <v>139614.77093333378</v>
      </c>
      <c r="AH371" s="15">
        <v>0.5</v>
      </c>
      <c r="AI371" s="76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77"/>
    </row>
    <row r="372" spans="1:68" ht="15" customHeight="1" x14ac:dyDescent="0.25">
      <c r="A372" s="1">
        <f t="shared" si="23"/>
        <v>144</v>
      </c>
      <c r="B372" s="1" t="str">
        <f t="shared" si="20"/>
        <v xml:space="preserve">North </v>
      </c>
      <c r="C372" s="1">
        <f t="shared" si="21"/>
        <v>0</v>
      </c>
      <c r="D372" s="2" t="str">
        <f t="shared" si="22"/>
        <v>2024-11</v>
      </c>
      <c r="E372" s="3" t="s">
        <v>345</v>
      </c>
      <c r="F372" s="4" t="s">
        <v>83</v>
      </c>
      <c r="G372" s="39">
        <v>45621</v>
      </c>
      <c r="H372" s="40">
        <v>-412</v>
      </c>
      <c r="I372" s="40">
        <v>340</v>
      </c>
      <c r="J372" s="7">
        <v>-315</v>
      </c>
      <c r="K372" s="8">
        <v>2.7310763718196865E-2</v>
      </c>
      <c r="L372" s="9">
        <v>2.0729856798149426E-2</v>
      </c>
      <c r="M372" s="10">
        <v>-354.06250000000017</v>
      </c>
      <c r="N372" s="11">
        <v>1.3174603174603174</v>
      </c>
      <c r="O372" s="12">
        <v>6025.865921082891</v>
      </c>
      <c r="P372" s="32" t="s">
        <v>143</v>
      </c>
      <c r="Q372" s="80" t="s">
        <v>81</v>
      </c>
      <c r="R372" s="82"/>
      <c r="S372" s="32"/>
      <c r="T372" s="32">
        <v>0</v>
      </c>
      <c r="U372" s="32">
        <v>4821.1400000000003</v>
      </c>
      <c r="V372" s="74" t="s">
        <v>77</v>
      </c>
      <c r="W372" s="15"/>
      <c r="X372" s="15"/>
      <c r="Y372" s="16"/>
      <c r="Z372" s="17"/>
      <c r="AA372" s="18"/>
      <c r="AB372" s="75">
        <v>0</v>
      </c>
      <c r="AC372" s="20">
        <v>0</v>
      </c>
      <c r="AD372" s="21">
        <v>45621</v>
      </c>
      <c r="AE372" s="22">
        <v>115950.20011479626</v>
      </c>
      <c r="AF372" s="23">
        <v>40089.330933333353</v>
      </c>
      <c r="AG372" s="24">
        <v>140089.33093333378</v>
      </c>
      <c r="AH372" s="15">
        <v>0.5</v>
      </c>
      <c r="AI372" s="76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  <c r="BM372" s="77"/>
      <c r="BN372" s="77"/>
      <c r="BO372" s="77"/>
      <c r="BP372" s="77"/>
    </row>
    <row r="373" spans="1:68" ht="15" customHeight="1" x14ac:dyDescent="0.25">
      <c r="A373" s="1">
        <f t="shared" si="23"/>
        <v>145</v>
      </c>
      <c r="B373" s="1" t="str">
        <f t="shared" si="20"/>
        <v xml:space="preserve">Pelicans </v>
      </c>
      <c r="C373" s="1">
        <f t="shared" si="21"/>
        <v>1</v>
      </c>
      <c r="D373" s="2" t="str">
        <f t="shared" si="22"/>
        <v>2024-11</v>
      </c>
      <c r="E373" s="3" t="s">
        <v>346</v>
      </c>
      <c r="F373" s="4" t="s">
        <v>74</v>
      </c>
      <c r="G373" s="39">
        <v>45621</v>
      </c>
      <c r="H373" s="40">
        <v>-144</v>
      </c>
      <c r="I373" s="40">
        <v>115</v>
      </c>
      <c r="J373" s="7">
        <v>-113</v>
      </c>
      <c r="K373" s="8">
        <v>5.4158780500281424E-2</v>
      </c>
      <c r="L373" s="9">
        <v>2.8732122988412212E-2</v>
      </c>
      <c r="M373" s="10">
        <v>-126.88524590163937</v>
      </c>
      <c r="N373" s="11">
        <v>1.8849557522123894</v>
      </c>
      <c r="O373" s="12">
        <v>4341.3621759585949</v>
      </c>
      <c r="P373" s="32" t="s">
        <v>75</v>
      </c>
      <c r="Q373" s="81" t="s">
        <v>92</v>
      </c>
      <c r="R373" s="82"/>
      <c r="S373" s="32"/>
      <c r="T373" s="32">
        <v>171.41499999999999</v>
      </c>
      <c r="U373" s="32">
        <v>171.41499999999999</v>
      </c>
      <c r="V373" s="74" t="s">
        <v>82</v>
      </c>
      <c r="W373" s="15"/>
      <c r="X373" s="15"/>
      <c r="Y373" s="16"/>
      <c r="Z373" s="17"/>
      <c r="AA373" s="18"/>
      <c r="AB373" s="75">
        <v>-171.41499999999999</v>
      </c>
      <c r="AC373" s="20">
        <v>9.283627359455739</v>
      </c>
      <c r="AD373" s="21">
        <v>45621</v>
      </c>
      <c r="AE373" s="22">
        <v>116025.53291560774</v>
      </c>
      <c r="AF373" s="23">
        <v>41704.505933333348</v>
      </c>
      <c r="AG373" s="24">
        <v>141875.92093333381</v>
      </c>
      <c r="AH373" s="15">
        <v>0.5</v>
      </c>
      <c r="AI373" s="76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  <c r="BM373" s="77"/>
      <c r="BN373" s="77"/>
      <c r="BO373" s="77"/>
      <c r="BP373" s="77"/>
    </row>
    <row r="374" spans="1:68" ht="15" customHeight="1" x14ac:dyDescent="0.25">
      <c r="A374" s="1">
        <f t="shared" si="23"/>
        <v>145</v>
      </c>
      <c r="B374" s="1" t="str">
        <f t="shared" si="20"/>
        <v xml:space="preserve">Pelicans </v>
      </c>
      <c r="C374" s="1">
        <f t="shared" si="21"/>
        <v>1</v>
      </c>
      <c r="D374" s="2" t="str">
        <f t="shared" si="22"/>
        <v>2024-11</v>
      </c>
      <c r="E374" s="3" t="s">
        <v>346</v>
      </c>
      <c r="F374" s="4" t="s">
        <v>83</v>
      </c>
      <c r="G374" s="39">
        <v>45621</v>
      </c>
      <c r="H374" s="40">
        <v>-144</v>
      </c>
      <c r="I374" s="40">
        <v>115</v>
      </c>
      <c r="J374" s="7">
        <v>-113</v>
      </c>
      <c r="K374" s="8">
        <v>5.4158780500281424E-2</v>
      </c>
      <c r="L374" s="9">
        <v>2.8732122988412212E-2</v>
      </c>
      <c r="M374" s="10">
        <v>-126.88524590163937</v>
      </c>
      <c r="N374" s="11">
        <v>1.8849557522123894</v>
      </c>
      <c r="O374" s="12">
        <v>4336.1169265005019</v>
      </c>
      <c r="P374" s="32" t="s">
        <v>75</v>
      </c>
      <c r="Q374" s="81" t="s">
        <v>92</v>
      </c>
      <c r="R374" s="82"/>
      <c r="S374" s="32"/>
      <c r="T374" s="32">
        <v>173.34</v>
      </c>
      <c r="U374" s="32">
        <v>173.34</v>
      </c>
      <c r="V374" s="74" t="s">
        <v>82</v>
      </c>
      <c r="W374" s="15"/>
      <c r="X374" s="15"/>
      <c r="Y374" s="16"/>
      <c r="Z374" s="17"/>
      <c r="AA374" s="18"/>
      <c r="AB374" s="75">
        <v>-173.34</v>
      </c>
      <c r="AC374" s="20">
        <v>9.3878830119187828</v>
      </c>
      <c r="AD374" s="21">
        <v>45621</v>
      </c>
      <c r="AE374" s="22">
        <v>116034.92079861966</v>
      </c>
      <c r="AF374" s="23">
        <v>41531.165933333352</v>
      </c>
      <c r="AG374" s="24">
        <v>141704.5059333338</v>
      </c>
      <c r="AH374" s="15">
        <v>0.5</v>
      </c>
      <c r="AI374" s="76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77"/>
    </row>
    <row r="375" spans="1:68" ht="15" customHeight="1" x14ac:dyDescent="0.25">
      <c r="A375" s="1">
        <f t="shared" si="23"/>
        <v>146</v>
      </c>
      <c r="B375" s="1" t="str">
        <f t="shared" si="20"/>
        <v xml:space="preserve">Sac </v>
      </c>
      <c r="C375" s="1">
        <f t="shared" si="21"/>
        <v>1</v>
      </c>
      <c r="D375" s="2" t="str">
        <f t="shared" si="22"/>
        <v>2024-11</v>
      </c>
      <c r="E375" s="3" t="s">
        <v>347</v>
      </c>
      <c r="F375" s="4" t="s">
        <v>74</v>
      </c>
      <c r="G375" s="39">
        <v>45621</v>
      </c>
      <c r="H375" s="40">
        <v>205</v>
      </c>
      <c r="I375" s="40">
        <v>-259</v>
      </c>
      <c r="J375" s="7">
        <v>300</v>
      </c>
      <c r="K375" s="8">
        <v>0.24983680751990955</v>
      </c>
      <c r="L375" s="9">
        <v>6.2459201879977388E-2</v>
      </c>
      <c r="M375" s="10">
        <v>220.04178272980499</v>
      </c>
      <c r="N375" s="11">
        <v>4</v>
      </c>
      <c r="O375" s="12">
        <v>5988.5854003529994</v>
      </c>
      <c r="P375" s="32" t="s">
        <v>75</v>
      </c>
      <c r="Q375" s="82" t="s">
        <v>92</v>
      </c>
      <c r="R375" s="82"/>
      <c r="S375" s="32"/>
      <c r="T375" s="32">
        <v>128.56</v>
      </c>
      <c r="U375" s="32">
        <v>128.56</v>
      </c>
      <c r="V375" s="74" t="s">
        <v>77</v>
      </c>
      <c r="W375" s="15"/>
      <c r="X375" s="15"/>
      <c r="Y375" s="16"/>
      <c r="Z375" s="17"/>
      <c r="AA375" s="18"/>
      <c r="AB375" s="75">
        <v>385.68</v>
      </c>
      <c r="AC375" s="20">
        <v>32.119019974759574</v>
      </c>
      <c r="AD375" s="21">
        <v>45621</v>
      </c>
      <c r="AE375" s="22">
        <v>116438.64116856038</v>
      </c>
      <c r="AF375" s="23">
        <v>44205.610933333337</v>
      </c>
      <c r="AG375" s="24">
        <v>143819.93093333376</v>
      </c>
      <c r="AH375" s="15">
        <v>0.5</v>
      </c>
      <c r="AI375" s="76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  <c r="BM375" s="77"/>
      <c r="BN375" s="77"/>
      <c r="BO375" s="77"/>
      <c r="BP375" s="77"/>
    </row>
    <row r="376" spans="1:68" ht="15" customHeight="1" x14ac:dyDescent="0.25">
      <c r="A376" s="1">
        <f t="shared" si="23"/>
        <v>146</v>
      </c>
      <c r="B376" s="1" t="str">
        <f t="shared" si="20"/>
        <v xml:space="preserve">Sac </v>
      </c>
      <c r="C376" s="1">
        <f t="shared" si="21"/>
        <v>1</v>
      </c>
      <c r="D376" s="2" t="str">
        <f t="shared" si="22"/>
        <v>2024-11</v>
      </c>
      <c r="E376" s="3" t="s">
        <v>347</v>
      </c>
      <c r="F376" s="4" t="s">
        <v>83</v>
      </c>
      <c r="G376" s="39">
        <v>45621</v>
      </c>
      <c r="H376" s="40">
        <v>205</v>
      </c>
      <c r="I376" s="40">
        <v>-259</v>
      </c>
      <c r="J376" s="7">
        <v>300</v>
      </c>
      <c r="K376" s="8">
        <v>0.24983680751990955</v>
      </c>
      <c r="L376" s="9">
        <v>6.2459201879977388E-2</v>
      </c>
      <c r="M376" s="10">
        <v>220.04178272980499</v>
      </c>
      <c r="N376" s="11">
        <v>4</v>
      </c>
      <c r="O376" s="12">
        <v>6004.6449103403784</v>
      </c>
      <c r="P376" s="32" t="s">
        <v>75</v>
      </c>
      <c r="Q376" s="82" t="s">
        <v>92</v>
      </c>
      <c r="R376" s="82"/>
      <c r="S376" s="32"/>
      <c r="T376" s="32">
        <v>128.56</v>
      </c>
      <c r="U376" s="32">
        <v>128.56</v>
      </c>
      <c r="V376" s="74" t="s">
        <v>77</v>
      </c>
      <c r="W376" s="15"/>
      <c r="X376" s="15"/>
      <c r="Y376" s="16"/>
      <c r="Z376" s="17"/>
      <c r="AA376" s="18"/>
      <c r="AB376" s="75">
        <v>385.68</v>
      </c>
      <c r="AC376" s="20">
        <v>32.119019974759574</v>
      </c>
      <c r="AD376" s="21">
        <v>45621</v>
      </c>
      <c r="AE376" s="22">
        <v>116470.76018853515</v>
      </c>
      <c r="AF376" s="23">
        <v>44591.290933333337</v>
      </c>
      <c r="AG376" s="24">
        <v>144205.61093333375</v>
      </c>
      <c r="AH376" s="15">
        <v>0.5</v>
      </c>
      <c r="AI376" s="76"/>
      <c r="AJ376" s="76"/>
      <c r="AK376" s="76"/>
      <c r="AL376" s="76"/>
      <c r="AM376" s="76"/>
      <c r="AN376" s="76"/>
      <c r="AO376" s="76"/>
      <c r="AP376" s="77"/>
      <c r="AQ376" s="77"/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6"/>
      <c r="BC376" s="76"/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77"/>
    </row>
    <row r="377" spans="1:68" ht="15" customHeight="1" x14ac:dyDescent="0.25">
      <c r="A377" s="1">
        <f t="shared" si="23"/>
        <v>147</v>
      </c>
      <c r="B377" s="1" t="str">
        <f t="shared" si="20"/>
        <v xml:space="preserve">Saint </v>
      </c>
      <c r="C377" s="1">
        <f t="shared" si="21"/>
        <v>0</v>
      </c>
      <c r="D377" s="2" t="str">
        <f t="shared" si="22"/>
        <v>2024-11</v>
      </c>
      <c r="E377" s="3" t="s">
        <v>348</v>
      </c>
      <c r="F377" s="4" t="s">
        <v>74</v>
      </c>
      <c r="G377" s="39">
        <v>45621</v>
      </c>
      <c r="H377" s="40">
        <v>-409</v>
      </c>
      <c r="I377" s="40">
        <v>356</v>
      </c>
      <c r="J377" s="7">
        <v>-345</v>
      </c>
      <c r="K377" s="8">
        <v>1.3306980652316579E-2</v>
      </c>
      <c r="L377" s="9">
        <v>1.0316647921458921E-2</v>
      </c>
      <c r="M377" s="10">
        <v>-366.41257367387027</v>
      </c>
      <c r="N377" s="11">
        <v>1.2898550724637681</v>
      </c>
      <c r="O377" s="12">
        <v>3215.6863781620868</v>
      </c>
      <c r="P377" s="32" t="s">
        <v>143</v>
      </c>
      <c r="Q377" s="81" t="s">
        <v>81</v>
      </c>
      <c r="R377" s="82"/>
      <c r="S377" s="32"/>
      <c r="T377" s="32">
        <v>1728.29</v>
      </c>
      <c r="U377" s="32">
        <v>1728.29</v>
      </c>
      <c r="V377" s="74" t="s">
        <v>77</v>
      </c>
      <c r="W377" s="15"/>
      <c r="X377" s="15"/>
      <c r="Y377" s="16"/>
      <c r="Z377" s="17"/>
      <c r="AA377" s="18"/>
      <c r="AB377" s="75">
        <v>500.95</v>
      </c>
      <c r="AC377" s="20">
        <v>22.998321591592219</v>
      </c>
      <c r="AD377" s="21">
        <v>45621</v>
      </c>
      <c r="AE377" s="22">
        <v>115973.19843638784</v>
      </c>
      <c r="AF377" s="23">
        <v>40590.28093333335</v>
      </c>
      <c r="AG377" s="24">
        <v>140089.33093333378</v>
      </c>
      <c r="AH377" s="15">
        <v>0.5</v>
      </c>
      <c r="AI377" s="76"/>
      <c r="AJ377" s="76"/>
      <c r="AK377" s="76"/>
      <c r="AL377" s="76"/>
      <c r="AM377" s="76"/>
      <c r="AN377" s="76"/>
      <c r="AO377" s="76"/>
      <c r="AP377" s="77"/>
      <c r="AQ377" s="77"/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6"/>
      <c r="BC377" s="76"/>
      <c r="BD377" s="77"/>
      <c r="BE377" s="77"/>
      <c r="BF377" s="77"/>
      <c r="BG377" s="77"/>
      <c r="BH377" s="77"/>
      <c r="BI377" s="77"/>
      <c r="BJ377" s="77"/>
      <c r="BK377" s="77"/>
      <c r="BL377" s="77"/>
      <c r="BM377" s="77"/>
      <c r="BN377" s="77"/>
      <c r="BO377" s="77"/>
      <c r="BP377" s="76"/>
    </row>
    <row r="378" spans="1:68" ht="15" customHeight="1" x14ac:dyDescent="0.25">
      <c r="A378" s="1">
        <f t="shared" si="23"/>
        <v>147</v>
      </c>
      <c r="B378" s="1" t="str">
        <f t="shared" si="20"/>
        <v xml:space="preserve">Saint </v>
      </c>
      <c r="C378" s="1">
        <f t="shared" si="21"/>
        <v>0</v>
      </c>
      <c r="D378" s="2" t="str">
        <f t="shared" si="22"/>
        <v>2024-11</v>
      </c>
      <c r="E378" s="3" t="s">
        <v>348</v>
      </c>
      <c r="F378" s="4" t="s">
        <v>83</v>
      </c>
      <c r="G378" s="39">
        <v>45621</v>
      </c>
      <c r="H378" s="40">
        <v>-409</v>
      </c>
      <c r="I378" s="40">
        <v>356</v>
      </c>
      <c r="J378" s="7">
        <v>-345</v>
      </c>
      <c r="K378" s="8">
        <v>1.3306980652316579E-2</v>
      </c>
      <c r="L378" s="9">
        <v>1.0316647921458921E-2</v>
      </c>
      <c r="M378" s="10">
        <v>-366.41257367387027</v>
      </c>
      <c r="N378" s="11">
        <v>1.2898550724637681</v>
      </c>
      <c r="O378" s="12">
        <v>3263.5223804093107</v>
      </c>
      <c r="P378" s="32" t="s">
        <v>143</v>
      </c>
      <c r="Q378" s="81" t="s">
        <v>81</v>
      </c>
      <c r="R378" s="82"/>
      <c r="S378" s="32"/>
      <c r="T378" s="32">
        <v>1728.29</v>
      </c>
      <c r="U378" s="32">
        <v>1728.29</v>
      </c>
      <c r="V378" s="74" t="s">
        <v>77</v>
      </c>
      <c r="W378" s="15"/>
      <c r="X378" s="15"/>
      <c r="Y378" s="16"/>
      <c r="Z378" s="17"/>
      <c r="AA378" s="18"/>
      <c r="AB378" s="75">
        <v>500.95</v>
      </c>
      <c r="AC378" s="20">
        <v>22.998321591592219</v>
      </c>
      <c r="AD378" s="21">
        <v>45621</v>
      </c>
      <c r="AE378" s="22">
        <v>116080.99741793903</v>
      </c>
      <c r="AF378" s="23">
        <v>42674.22593333335</v>
      </c>
      <c r="AG378" s="24">
        <v>142173.27593333379</v>
      </c>
      <c r="AH378" s="15">
        <v>0.5</v>
      </c>
      <c r="AI378" s="76"/>
      <c r="AJ378" s="76"/>
      <c r="AK378" s="76"/>
      <c r="AL378" s="76"/>
      <c r="AM378" s="76"/>
      <c r="AN378" s="76"/>
      <c r="AO378" s="76"/>
      <c r="AP378" s="77"/>
      <c r="AQ378" s="77"/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6"/>
      <c r="BC378" s="76"/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77"/>
    </row>
    <row r="379" spans="1:68" ht="15" customHeight="1" x14ac:dyDescent="0.25">
      <c r="A379" s="1">
        <f t="shared" si="23"/>
        <v>148</v>
      </c>
      <c r="B379" s="1" t="str">
        <f t="shared" si="20"/>
        <v xml:space="preserve">South </v>
      </c>
      <c r="C379" s="1">
        <f t="shared" si="21"/>
        <v>0</v>
      </c>
      <c r="D379" s="2" t="str">
        <f t="shared" si="22"/>
        <v>2024-11</v>
      </c>
      <c r="E379" s="3" t="s">
        <v>349</v>
      </c>
      <c r="F379" s="4" t="s">
        <v>74</v>
      </c>
      <c r="G379" s="39">
        <v>45621</v>
      </c>
      <c r="H379" s="40">
        <v>-158</v>
      </c>
      <c r="I379" s="40">
        <v>143</v>
      </c>
      <c r="J379" s="7">
        <v>-136</v>
      </c>
      <c r="K379" s="8">
        <v>3.7867750147072367E-2</v>
      </c>
      <c r="L379" s="9">
        <v>2.1822093305092549E-2</v>
      </c>
      <c r="M379" s="10">
        <v>-148.81395348837202</v>
      </c>
      <c r="N379" s="11">
        <v>1.7352941176470589</v>
      </c>
      <c r="O379" s="12">
        <v>3703.9574436520456</v>
      </c>
      <c r="P379" s="32" t="s">
        <v>143</v>
      </c>
      <c r="Q379" s="81" t="s">
        <v>76</v>
      </c>
      <c r="R379" s="82"/>
      <c r="S379" s="32"/>
      <c r="T379" s="32">
        <v>1024.405</v>
      </c>
      <c r="U379" s="32">
        <v>1024.405</v>
      </c>
      <c r="V379" s="74" t="s">
        <v>82</v>
      </c>
      <c r="W379" s="15"/>
      <c r="X379" s="15"/>
      <c r="Y379" s="16"/>
      <c r="Z379" s="17"/>
      <c r="AA379" s="18"/>
      <c r="AB379" s="75">
        <v>-1024.405</v>
      </c>
      <c r="AC379" s="20">
        <v>38.791912589411666</v>
      </c>
      <c r="AD379" s="21">
        <v>45621</v>
      </c>
      <c r="AE379" s="22">
        <v>115658.970223789</v>
      </c>
      <c r="AF379" s="23">
        <v>42818.21093333335</v>
      </c>
      <c r="AG379" s="24">
        <v>143842.61593333376</v>
      </c>
      <c r="AH379" s="15">
        <v>0.5</v>
      </c>
      <c r="AI379" s="76"/>
      <c r="AJ379" s="77"/>
      <c r="AK379" s="77"/>
      <c r="AL379" s="77"/>
      <c r="AM379" s="77"/>
      <c r="AN379" s="76"/>
      <c r="AO379" s="76"/>
      <c r="AP379" s="77"/>
      <c r="AQ379" s="77"/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6"/>
      <c r="BC379" s="76"/>
      <c r="BD379" s="77"/>
      <c r="BE379" s="77"/>
      <c r="BF379" s="77"/>
      <c r="BG379" s="77"/>
      <c r="BH379" s="77"/>
      <c r="BI379" s="77"/>
      <c r="BJ379" s="77"/>
      <c r="BK379" s="77"/>
      <c r="BL379" s="77"/>
      <c r="BM379" s="77"/>
      <c r="BN379" s="77"/>
      <c r="BO379" s="77"/>
      <c r="BP379" s="77"/>
    </row>
    <row r="380" spans="1:68" ht="15" customHeight="1" x14ac:dyDescent="0.25">
      <c r="A380" s="1">
        <f t="shared" si="23"/>
        <v>148</v>
      </c>
      <c r="B380" s="1" t="str">
        <f t="shared" si="20"/>
        <v xml:space="preserve">South </v>
      </c>
      <c r="C380" s="1">
        <f t="shared" si="21"/>
        <v>0</v>
      </c>
      <c r="D380" s="2" t="str">
        <f t="shared" si="22"/>
        <v>2024-11</v>
      </c>
      <c r="E380" s="3" t="s">
        <v>349</v>
      </c>
      <c r="F380" s="4" t="s">
        <v>83</v>
      </c>
      <c r="G380" s="39">
        <v>45621</v>
      </c>
      <c r="H380" s="40">
        <v>-158</v>
      </c>
      <c r="I380" s="40">
        <v>143</v>
      </c>
      <c r="J380" s="7">
        <v>-136</v>
      </c>
      <c r="K380" s="8">
        <v>3.7867750147072367E-2</v>
      </c>
      <c r="L380" s="9">
        <v>2.1822093305092549E-2</v>
      </c>
      <c r="M380" s="10">
        <v>-148.81395348837202</v>
      </c>
      <c r="N380" s="11">
        <v>1.7352941176470589</v>
      </c>
      <c r="O380" s="12">
        <v>3677.5789430912459</v>
      </c>
      <c r="P380" s="32" t="s">
        <v>143</v>
      </c>
      <c r="Q380" s="81" t="s">
        <v>76</v>
      </c>
      <c r="R380" s="82"/>
      <c r="S380" s="32"/>
      <c r="T380" s="32">
        <v>0</v>
      </c>
      <c r="U380" s="32">
        <v>2048.81</v>
      </c>
      <c r="V380" s="74" t="s">
        <v>82</v>
      </c>
      <c r="W380" s="15"/>
      <c r="X380" s="15"/>
      <c r="Y380" s="16"/>
      <c r="Z380" s="17"/>
      <c r="AA380" s="18"/>
      <c r="AB380" s="75">
        <v>0</v>
      </c>
      <c r="AC380" s="20">
        <v>0</v>
      </c>
      <c r="AD380" s="21">
        <v>45621</v>
      </c>
      <c r="AE380" s="22">
        <v>115658.970223789</v>
      </c>
      <c r="AF380" s="23">
        <v>42818.21093333335</v>
      </c>
      <c r="AG380" s="24">
        <v>142818.21093333376</v>
      </c>
      <c r="AH380" s="15">
        <v>0.5</v>
      </c>
      <c r="AI380" s="76"/>
      <c r="AJ380" s="76"/>
      <c r="AK380" s="76"/>
      <c r="AL380" s="76"/>
      <c r="AM380" s="76"/>
      <c r="AN380" s="76"/>
      <c r="AO380" s="76"/>
      <c r="AP380" s="77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6"/>
      <c r="BC380" s="76"/>
      <c r="BD380" s="77"/>
      <c r="BE380" s="77"/>
      <c r="BF380" s="77"/>
      <c r="BG380" s="77"/>
      <c r="BH380" s="77"/>
      <c r="BI380" s="77"/>
      <c r="BJ380" s="77"/>
      <c r="BK380" s="77"/>
      <c r="BL380" s="77"/>
      <c r="BM380" s="77"/>
      <c r="BN380" s="77"/>
      <c r="BO380" s="77"/>
      <c r="BP380" s="77"/>
    </row>
    <row r="381" spans="1:68" ht="15" customHeight="1" x14ac:dyDescent="0.25">
      <c r="A381" s="1">
        <f t="shared" si="23"/>
        <v>148</v>
      </c>
      <c r="B381" s="1" t="str">
        <f t="shared" si="20"/>
        <v xml:space="preserve">South </v>
      </c>
      <c r="C381" s="1">
        <f t="shared" si="21"/>
        <v>0</v>
      </c>
      <c r="D381" s="2" t="str">
        <f t="shared" si="22"/>
        <v>2024-11</v>
      </c>
      <c r="E381" s="3" t="s">
        <v>350</v>
      </c>
      <c r="F381" s="4" t="s">
        <v>74</v>
      </c>
      <c r="G381" s="39">
        <v>45621</v>
      </c>
      <c r="H381" s="40">
        <v>-148</v>
      </c>
      <c r="I381" s="40">
        <v>133</v>
      </c>
      <c r="J381" s="7">
        <v>-125</v>
      </c>
      <c r="K381" s="8">
        <v>4.7014371499898684E-2</v>
      </c>
      <c r="L381" s="9">
        <v>2.6119095277721494E-2</v>
      </c>
      <c r="M381" s="10">
        <v>-139.04838709677418</v>
      </c>
      <c r="N381" s="11">
        <v>1.8</v>
      </c>
      <c r="O381" s="12">
        <v>4196.5677661066529</v>
      </c>
      <c r="P381" s="32" t="s">
        <v>143</v>
      </c>
      <c r="Q381" s="81" t="s">
        <v>76</v>
      </c>
      <c r="R381" s="82"/>
      <c r="S381" s="32"/>
      <c r="T381" s="32">
        <v>964.22500000000002</v>
      </c>
      <c r="U381" s="32">
        <v>964.22500000000002</v>
      </c>
      <c r="V381" s="74" t="s">
        <v>82</v>
      </c>
      <c r="W381" s="15"/>
      <c r="X381" s="15"/>
      <c r="Y381" s="16"/>
      <c r="Z381" s="17"/>
      <c r="AA381" s="18"/>
      <c r="AB381" s="75">
        <v>-964.22500000000002</v>
      </c>
      <c r="AC381" s="20">
        <v>45.332432359489808</v>
      </c>
      <c r="AD381" s="21">
        <v>45621</v>
      </c>
      <c r="AE381" s="22">
        <v>115704.30265614849</v>
      </c>
      <c r="AF381" s="23">
        <v>41853.985933333352</v>
      </c>
      <c r="AG381" s="24">
        <v>142818.21093333376</v>
      </c>
      <c r="AH381" s="15">
        <v>0.5</v>
      </c>
      <c r="AI381" s="76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7"/>
      <c r="BN381" s="77"/>
      <c r="BO381" s="77"/>
      <c r="BP381" s="77"/>
    </row>
    <row r="382" spans="1:68" ht="15" customHeight="1" x14ac:dyDescent="0.25">
      <c r="A382" s="1">
        <f t="shared" si="23"/>
        <v>148</v>
      </c>
      <c r="B382" s="1" t="str">
        <f t="shared" si="20"/>
        <v xml:space="preserve">South </v>
      </c>
      <c r="C382" s="1">
        <f t="shared" si="21"/>
        <v>0</v>
      </c>
      <c r="D382" s="2" t="str">
        <f t="shared" si="22"/>
        <v>2024-11</v>
      </c>
      <c r="E382" s="3" t="s">
        <v>350</v>
      </c>
      <c r="F382" s="4" t="s">
        <v>83</v>
      </c>
      <c r="G382" s="39">
        <v>45621</v>
      </c>
      <c r="H382" s="40">
        <v>-148</v>
      </c>
      <c r="I382" s="40">
        <v>133</v>
      </c>
      <c r="J382" s="7">
        <v>-125</v>
      </c>
      <c r="K382" s="8">
        <v>4.7014371499898684E-2</v>
      </c>
      <c r="L382" s="9">
        <v>2.6119095277721494E-2</v>
      </c>
      <c r="M382" s="10">
        <v>-139.04838709677418</v>
      </c>
      <c r="N382" s="11">
        <v>1.8</v>
      </c>
      <c r="O382" s="12">
        <v>4168.2349958819723</v>
      </c>
      <c r="P382" s="32" t="s">
        <v>143</v>
      </c>
      <c r="Q382" s="81" t="s">
        <v>76</v>
      </c>
      <c r="R382" s="82"/>
      <c r="S382" s="32"/>
      <c r="T382" s="32">
        <v>0</v>
      </c>
      <c r="U382" s="32">
        <v>1928.45</v>
      </c>
      <c r="V382" s="74" t="s">
        <v>82</v>
      </c>
      <c r="W382" s="15"/>
      <c r="X382" s="15"/>
      <c r="Y382" s="16"/>
      <c r="Z382" s="17"/>
      <c r="AA382" s="18"/>
      <c r="AB382" s="75">
        <v>0</v>
      </c>
      <c r="AC382" s="20">
        <v>0</v>
      </c>
      <c r="AD382" s="21">
        <v>45621</v>
      </c>
      <c r="AE382" s="22">
        <v>115704.30265614849</v>
      </c>
      <c r="AF382" s="23">
        <v>41853.985933333352</v>
      </c>
      <c r="AG382" s="24">
        <v>141853.98593333375</v>
      </c>
      <c r="AH382" s="15">
        <v>0.5</v>
      </c>
      <c r="AI382" s="76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/>
      <c r="BP382" s="77"/>
    </row>
    <row r="383" spans="1:68" ht="15" customHeight="1" x14ac:dyDescent="0.25">
      <c r="A383" s="1">
        <f t="shared" si="23"/>
        <v>148</v>
      </c>
      <c r="B383" s="1" t="str">
        <f t="shared" si="20"/>
        <v xml:space="preserve">South </v>
      </c>
      <c r="C383" s="1">
        <f t="shared" si="21"/>
        <v>0</v>
      </c>
      <c r="D383" s="2" t="str">
        <f t="shared" si="22"/>
        <v>2024-11</v>
      </c>
      <c r="E383" s="3" t="s">
        <v>351</v>
      </c>
      <c r="F383" s="4" t="s">
        <v>74</v>
      </c>
      <c r="G383" s="39">
        <v>45621</v>
      </c>
      <c r="H383" s="40">
        <v>-138</v>
      </c>
      <c r="I383" s="40">
        <v>123</v>
      </c>
      <c r="J383" s="7">
        <v>-118</v>
      </c>
      <c r="K383" s="8">
        <v>4.1771924670157078E-2</v>
      </c>
      <c r="L383" s="9">
        <v>2.2610491335222638E-2</v>
      </c>
      <c r="M383" s="10">
        <v>-129.30252100840335</v>
      </c>
      <c r="N383" s="11">
        <v>1.847457627118644</v>
      </c>
      <c r="O383" s="12">
        <v>3496.0532685955563</v>
      </c>
      <c r="P383" s="32" t="s">
        <v>143</v>
      </c>
      <c r="Q383" s="81" t="s">
        <v>76</v>
      </c>
      <c r="R383" s="82"/>
      <c r="S383" s="32"/>
      <c r="T383" s="32">
        <v>907.505</v>
      </c>
      <c r="U383" s="32">
        <v>907.505</v>
      </c>
      <c r="V383" s="74" t="s">
        <v>82</v>
      </c>
      <c r="W383" s="15"/>
      <c r="X383" s="15"/>
      <c r="Y383" s="16"/>
      <c r="Z383" s="17"/>
      <c r="AA383" s="18"/>
      <c r="AB383" s="75">
        <v>-907.505</v>
      </c>
      <c r="AC383" s="20">
        <v>37.908230497790896</v>
      </c>
      <c r="AD383" s="21">
        <v>45621</v>
      </c>
      <c r="AE383" s="22">
        <v>115742.21088664628</v>
      </c>
      <c r="AF383" s="23">
        <v>40946.480933333354</v>
      </c>
      <c r="AG383" s="24">
        <v>141853.98593333375</v>
      </c>
      <c r="AH383" s="15">
        <v>0.5</v>
      </c>
      <c r="AI383" s="76"/>
      <c r="AJ383" s="76"/>
      <c r="AK383" s="76"/>
      <c r="AL383" s="76"/>
      <c r="AM383" s="76"/>
      <c r="AN383" s="76"/>
      <c r="AO383" s="76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  <c r="BM383" s="77"/>
      <c r="BN383" s="77"/>
      <c r="BO383" s="77"/>
      <c r="BP383" s="76"/>
    </row>
    <row r="384" spans="1:68" ht="15" customHeight="1" x14ac:dyDescent="0.25">
      <c r="A384" s="1">
        <f t="shared" si="23"/>
        <v>148</v>
      </c>
      <c r="B384" s="1" t="str">
        <f t="shared" si="20"/>
        <v xml:space="preserve">South </v>
      </c>
      <c r="C384" s="1">
        <f t="shared" si="21"/>
        <v>0</v>
      </c>
      <c r="D384" s="2" t="str">
        <f t="shared" si="22"/>
        <v>2024-11</v>
      </c>
      <c r="E384" s="3" t="s">
        <v>351</v>
      </c>
      <c r="F384" s="4" t="s">
        <v>83</v>
      </c>
      <c r="G384" s="39">
        <v>45621</v>
      </c>
      <c r="H384" s="40">
        <v>-138</v>
      </c>
      <c r="I384" s="40">
        <v>123</v>
      </c>
      <c r="J384" s="7">
        <v>-118</v>
      </c>
      <c r="K384" s="8">
        <v>4.1771924670157078E-2</v>
      </c>
      <c r="L384" s="9">
        <v>2.2610491335222638E-2</v>
      </c>
      <c r="M384" s="10">
        <v>-129.30252100840335</v>
      </c>
      <c r="N384" s="11">
        <v>1.847457627118644</v>
      </c>
      <c r="O384" s="12">
        <v>3473.6874126018597</v>
      </c>
      <c r="P384" s="32" t="s">
        <v>143</v>
      </c>
      <c r="Q384" s="82" t="s">
        <v>76</v>
      </c>
      <c r="R384" s="82"/>
      <c r="S384" s="32"/>
      <c r="T384" s="32">
        <v>0</v>
      </c>
      <c r="U384" s="32">
        <v>1815.01</v>
      </c>
      <c r="V384" s="40" t="s">
        <v>82</v>
      </c>
      <c r="W384" s="15"/>
      <c r="X384" s="15"/>
      <c r="Y384" s="16"/>
      <c r="Z384" s="17"/>
      <c r="AA384" s="18"/>
      <c r="AB384" s="75">
        <v>0</v>
      </c>
      <c r="AC384" s="20">
        <v>0</v>
      </c>
      <c r="AD384" s="21">
        <v>45621</v>
      </c>
      <c r="AE384" s="22">
        <v>115742.21088664628</v>
      </c>
      <c r="AF384" s="23">
        <v>40946.480933333354</v>
      </c>
      <c r="AG384" s="24">
        <v>140946.48093333375</v>
      </c>
      <c r="AH384" s="15">
        <v>0.5</v>
      </c>
      <c r="AI384" s="76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77"/>
    </row>
    <row r="385" spans="1:68" ht="15" customHeight="1" x14ac:dyDescent="0.25">
      <c r="A385" s="1">
        <f t="shared" si="23"/>
        <v>148</v>
      </c>
      <c r="B385" s="1" t="str">
        <f t="shared" si="20"/>
        <v xml:space="preserve">South </v>
      </c>
      <c r="C385" s="1">
        <f t="shared" si="21"/>
        <v>0</v>
      </c>
      <c r="D385" s="2" t="str">
        <f t="shared" si="22"/>
        <v>2024-11</v>
      </c>
      <c r="E385" s="3" t="s">
        <v>352</v>
      </c>
      <c r="F385" s="4" t="s">
        <v>74</v>
      </c>
      <c r="G385" s="39">
        <v>45621</v>
      </c>
      <c r="H385" s="40">
        <v>-125</v>
      </c>
      <c r="I385" s="40">
        <v>113</v>
      </c>
      <c r="J385" s="7">
        <v>-109</v>
      </c>
      <c r="K385" s="8">
        <v>3.9218432663351913E-2</v>
      </c>
      <c r="L385" s="9">
        <v>2.045363234595865E-2</v>
      </c>
      <c r="M385" s="10">
        <v>-118.33333333333334</v>
      </c>
      <c r="N385" s="11">
        <v>1.9174311926605505</v>
      </c>
      <c r="O385" s="12">
        <v>3012.596539033098</v>
      </c>
      <c r="P385" s="32" t="s">
        <v>143</v>
      </c>
      <c r="Q385" s="81" t="s">
        <v>76</v>
      </c>
      <c r="R385" s="82"/>
      <c r="S385" s="32"/>
      <c r="T385" s="32">
        <v>838.45500000000004</v>
      </c>
      <c r="U385" s="32">
        <v>838.45500000000004</v>
      </c>
      <c r="V385" s="40" t="s">
        <v>82</v>
      </c>
      <c r="W385" s="15"/>
      <c r="X385" s="15"/>
      <c r="Y385" s="16"/>
      <c r="Z385" s="17"/>
      <c r="AA385" s="18"/>
      <c r="AB385" s="75">
        <v>-838.45500000000004</v>
      </c>
      <c r="AC385" s="20">
        <v>32.882890958750728</v>
      </c>
      <c r="AD385" s="21">
        <v>45621</v>
      </c>
      <c r="AE385" s="22">
        <v>115775.09377760503</v>
      </c>
      <c r="AF385" s="23">
        <v>40108.025933333352</v>
      </c>
      <c r="AG385" s="24">
        <v>140946.48093333375</v>
      </c>
      <c r="AH385" s="15">
        <v>0.5</v>
      </c>
      <c r="AI385" s="76"/>
      <c r="AJ385" s="77"/>
      <c r="AK385" s="77"/>
      <c r="AL385" s="77"/>
      <c r="AM385" s="77"/>
      <c r="AN385" s="76"/>
      <c r="AO385" s="76"/>
      <c r="AP385" s="77"/>
      <c r="AQ385" s="77"/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  <c r="BM385" s="77"/>
      <c r="BN385" s="77"/>
      <c r="BO385" s="77"/>
      <c r="BP385" s="77"/>
    </row>
    <row r="386" spans="1:68" ht="15" customHeight="1" x14ac:dyDescent="0.25">
      <c r="A386" s="1">
        <f t="shared" si="23"/>
        <v>148</v>
      </c>
      <c r="B386" s="1" t="str">
        <f t="shared" ref="B386:B449" si="24">LEFT(E386, FIND(" ", E386))</f>
        <v xml:space="preserve">South </v>
      </c>
      <c r="C386" s="1">
        <f t="shared" ref="C386:C449" si="25">IF(Q386="total", 1, 0)</f>
        <v>0</v>
      </c>
      <c r="D386" s="2" t="str">
        <f t="shared" ref="D386:D449" si="26">YEAR(G386)&amp;"-"&amp;IF(MONTH(G386)&lt;10, "0", "")&amp;MONTH(G386)</f>
        <v>2024-11</v>
      </c>
      <c r="E386" s="3" t="s">
        <v>352</v>
      </c>
      <c r="F386" s="4" t="s">
        <v>83</v>
      </c>
      <c r="G386" s="39">
        <v>45621</v>
      </c>
      <c r="H386" s="40">
        <v>-125</v>
      </c>
      <c r="I386" s="40">
        <v>113</v>
      </c>
      <c r="J386" s="7">
        <v>-109</v>
      </c>
      <c r="K386" s="8">
        <v>3.9218432663351913E-2</v>
      </c>
      <c r="L386" s="9">
        <v>2.045363234595865E-2</v>
      </c>
      <c r="M386" s="10">
        <v>-118.33333333333334</v>
      </c>
      <c r="N386" s="11">
        <v>1.9174311926605505</v>
      </c>
      <c r="O386" s="12">
        <v>2994.6753634605793</v>
      </c>
      <c r="P386" s="32" t="s">
        <v>143</v>
      </c>
      <c r="Q386" s="81" t="s">
        <v>76</v>
      </c>
      <c r="R386" s="82"/>
      <c r="S386" s="32"/>
      <c r="T386" s="32">
        <v>0</v>
      </c>
      <c r="U386" s="32">
        <v>1676.91</v>
      </c>
      <c r="V386" s="40" t="s">
        <v>82</v>
      </c>
      <c r="W386" s="15"/>
      <c r="X386" s="15"/>
      <c r="Y386" s="16"/>
      <c r="Z386" s="17"/>
      <c r="AA386" s="18"/>
      <c r="AB386" s="75">
        <v>0</v>
      </c>
      <c r="AC386" s="20">
        <v>0</v>
      </c>
      <c r="AD386" s="21">
        <v>45621</v>
      </c>
      <c r="AE386" s="22">
        <v>115775.09377760503</v>
      </c>
      <c r="AF386" s="23">
        <v>40108.025933333352</v>
      </c>
      <c r="AG386" s="24">
        <v>140108.02593333376</v>
      </c>
      <c r="AH386" s="15">
        <v>0.5</v>
      </c>
      <c r="AI386" s="76"/>
      <c r="AJ386" s="76"/>
      <c r="AK386" s="76"/>
      <c r="AL386" s="76"/>
      <c r="AM386" s="76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  <c r="BM386" s="77"/>
      <c r="BN386" s="77"/>
      <c r="BO386" s="77"/>
      <c r="BP386" s="77"/>
    </row>
    <row r="387" spans="1:68" ht="15" customHeight="1" x14ac:dyDescent="0.25">
      <c r="A387" s="1">
        <f t="shared" si="23"/>
        <v>148</v>
      </c>
      <c r="B387" s="1" t="str">
        <f t="shared" si="24"/>
        <v xml:space="preserve">South </v>
      </c>
      <c r="C387" s="1">
        <f t="shared" si="25"/>
        <v>0</v>
      </c>
      <c r="D387" s="2" t="str">
        <f t="shared" si="26"/>
        <v>2024-11</v>
      </c>
      <c r="E387" s="3" t="s">
        <v>353</v>
      </c>
      <c r="F387" s="4" t="s">
        <v>74</v>
      </c>
      <c r="G387" s="39">
        <v>45621</v>
      </c>
      <c r="H387" s="40">
        <v>-114</v>
      </c>
      <c r="I387" s="40">
        <v>105</v>
      </c>
      <c r="J387" s="7">
        <v>-103</v>
      </c>
      <c r="K387" s="8">
        <v>2.8798757836710067E-2</v>
      </c>
      <c r="L387" s="9">
        <v>1.4612177621581957E-2</v>
      </c>
      <c r="M387" s="10">
        <v>-109.20560747663551</v>
      </c>
      <c r="N387" s="11">
        <v>1.970873786407767</v>
      </c>
      <c r="O387" s="12">
        <v>2077.9926115642902</v>
      </c>
      <c r="P387" s="32" t="s">
        <v>143</v>
      </c>
      <c r="Q387" s="81" t="s">
        <v>76</v>
      </c>
      <c r="R387" s="82"/>
      <c r="S387" s="32"/>
      <c r="T387" s="32">
        <v>787.125</v>
      </c>
      <c r="U387" s="32">
        <v>787.125</v>
      </c>
      <c r="V387" s="40" t="s">
        <v>82</v>
      </c>
      <c r="W387" s="15"/>
      <c r="X387" s="15"/>
      <c r="Y387" s="16"/>
      <c r="Z387" s="17"/>
      <c r="AA387" s="18"/>
      <c r="AB387" s="75">
        <v>-787.125</v>
      </c>
      <c r="AC387" s="20">
        <v>22.668222262220411</v>
      </c>
      <c r="AD387" s="21">
        <v>45621</v>
      </c>
      <c r="AE387" s="22">
        <v>115797.76199986725</v>
      </c>
      <c r="AF387" s="23">
        <v>39320.900933333352</v>
      </c>
      <c r="AG387" s="24">
        <v>140108.02593333376</v>
      </c>
      <c r="AH387" s="15">
        <v>0.5</v>
      </c>
      <c r="AI387" s="76"/>
      <c r="AJ387" s="76"/>
      <c r="AK387" s="76"/>
      <c r="AL387" s="76"/>
      <c r="AM387" s="76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  <c r="BM387" s="77"/>
      <c r="BN387" s="77"/>
      <c r="BO387" s="77"/>
      <c r="BP387" s="77"/>
    </row>
    <row r="388" spans="1:68" ht="15" customHeight="1" x14ac:dyDescent="0.25">
      <c r="A388" s="1">
        <f t="shared" ref="A388:A451" si="27">IF(AND(B388=B387, C388=C387, G388=G387), A387, A387+1)</f>
        <v>148</v>
      </c>
      <c r="B388" s="1" t="str">
        <f t="shared" si="24"/>
        <v xml:space="preserve">South </v>
      </c>
      <c r="C388" s="1">
        <f t="shared" si="25"/>
        <v>0</v>
      </c>
      <c r="D388" s="2" t="str">
        <f t="shared" si="26"/>
        <v>2024-11</v>
      </c>
      <c r="E388" s="3" t="s">
        <v>353</v>
      </c>
      <c r="F388" s="4" t="s">
        <v>83</v>
      </c>
      <c r="G388" s="39">
        <v>45621</v>
      </c>
      <c r="H388" s="40">
        <v>-114</v>
      </c>
      <c r="I388" s="40">
        <v>105</v>
      </c>
      <c r="J388" s="7">
        <v>-103</v>
      </c>
      <c r="K388" s="8">
        <v>2.8798757836710067E-2</v>
      </c>
      <c r="L388" s="9">
        <v>1.4612177621581957E-2</v>
      </c>
      <c r="M388" s="10">
        <v>-109.20560747663551</v>
      </c>
      <c r="N388" s="11">
        <v>1.970873786407767</v>
      </c>
      <c r="O388" s="12">
        <v>2066.3184770992466</v>
      </c>
      <c r="P388" s="32" t="s">
        <v>143</v>
      </c>
      <c r="Q388" s="81" t="s">
        <v>76</v>
      </c>
      <c r="R388" s="82"/>
      <c r="S388" s="32"/>
      <c r="T388" s="32">
        <v>0</v>
      </c>
      <c r="U388" s="32">
        <v>1574.25</v>
      </c>
      <c r="V388" s="40" t="s">
        <v>82</v>
      </c>
      <c r="W388" s="15"/>
      <c r="X388" s="15"/>
      <c r="Y388" s="16"/>
      <c r="Z388" s="17"/>
      <c r="AA388" s="18"/>
      <c r="AB388" s="75">
        <v>0</v>
      </c>
      <c r="AC388" s="20">
        <v>0</v>
      </c>
      <c r="AD388" s="21">
        <v>45621</v>
      </c>
      <c r="AE388" s="22">
        <v>115797.76199986725</v>
      </c>
      <c r="AF388" s="23">
        <v>39320.900933333352</v>
      </c>
      <c r="AG388" s="24">
        <v>139320.90093333376</v>
      </c>
      <c r="AH388" s="15">
        <v>0.5</v>
      </c>
      <c r="AI388" s="76"/>
      <c r="AJ388" s="76"/>
      <c r="AK388" s="76"/>
      <c r="AL388" s="76"/>
      <c r="AM388" s="76"/>
      <c r="AN388" s="77"/>
      <c r="AO388" s="77"/>
      <c r="AP388" s="76"/>
      <c r="AQ388" s="76"/>
      <c r="AR388" s="76"/>
      <c r="AS388" s="76"/>
      <c r="AT388" s="77"/>
      <c r="AU388" s="77"/>
      <c r="AV388" s="77"/>
      <c r="AW388" s="77"/>
      <c r="AX388" s="76"/>
      <c r="AY388" s="76"/>
      <c r="AZ388" s="76"/>
      <c r="BA388" s="76"/>
      <c r="BB388" s="77"/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  <c r="BM388" s="77"/>
      <c r="BN388" s="77"/>
      <c r="BO388" s="77"/>
      <c r="BP388" s="76"/>
    </row>
    <row r="389" spans="1:68" ht="15" customHeight="1" x14ac:dyDescent="0.25">
      <c r="A389" s="1">
        <f t="shared" si="27"/>
        <v>148</v>
      </c>
      <c r="B389" s="1" t="str">
        <f t="shared" si="24"/>
        <v xml:space="preserve">South </v>
      </c>
      <c r="C389" s="1">
        <f t="shared" si="25"/>
        <v>0</v>
      </c>
      <c r="D389" s="2" t="str">
        <f t="shared" si="26"/>
        <v>2024-11</v>
      </c>
      <c r="E389" s="3" t="s">
        <v>354</v>
      </c>
      <c r="F389" s="4" t="s">
        <v>74</v>
      </c>
      <c r="G389" s="39">
        <v>45621</v>
      </c>
      <c r="H389" s="40">
        <v>-105</v>
      </c>
      <c r="I389" s="40">
        <v>-103</v>
      </c>
      <c r="J389" s="7">
        <v>105</v>
      </c>
      <c r="K389" s="8">
        <v>2.9831487155314397E-2</v>
      </c>
      <c r="L389" s="9">
        <v>1.4551944953811902E-2</v>
      </c>
      <c r="M389" s="10">
        <v>-100.94719393795877</v>
      </c>
      <c r="N389" s="11">
        <v>2.0499999999999998</v>
      </c>
      <c r="O389" s="12">
        <v>1979.1188888855127</v>
      </c>
      <c r="P389" s="32" t="s">
        <v>143</v>
      </c>
      <c r="Q389" s="81" t="s">
        <v>76</v>
      </c>
      <c r="R389" s="82"/>
      <c r="S389" s="32"/>
      <c r="T389" s="32">
        <v>734.65</v>
      </c>
      <c r="U389" s="32">
        <v>734.65</v>
      </c>
      <c r="V389" s="40" t="s">
        <v>82</v>
      </c>
      <c r="W389" s="15"/>
      <c r="X389" s="15"/>
      <c r="Y389" s="16"/>
      <c r="Z389" s="17"/>
      <c r="AA389" s="18"/>
      <c r="AB389" s="75">
        <v>-734.65</v>
      </c>
      <c r="AC389" s="20">
        <v>21.91570203865172</v>
      </c>
      <c r="AD389" s="21">
        <v>45621</v>
      </c>
      <c r="AE389" s="22">
        <v>115819.67770190589</v>
      </c>
      <c r="AF389" s="23">
        <v>38586.250933333351</v>
      </c>
      <c r="AG389" s="24">
        <v>139320.90093333376</v>
      </c>
      <c r="AH389" s="15">
        <v>0.5</v>
      </c>
      <c r="AI389" s="76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  <c r="BM389" s="77"/>
      <c r="BN389" s="77"/>
      <c r="BO389" s="77"/>
      <c r="BP389" s="77"/>
    </row>
    <row r="390" spans="1:68" ht="15" customHeight="1" x14ac:dyDescent="0.25">
      <c r="A390" s="1">
        <f t="shared" si="27"/>
        <v>148</v>
      </c>
      <c r="B390" s="1" t="str">
        <f t="shared" si="24"/>
        <v xml:space="preserve">South </v>
      </c>
      <c r="C390" s="1">
        <f t="shared" si="25"/>
        <v>0</v>
      </c>
      <c r="D390" s="2" t="str">
        <f t="shared" si="26"/>
        <v>2024-11</v>
      </c>
      <c r="E390" s="3" t="s">
        <v>354</v>
      </c>
      <c r="F390" s="4" t="s">
        <v>83</v>
      </c>
      <c r="G390" s="39">
        <v>45621</v>
      </c>
      <c r="H390" s="40">
        <v>-105</v>
      </c>
      <c r="I390" s="40">
        <v>-103</v>
      </c>
      <c r="J390" s="7">
        <v>105</v>
      </c>
      <c r="K390" s="8">
        <v>2.9831487155314397E-2</v>
      </c>
      <c r="L390" s="9">
        <v>1.4551944953811902E-2</v>
      </c>
      <c r="M390" s="10">
        <v>-100.94719393795877</v>
      </c>
      <c r="N390" s="11">
        <v>2.0499999999999998</v>
      </c>
      <c r="O390" s="12">
        <v>1968.6828402956785</v>
      </c>
      <c r="P390" s="32" t="s">
        <v>143</v>
      </c>
      <c r="Q390" s="81" t="s">
        <v>76</v>
      </c>
      <c r="R390" s="82"/>
      <c r="S390" s="32"/>
      <c r="T390" s="32">
        <v>0</v>
      </c>
      <c r="U390" s="32">
        <v>1469.3</v>
      </c>
      <c r="V390" s="40" t="s">
        <v>82</v>
      </c>
      <c r="W390" s="15"/>
      <c r="X390" s="15"/>
      <c r="Y390" s="16"/>
      <c r="Z390" s="17"/>
      <c r="AA390" s="18"/>
      <c r="AB390" s="75">
        <v>0</v>
      </c>
      <c r="AC390" s="20">
        <v>0</v>
      </c>
      <c r="AD390" s="21">
        <v>45621</v>
      </c>
      <c r="AE390" s="22">
        <v>115819.67770190589</v>
      </c>
      <c r="AF390" s="23">
        <v>38586.250933333351</v>
      </c>
      <c r="AG390" s="24">
        <v>138586.25093333377</v>
      </c>
      <c r="AH390" s="15">
        <v>0.5</v>
      </c>
      <c r="AI390" s="76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/>
      <c r="BN390" s="77"/>
      <c r="BO390" s="77"/>
      <c r="BP390" s="77"/>
    </row>
    <row r="391" spans="1:68" ht="15" customHeight="1" x14ac:dyDescent="0.25">
      <c r="A391" s="1">
        <f t="shared" si="27"/>
        <v>148</v>
      </c>
      <c r="B391" s="1" t="str">
        <f t="shared" si="24"/>
        <v xml:space="preserve">South </v>
      </c>
      <c r="C391" s="1">
        <f t="shared" si="25"/>
        <v>0</v>
      </c>
      <c r="D391" s="2" t="str">
        <f t="shared" si="26"/>
        <v>2024-11</v>
      </c>
      <c r="E391" s="3" t="s">
        <v>355</v>
      </c>
      <c r="F391" s="4" t="s">
        <v>74</v>
      </c>
      <c r="G391" s="39">
        <v>45621</v>
      </c>
      <c r="H391" s="40">
        <v>-108</v>
      </c>
      <c r="I391" s="40">
        <v>-108</v>
      </c>
      <c r="J391" s="7">
        <v>116</v>
      </c>
      <c r="K391" s="8">
        <v>8.0000000000000127E-2</v>
      </c>
      <c r="L391" s="9">
        <v>3.703703703703709E-2</v>
      </c>
      <c r="M391" s="10">
        <v>100</v>
      </c>
      <c r="N391" s="11">
        <v>2.16</v>
      </c>
      <c r="O391" s="12">
        <v>4919.8008942528968</v>
      </c>
      <c r="P391" s="32" t="s">
        <v>143</v>
      </c>
      <c r="Q391" s="81" t="s">
        <v>76</v>
      </c>
      <c r="R391" s="82"/>
      <c r="S391" s="32"/>
      <c r="T391" s="32">
        <v>664.98</v>
      </c>
      <c r="U391" s="32">
        <v>664.98</v>
      </c>
      <c r="V391" s="40" t="s">
        <v>82</v>
      </c>
      <c r="W391" s="15"/>
      <c r="X391" s="15"/>
      <c r="Y391" s="16"/>
      <c r="Z391" s="17"/>
      <c r="AA391" s="18"/>
      <c r="AB391" s="75">
        <v>-664.98</v>
      </c>
      <c r="AC391" s="20">
        <v>53.198400000000085</v>
      </c>
      <c r="AD391" s="21">
        <v>45621</v>
      </c>
      <c r="AE391" s="22">
        <v>116134.19581793902</v>
      </c>
      <c r="AF391" s="23">
        <v>42009.245933333346</v>
      </c>
      <c r="AG391" s="24">
        <v>142674.2259333338</v>
      </c>
      <c r="AH391" s="15">
        <v>0.5</v>
      </c>
      <c r="AI391" s="76"/>
      <c r="AJ391" s="76"/>
      <c r="AK391" s="76"/>
      <c r="AL391" s="76"/>
      <c r="AM391" s="76"/>
      <c r="AN391" s="76"/>
      <c r="AO391" s="76"/>
      <c r="AP391" s="77"/>
      <c r="AQ391" s="77"/>
      <c r="AR391" s="77"/>
      <c r="AS391" s="77"/>
      <c r="AT391" s="77"/>
      <c r="AU391" s="77"/>
      <c r="AV391" s="77"/>
      <c r="AW391" s="77"/>
      <c r="AX391" s="76"/>
      <c r="AY391" s="76"/>
      <c r="AZ391" s="76"/>
      <c r="BA391" s="76"/>
      <c r="BB391" s="76"/>
      <c r="BC391" s="76"/>
      <c r="BD391" s="77"/>
      <c r="BE391" s="77"/>
      <c r="BF391" s="77"/>
      <c r="BG391" s="77"/>
      <c r="BH391" s="77"/>
      <c r="BI391" s="77"/>
      <c r="BJ391" s="77"/>
      <c r="BK391" s="77"/>
      <c r="BL391" s="77"/>
      <c r="BM391" s="77"/>
      <c r="BN391" s="77"/>
      <c r="BO391" s="77"/>
      <c r="BP391" s="76"/>
    </row>
    <row r="392" spans="1:68" ht="15" customHeight="1" x14ac:dyDescent="0.25">
      <c r="A392" s="1">
        <f t="shared" si="27"/>
        <v>148</v>
      </c>
      <c r="B392" s="1" t="str">
        <f t="shared" si="24"/>
        <v xml:space="preserve">South </v>
      </c>
      <c r="C392" s="1">
        <f t="shared" si="25"/>
        <v>0</v>
      </c>
      <c r="D392" s="2" t="str">
        <f t="shared" si="26"/>
        <v>2024-11</v>
      </c>
      <c r="E392" s="3" t="s">
        <v>355</v>
      </c>
      <c r="F392" s="4" t="s">
        <v>83</v>
      </c>
      <c r="G392" s="39">
        <v>45621</v>
      </c>
      <c r="H392" s="40">
        <v>-108</v>
      </c>
      <c r="I392" s="40">
        <v>-108</v>
      </c>
      <c r="J392" s="7">
        <v>116</v>
      </c>
      <c r="K392" s="8">
        <v>8.0000000000000127E-2</v>
      </c>
      <c r="L392" s="9">
        <v>3.703703703703709E-2</v>
      </c>
      <c r="M392" s="10">
        <v>100</v>
      </c>
      <c r="N392" s="11">
        <v>2.16</v>
      </c>
      <c r="O392" s="12">
        <v>4896.8705494253099</v>
      </c>
      <c r="P392" s="32" t="s">
        <v>143</v>
      </c>
      <c r="Q392" s="81" t="s">
        <v>76</v>
      </c>
      <c r="R392" s="82"/>
      <c r="S392" s="32"/>
      <c r="T392" s="32">
        <v>664.98</v>
      </c>
      <c r="U392" s="32">
        <v>664.98</v>
      </c>
      <c r="V392" s="40" t="s">
        <v>82</v>
      </c>
      <c r="W392" s="15"/>
      <c r="X392" s="15"/>
      <c r="Y392" s="16"/>
      <c r="Z392" s="17"/>
      <c r="AA392" s="18"/>
      <c r="AB392" s="75">
        <v>-664.98</v>
      </c>
      <c r="AC392" s="20">
        <v>53.198400000000085</v>
      </c>
      <c r="AD392" s="21">
        <v>45621</v>
      </c>
      <c r="AE392" s="22">
        <v>116187.39421793901</v>
      </c>
      <c r="AF392" s="23">
        <v>41344.265933333343</v>
      </c>
      <c r="AG392" s="24">
        <v>142009.24593333379</v>
      </c>
      <c r="AH392" s="15">
        <v>0.5</v>
      </c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7"/>
      <c r="AU392" s="77"/>
      <c r="AV392" s="77"/>
      <c r="AW392" s="77"/>
      <c r="AX392" s="76"/>
      <c r="AY392" s="76"/>
      <c r="AZ392" s="76"/>
      <c r="BA392" s="76"/>
      <c r="BB392" s="76"/>
      <c r="BC392" s="76"/>
      <c r="BD392" s="77"/>
      <c r="BE392" s="77"/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76"/>
    </row>
    <row r="393" spans="1:68" ht="15" customHeight="1" x14ac:dyDescent="0.25">
      <c r="A393" s="1">
        <f t="shared" si="27"/>
        <v>148</v>
      </c>
      <c r="B393" s="1" t="str">
        <f t="shared" si="24"/>
        <v xml:space="preserve">South </v>
      </c>
      <c r="C393" s="1">
        <f t="shared" si="25"/>
        <v>0</v>
      </c>
      <c r="D393" s="2" t="str">
        <f t="shared" si="26"/>
        <v>2024-11</v>
      </c>
      <c r="E393" s="3" t="s">
        <v>356</v>
      </c>
      <c r="F393" s="4" t="s">
        <v>74</v>
      </c>
      <c r="G393" s="39">
        <v>45621</v>
      </c>
      <c r="H393" s="40">
        <v>101</v>
      </c>
      <c r="I393" s="40">
        <v>-119</v>
      </c>
      <c r="J393" s="7">
        <v>125</v>
      </c>
      <c r="K393" s="8">
        <v>7.5427224513848021E-2</v>
      </c>
      <c r="L393" s="9">
        <v>3.3523210895043565E-2</v>
      </c>
      <c r="M393" s="10">
        <v>109.21917808219176</v>
      </c>
      <c r="N393" s="11">
        <v>2.25</v>
      </c>
      <c r="O393" s="12">
        <v>4264.4822721194432</v>
      </c>
      <c r="P393" s="32" t="s">
        <v>143</v>
      </c>
      <c r="Q393" s="81" t="s">
        <v>76</v>
      </c>
      <c r="R393" s="82"/>
      <c r="S393" s="32"/>
      <c r="T393" s="32">
        <v>617.10500000000002</v>
      </c>
      <c r="U393" s="32">
        <v>617.10500000000002</v>
      </c>
      <c r="V393" s="74" t="s">
        <v>82</v>
      </c>
      <c r="W393" s="15"/>
      <c r="X393" s="15"/>
      <c r="Y393" s="16"/>
      <c r="Z393" s="17"/>
      <c r="AA393" s="18"/>
      <c r="AB393" s="75">
        <v>-617.10500000000002</v>
      </c>
      <c r="AC393" s="20">
        <v>46.546517383618188</v>
      </c>
      <c r="AD393" s="21">
        <v>45621</v>
      </c>
      <c r="AE393" s="22">
        <v>116233.94073532263</v>
      </c>
      <c r="AF393" s="23">
        <v>40727.16093333334</v>
      </c>
      <c r="AG393" s="24">
        <v>141344.26593333378</v>
      </c>
      <c r="AH393" s="15">
        <v>0.5</v>
      </c>
      <c r="AI393" s="76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77"/>
    </row>
    <row r="394" spans="1:68" ht="15" customHeight="1" x14ac:dyDescent="0.25">
      <c r="A394" s="1">
        <f t="shared" si="27"/>
        <v>148</v>
      </c>
      <c r="B394" s="1" t="str">
        <f t="shared" si="24"/>
        <v xml:space="preserve">South </v>
      </c>
      <c r="C394" s="1">
        <f t="shared" si="25"/>
        <v>0</v>
      </c>
      <c r="D394" s="2" t="str">
        <f t="shared" si="26"/>
        <v>2024-11</v>
      </c>
      <c r="E394" s="3" t="s">
        <v>356</v>
      </c>
      <c r="F394" s="4" t="s">
        <v>83</v>
      </c>
      <c r="G394" s="39">
        <v>45621</v>
      </c>
      <c r="H394" s="40">
        <v>101</v>
      </c>
      <c r="I394" s="40">
        <v>-119</v>
      </c>
      <c r="J394" s="7">
        <v>125</v>
      </c>
      <c r="K394" s="8">
        <v>7.5427224513848021E-2</v>
      </c>
      <c r="L394" s="9">
        <v>3.3523210895043565E-2</v>
      </c>
      <c r="M394" s="10">
        <v>109.21917808219176</v>
      </c>
      <c r="N394" s="11">
        <v>2.25</v>
      </c>
      <c r="O394" s="12">
        <v>4245.8636651659954</v>
      </c>
      <c r="P394" s="32" t="s">
        <v>143</v>
      </c>
      <c r="Q394" s="81" t="s">
        <v>76</v>
      </c>
      <c r="R394" s="82"/>
      <c r="S394" s="32"/>
      <c r="T394" s="32">
        <v>617.10500000000002</v>
      </c>
      <c r="U394" s="32">
        <v>617.10500000000002</v>
      </c>
      <c r="V394" s="74" t="s">
        <v>82</v>
      </c>
      <c r="W394" s="15"/>
      <c r="X394" s="15"/>
      <c r="Y394" s="16"/>
      <c r="Z394" s="17"/>
      <c r="AA394" s="18"/>
      <c r="AB394" s="75">
        <v>-617.10500000000002</v>
      </c>
      <c r="AC394" s="20">
        <v>46.546517383618188</v>
      </c>
      <c r="AD394" s="21">
        <v>45621</v>
      </c>
      <c r="AE394" s="22">
        <v>116280.48725270624</v>
      </c>
      <c r="AF394" s="23">
        <v>40110.055933333337</v>
      </c>
      <c r="AG394" s="24">
        <v>140727.16093333377</v>
      </c>
      <c r="AH394" s="15">
        <v>0.5</v>
      </c>
      <c r="AI394" s="76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7"/>
      <c r="BN394" s="77"/>
      <c r="BO394" s="77"/>
      <c r="BP394" s="77"/>
    </row>
    <row r="395" spans="1:68" ht="15" customHeight="1" x14ac:dyDescent="0.25">
      <c r="A395" s="1">
        <f t="shared" si="27"/>
        <v>149</v>
      </c>
      <c r="B395" s="1" t="str">
        <f t="shared" si="24"/>
        <v xml:space="preserve">Belmont </v>
      </c>
      <c r="C395" s="1">
        <f t="shared" si="25"/>
        <v>0</v>
      </c>
      <c r="D395" s="2" t="str">
        <f t="shared" si="26"/>
        <v>2024-11</v>
      </c>
      <c r="E395" s="3" t="s">
        <v>357</v>
      </c>
      <c r="F395" s="4" t="s">
        <v>83</v>
      </c>
      <c r="G395" s="39">
        <v>45622</v>
      </c>
      <c r="H395" s="40">
        <v>-139</v>
      </c>
      <c r="I395" s="40">
        <v>127</v>
      </c>
      <c r="J395" s="7">
        <v>-125</v>
      </c>
      <c r="K395" s="8">
        <v>2.4207887760806776E-2</v>
      </c>
      <c r="L395" s="9">
        <v>1.3448826533781544E-2</v>
      </c>
      <c r="M395" s="10">
        <v>-132.02092050209211</v>
      </c>
      <c r="N395" s="11">
        <v>1.8</v>
      </c>
      <c r="O395" s="12">
        <v>2315.6953896645578</v>
      </c>
      <c r="P395" s="32" t="s">
        <v>143</v>
      </c>
      <c r="Q395" s="81" t="s">
        <v>81</v>
      </c>
      <c r="R395" s="82"/>
      <c r="S395" s="32"/>
      <c r="T395" s="32">
        <v>644.47</v>
      </c>
      <c r="U395" s="32">
        <v>644.47</v>
      </c>
      <c r="V395" s="74" t="s">
        <v>82</v>
      </c>
      <c r="W395" s="15"/>
      <c r="X395" s="15"/>
      <c r="Y395" s="16"/>
      <c r="Z395" s="17"/>
      <c r="AA395" s="18"/>
      <c r="AB395" s="75">
        <v>-644.47</v>
      </c>
      <c r="AC395" s="20">
        <v>15.601257425207143</v>
      </c>
      <c r="AD395" s="21">
        <v>45622</v>
      </c>
      <c r="AE395" s="22">
        <v>117475.59554733711</v>
      </c>
      <c r="AF395" s="23">
        <v>52409.47093333333</v>
      </c>
      <c r="AG395" s="24">
        <v>153053.94093333371</v>
      </c>
      <c r="AH395" s="15">
        <v>0.5</v>
      </c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</row>
    <row r="396" spans="1:68" ht="15" customHeight="1" x14ac:dyDescent="0.25">
      <c r="A396" s="1">
        <f t="shared" si="27"/>
        <v>150</v>
      </c>
      <c r="B396" s="1" t="str">
        <f t="shared" si="24"/>
        <v xml:space="preserve">Dayton </v>
      </c>
      <c r="C396" s="1">
        <f t="shared" si="25"/>
        <v>0</v>
      </c>
      <c r="D396" s="2" t="str">
        <f t="shared" si="26"/>
        <v>2024-11</v>
      </c>
      <c r="E396" s="3" t="s">
        <v>358</v>
      </c>
      <c r="F396" s="4" t="s">
        <v>83</v>
      </c>
      <c r="G396" s="39">
        <v>45622</v>
      </c>
      <c r="H396" s="40">
        <v>237</v>
      </c>
      <c r="I396" s="40">
        <v>-261</v>
      </c>
      <c r="J396" s="7">
        <v>270</v>
      </c>
      <c r="K396" s="8">
        <v>7.6682492725118387E-2</v>
      </c>
      <c r="L396" s="9">
        <v>2.0724998033815778E-2</v>
      </c>
      <c r="M396" s="10">
        <v>243.64819944598344</v>
      </c>
      <c r="N396" s="11">
        <v>3.7</v>
      </c>
      <c r="O396" s="12">
        <v>2148.7871680831386</v>
      </c>
      <c r="P396" s="32" t="s">
        <v>143</v>
      </c>
      <c r="Q396" s="80" t="s">
        <v>81</v>
      </c>
      <c r="R396" s="82"/>
      <c r="S396" s="32"/>
      <c r="T396" s="32">
        <v>47.734999999999999</v>
      </c>
      <c r="U396" s="32">
        <v>47.734999999999999</v>
      </c>
      <c r="V396" s="74" t="s">
        <v>77</v>
      </c>
      <c r="W396" s="15"/>
      <c r="X396" s="15"/>
      <c r="Y396" s="16"/>
      <c r="Z396" s="17"/>
      <c r="AA396" s="18"/>
      <c r="AB396" s="75">
        <v>128.88</v>
      </c>
      <c r="AC396" s="20">
        <v>3.6604387902335263</v>
      </c>
      <c r="AD396" s="21">
        <v>45622</v>
      </c>
      <c r="AE396" s="22">
        <v>117318.25263732103</v>
      </c>
      <c r="AF396" s="23">
        <v>51447.000933333329</v>
      </c>
      <c r="AG396" s="24">
        <v>151318.12093333373</v>
      </c>
      <c r="AH396" s="15">
        <v>0.5</v>
      </c>
      <c r="AI396" s="76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</row>
    <row r="397" spans="1:68" ht="15" customHeight="1" x14ac:dyDescent="0.25">
      <c r="A397" s="1">
        <f t="shared" si="27"/>
        <v>150</v>
      </c>
      <c r="B397" s="1" t="str">
        <f t="shared" si="24"/>
        <v xml:space="preserve">Dayton </v>
      </c>
      <c r="C397" s="1">
        <f t="shared" si="25"/>
        <v>0</v>
      </c>
      <c r="D397" s="2" t="str">
        <f t="shared" si="26"/>
        <v>2024-11</v>
      </c>
      <c r="E397" s="3" t="s">
        <v>359</v>
      </c>
      <c r="F397" s="4" t="s">
        <v>83</v>
      </c>
      <c r="G397" s="39">
        <v>45622</v>
      </c>
      <c r="H397" s="40">
        <v>-134</v>
      </c>
      <c r="I397" s="40">
        <v>121</v>
      </c>
      <c r="J397" s="7">
        <v>-118</v>
      </c>
      <c r="K397" s="8">
        <v>3.2003058993690867E-2</v>
      </c>
      <c r="L397" s="9">
        <v>1.7322756703006981E-2</v>
      </c>
      <c r="M397" s="10">
        <v>-126.55555555555554</v>
      </c>
      <c r="N397" s="11">
        <v>1.847457627118644</v>
      </c>
      <c r="O397" s="12">
        <v>2855.6408427824203</v>
      </c>
      <c r="P397" s="32" t="s">
        <v>143</v>
      </c>
      <c r="Q397" s="81" t="s">
        <v>76</v>
      </c>
      <c r="R397" s="82"/>
      <c r="S397" s="32"/>
      <c r="T397" s="32">
        <v>606.55999999999995</v>
      </c>
      <c r="U397" s="32">
        <v>606.55999999999995</v>
      </c>
      <c r="V397" s="74" t="s">
        <v>77</v>
      </c>
      <c r="W397" s="15"/>
      <c r="X397" s="15"/>
      <c r="Y397" s="16"/>
      <c r="Z397" s="17"/>
      <c r="AA397" s="18"/>
      <c r="AB397" s="75">
        <v>514.03</v>
      </c>
      <c r="AC397" s="20">
        <v>19.411775463213129</v>
      </c>
      <c r="AD397" s="21">
        <v>45622</v>
      </c>
      <c r="AE397" s="22">
        <v>117545.70056192993</v>
      </c>
      <c r="AF397" s="23">
        <v>51751.73593333333</v>
      </c>
      <c r="AG397" s="24">
        <v>151237.70593333369</v>
      </c>
      <c r="AH397" s="15">
        <v>0.5</v>
      </c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</row>
    <row r="398" spans="1:68" ht="15" customHeight="1" x14ac:dyDescent="0.25">
      <c r="A398" s="1">
        <f t="shared" si="27"/>
        <v>150</v>
      </c>
      <c r="B398" s="1" t="str">
        <f t="shared" si="24"/>
        <v xml:space="preserve">Dayton </v>
      </c>
      <c r="C398" s="1">
        <f t="shared" si="25"/>
        <v>0</v>
      </c>
      <c r="D398" s="2" t="str">
        <f t="shared" si="26"/>
        <v>2024-11</v>
      </c>
      <c r="E398" s="3" t="s">
        <v>360</v>
      </c>
      <c r="F398" s="4" t="s">
        <v>83</v>
      </c>
      <c r="G398" s="39">
        <v>45622</v>
      </c>
      <c r="H398" s="40">
        <v>-124</v>
      </c>
      <c r="I398" s="40">
        <v>110</v>
      </c>
      <c r="J398" s="7">
        <v>-109</v>
      </c>
      <c r="K398" s="8">
        <v>3.0757808771278906E-2</v>
      </c>
      <c r="L398" s="9">
        <v>1.604115385679139E-2</v>
      </c>
      <c r="M398" s="10">
        <v>-116.25000000000006</v>
      </c>
      <c r="N398" s="11">
        <v>1.9174311926605505</v>
      </c>
      <c r="O398" s="12">
        <v>2543.815226628165</v>
      </c>
      <c r="P398" s="32" t="s">
        <v>143</v>
      </c>
      <c r="Q398" s="81" t="s">
        <v>76</v>
      </c>
      <c r="R398" s="82"/>
      <c r="S398" s="32"/>
      <c r="T398" s="32">
        <v>560.41</v>
      </c>
      <c r="U398" s="32">
        <v>560.41</v>
      </c>
      <c r="V398" s="74" t="s">
        <v>77</v>
      </c>
      <c r="W398" s="15"/>
      <c r="X398" s="15"/>
      <c r="Y398" s="16"/>
      <c r="Z398" s="17"/>
      <c r="AA398" s="18"/>
      <c r="AB398" s="75">
        <v>514.14</v>
      </c>
      <c r="AC398" s="20">
        <v>17.236983613512411</v>
      </c>
      <c r="AD398" s="21">
        <v>45622</v>
      </c>
      <c r="AE398" s="22">
        <v>117562.93754554345</v>
      </c>
      <c r="AF398" s="23">
        <v>52265.875933333329</v>
      </c>
      <c r="AG398" s="24">
        <v>151751.73593333369</v>
      </c>
      <c r="AH398" s="15">
        <v>0.5</v>
      </c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</row>
    <row r="399" spans="1:68" ht="15" customHeight="1" x14ac:dyDescent="0.25">
      <c r="A399" s="1">
        <f t="shared" si="27"/>
        <v>150</v>
      </c>
      <c r="B399" s="1" t="str">
        <f t="shared" si="24"/>
        <v xml:space="preserve">Dayton </v>
      </c>
      <c r="C399" s="1">
        <f t="shared" si="25"/>
        <v>0</v>
      </c>
      <c r="D399" s="2" t="str">
        <f t="shared" si="26"/>
        <v>2024-11</v>
      </c>
      <c r="E399" s="3" t="s">
        <v>361</v>
      </c>
      <c r="F399" s="4" t="s">
        <v>83</v>
      </c>
      <c r="G399" s="39">
        <v>45622</v>
      </c>
      <c r="H399" s="40">
        <v>-114</v>
      </c>
      <c r="I399" s="40">
        <v>101</v>
      </c>
      <c r="J399" s="7">
        <v>100</v>
      </c>
      <c r="K399" s="8">
        <v>3.4165275082366442E-2</v>
      </c>
      <c r="L399" s="9">
        <v>1.7082637541183221E-2</v>
      </c>
      <c r="M399" s="10">
        <v>-107.07476635514011</v>
      </c>
      <c r="N399" s="11">
        <v>2</v>
      </c>
      <c r="O399" s="12">
        <v>2601.102768459913</v>
      </c>
      <c r="P399" s="32" t="s">
        <v>143</v>
      </c>
      <c r="Q399" s="81" t="s">
        <v>76</v>
      </c>
      <c r="R399" s="82"/>
      <c r="S399" s="32"/>
      <c r="T399" s="32">
        <v>515.57500000000005</v>
      </c>
      <c r="U399" s="32">
        <v>515.57500000000005</v>
      </c>
      <c r="V399" s="74" t="s">
        <v>77</v>
      </c>
      <c r="W399" s="15"/>
      <c r="X399" s="15"/>
      <c r="Y399" s="16"/>
      <c r="Z399" s="17"/>
      <c r="AA399" s="18"/>
      <c r="AB399" s="75">
        <v>515.58000000000004</v>
      </c>
      <c r="AC399" s="20">
        <v>17.614761700591078</v>
      </c>
      <c r="AD399" s="21">
        <v>45622</v>
      </c>
      <c r="AE399" s="22">
        <v>117580.55230724404</v>
      </c>
      <c r="AF399" s="23">
        <v>52781.455933333331</v>
      </c>
      <c r="AG399" s="24">
        <v>152265.87593333371</v>
      </c>
      <c r="AH399" s="15">
        <v>0.5</v>
      </c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</row>
    <row r="400" spans="1:68" ht="15" customHeight="1" x14ac:dyDescent="0.25">
      <c r="A400" s="1">
        <f t="shared" si="27"/>
        <v>151</v>
      </c>
      <c r="B400" s="1" t="str">
        <f t="shared" si="24"/>
        <v xml:space="preserve">Duke </v>
      </c>
      <c r="C400" s="1">
        <f t="shared" si="25"/>
        <v>0</v>
      </c>
      <c r="D400" s="2" t="str">
        <f t="shared" si="26"/>
        <v>2024-11</v>
      </c>
      <c r="E400" s="3" t="s">
        <v>362</v>
      </c>
      <c r="F400" s="4" t="s">
        <v>83</v>
      </c>
      <c r="G400" s="39">
        <v>45622</v>
      </c>
      <c r="H400" s="40">
        <v>-182</v>
      </c>
      <c r="I400" s="40">
        <v>163</v>
      </c>
      <c r="J400" s="7">
        <v>-152</v>
      </c>
      <c r="K400" s="8">
        <v>4.3262291611024788E-2</v>
      </c>
      <c r="L400" s="9">
        <v>2.6094715574903837E-2</v>
      </c>
      <c r="M400" s="10">
        <v>-169.73758865248226</v>
      </c>
      <c r="N400" s="11">
        <v>1.6578947368421053</v>
      </c>
      <c r="O400" s="12">
        <v>5011.1230616079156</v>
      </c>
      <c r="P400" s="32" t="s">
        <v>143</v>
      </c>
      <c r="Q400" s="81" t="s">
        <v>81</v>
      </c>
      <c r="R400" s="82"/>
      <c r="S400" s="32"/>
      <c r="T400" s="32">
        <v>1171.7650000000001</v>
      </c>
      <c r="U400" s="32">
        <v>1171.7650000000001</v>
      </c>
      <c r="V400" s="74" t="s">
        <v>82</v>
      </c>
      <c r="W400" s="15"/>
      <c r="X400" s="15"/>
      <c r="Y400" s="16"/>
      <c r="Z400" s="17"/>
      <c r="AA400" s="18"/>
      <c r="AB400" s="75">
        <v>-1171.7650000000001</v>
      </c>
      <c r="AC400" s="20">
        <v>50.693239129592463</v>
      </c>
      <c r="AD400" s="21">
        <v>45622</v>
      </c>
      <c r="AE400" s="22">
        <v>117526.28878646671</v>
      </c>
      <c r="AF400" s="23">
        <v>51237.705933333331</v>
      </c>
      <c r="AG400" s="24">
        <v>152409.47093333371</v>
      </c>
      <c r="AH400" s="15">
        <v>0.5</v>
      </c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</row>
    <row r="401" spans="1:68" ht="15" customHeight="1" x14ac:dyDescent="0.25">
      <c r="A401" s="1">
        <f t="shared" si="27"/>
        <v>152</v>
      </c>
      <c r="B401" s="1" t="str">
        <f t="shared" si="24"/>
        <v xml:space="preserve">Fresno </v>
      </c>
      <c r="C401" s="1">
        <f t="shared" si="25"/>
        <v>0</v>
      </c>
      <c r="D401" s="2" t="str">
        <f t="shared" si="26"/>
        <v>2024-11</v>
      </c>
      <c r="E401" s="3" t="s">
        <v>363</v>
      </c>
      <c r="F401" s="4" t="s">
        <v>83</v>
      </c>
      <c r="G401" s="39">
        <v>45622</v>
      </c>
      <c r="H401" s="40">
        <v>-142</v>
      </c>
      <c r="I401" s="40">
        <v>122</v>
      </c>
      <c r="J401" s="7">
        <v>-121</v>
      </c>
      <c r="K401" s="8">
        <v>3.3251248330763428E-2</v>
      </c>
      <c r="L401" s="9">
        <v>1.8205434606436088E-2</v>
      </c>
      <c r="M401" s="10">
        <v>-130.26446280991735</v>
      </c>
      <c r="N401" s="11">
        <v>1.8264462809917354</v>
      </c>
      <c r="O401" s="12">
        <v>3012.521553482633</v>
      </c>
      <c r="P401" s="32" t="s">
        <v>143</v>
      </c>
      <c r="Q401" s="80" t="s">
        <v>76</v>
      </c>
      <c r="R401" s="82"/>
      <c r="S401" s="32"/>
      <c r="T401" s="32">
        <v>621.17499999999995</v>
      </c>
      <c r="U401" s="32">
        <v>621.17499999999995</v>
      </c>
      <c r="V401" s="74" t="s">
        <v>77</v>
      </c>
      <c r="W401" s="15"/>
      <c r="X401" s="15"/>
      <c r="Y401" s="16"/>
      <c r="Z401" s="17"/>
      <c r="AA401" s="18"/>
      <c r="AB401" s="75">
        <v>513.37</v>
      </c>
      <c r="AC401" s="20">
        <v>20.654844181861971</v>
      </c>
      <c r="AD401" s="21">
        <v>45622</v>
      </c>
      <c r="AE401" s="22">
        <v>117265.37850984067</v>
      </c>
      <c r="AF401" s="23">
        <v>50263.370933333332</v>
      </c>
      <c r="AG401" s="24">
        <v>149750.00093333374</v>
      </c>
      <c r="AH401" s="15">
        <v>0.5</v>
      </c>
      <c r="AI401" s="76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77"/>
    </row>
    <row r="402" spans="1:68" ht="15" customHeight="1" x14ac:dyDescent="0.25">
      <c r="A402" s="1">
        <f t="shared" si="27"/>
        <v>152</v>
      </c>
      <c r="B402" s="1" t="str">
        <f t="shared" si="24"/>
        <v xml:space="preserve">Fresno </v>
      </c>
      <c r="C402" s="1">
        <f t="shared" si="25"/>
        <v>0</v>
      </c>
      <c r="D402" s="2" t="str">
        <f t="shared" si="26"/>
        <v>2024-11</v>
      </c>
      <c r="E402" s="3" t="s">
        <v>364</v>
      </c>
      <c r="F402" s="4" t="s">
        <v>83</v>
      </c>
      <c r="G402" s="39">
        <v>45622</v>
      </c>
      <c r="H402" s="40">
        <v>-152</v>
      </c>
      <c r="I402" s="40">
        <v>128</v>
      </c>
      <c r="J402" s="7">
        <v>-129</v>
      </c>
      <c r="K402" s="8">
        <v>2.781870287138782E-2</v>
      </c>
      <c r="L402" s="9">
        <v>1.567079768737567E-2</v>
      </c>
      <c r="M402" s="10">
        <v>-137.52380952380958</v>
      </c>
      <c r="N402" s="11">
        <v>1.7751937984496124</v>
      </c>
      <c r="O402" s="12">
        <v>2696.1851841486655</v>
      </c>
      <c r="P402" s="32" t="s">
        <v>143</v>
      </c>
      <c r="Q402" s="80" t="s">
        <v>76</v>
      </c>
      <c r="R402" s="82"/>
      <c r="S402" s="32"/>
      <c r="T402" s="32">
        <v>660.995</v>
      </c>
      <c r="U402" s="32">
        <v>660.995</v>
      </c>
      <c r="V402" s="74" t="s">
        <v>77</v>
      </c>
      <c r="W402" s="15"/>
      <c r="X402" s="15"/>
      <c r="Y402" s="16"/>
      <c r="Z402" s="17"/>
      <c r="AA402" s="18"/>
      <c r="AB402" s="75">
        <v>512.4</v>
      </c>
      <c r="AC402" s="20">
        <v>18.388023504472994</v>
      </c>
      <c r="AD402" s="21">
        <v>45622</v>
      </c>
      <c r="AE402" s="22">
        <v>117283.76653334514</v>
      </c>
      <c r="AF402" s="23">
        <v>50775.770933333333</v>
      </c>
      <c r="AG402" s="24">
        <v>150263.37093333373</v>
      </c>
      <c r="AH402" s="15">
        <v>0.5</v>
      </c>
      <c r="AI402" s="76"/>
      <c r="AJ402" s="77"/>
      <c r="AK402" s="77"/>
      <c r="AL402" s="77"/>
      <c r="AM402" s="77"/>
      <c r="AN402" s="76"/>
      <c r="AO402" s="76"/>
      <c r="AP402" s="77"/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6"/>
      <c r="BC402" s="76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6"/>
    </row>
    <row r="403" spans="1:68" ht="15" customHeight="1" x14ac:dyDescent="0.25">
      <c r="A403" s="1">
        <f t="shared" si="27"/>
        <v>153</v>
      </c>
      <c r="B403" s="1" t="str">
        <f t="shared" si="24"/>
        <v xml:space="preserve">Grambling </v>
      </c>
      <c r="C403" s="1">
        <f t="shared" si="25"/>
        <v>1</v>
      </c>
      <c r="D403" s="2" t="str">
        <f t="shared" si="26"/>
        <v>2024-11</v>
      </c>
      <c r="E403" s="3" t="s">
        <v>365</v>
      </c>
      <c r="F403" s="4" t="s">
        <v>83</v>
      </c>
      <c r="G403" s="39">
        <v>45622</v>
      </c>
      <c r="H403" s="40">
        <v>-112</v>
      </c>
      <c r="I403" s="40">
        <v>-105</v>
      </c>
      <c r="J403" s="7">
        <v>106</v>
      </c>
      <c r="K403" s="8">
        <v>4.5944272445820604E-2</v>
      </c>
      <c r="L403" s="9">
        <v>2.2303044876611944E-2</v>
      </c>
      <c r="M403" s="10">
        <v>-103.14465408805036</v>
      </c>
      <c r="N403" s="11">
        <v>2.06</v>
      </c>
      <c r="O403" s="12">
        <v>3293.3067075335603</v>
      </c>
      <c r="P403" s="32" t="s">
        <v>143</v>
      </c>
      <c r="Q403" s="81" t="s">
        <v>92</v>
      </c>
      <c r="R403" s="82"/>
      <c r="S403" s="32"/>
      <c r="T403" s="32">
        <v>243.19499999999999</v>
      </c>
      <c r="U403" s="32">
        <v>243.19499999999999</v>
      </c>
      <c r="V403" s="74" t="s">
        <v>77</v>
      </c>
      <c r="W403" s="15"/>
      <c r="X403" s="15"/>
      <c r="Y403" s="16"/>
      <c r="Z403" s="17"/>
      <c r="AA403" s="18"/>
      <c r="AB403" s="75">
        <v>257.79000000000002</v>
      </c>
      <c r="AC403" s="20">
        <v>11.173417337461341</v>
      </c>
      <c r="AD403" s="21">
        <v>45622</v>
      </c>
      <c r="AE403" s="22">
        <v>117382.39636233564</v>
      </c>
      <c r="AF403" s="23">
        <v>52220.370933333332</v>
      </c>
      <c r="AG403" s="24">
        <v>151962.58093333372</v>
      </c>
      <c r="AH403" s="15">
        <v>0.5</v>
      </c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</row>
    <row r="404" spans="1:68" ht="15" customHeight="1" x14ac:dyDescent="0.25">
      <c r="A404" s="1">
        <f t="shared" si="27"/>
        <v>153</v>
      </c>
      <c r="B404" s="1" t="str">
        <f t="shared" si="24"/>
        <v xml:space="preserve">Grambling </v>
      </c>
      <c r="C404" s="1">
        <f t="shared" si="25"/>
        <v>1</v>
      </c>
      <c r="D404" s="2" t="str">
        <f t="shared" si="26"/>
        <v>2024-11</v>
      </c>
      <c r="E404" s="3" t="s">
        <v>366</v>
      </c>
      <c r="F404" s="4" t="s">
        <v>83</v>
      </c>
      <c r="G404" s="39">
        <v>45622</v>
      </c>
      <c r="H404" s="40">
        <v>-109</v>
      </c>
      <c r="I404" s="40">
        <v>-111</v>
      </c>
      <c r="J404" s="7">
        <v>112</v>
      </c>
      <c r="K404" s="8">
        <v>5.5411056755703889E-2</v>
      </c>
      <c r="L404" s="9">
        <v>2.6137290922501832E-2</v>
      </c>
      <c r="M404" s="10">
        <v>100.86960302621853</v>
      </c>
      <c r="N404" s="11">
        <v>2.12</v>
      </c>
      <c r="O404" s="12">
        <v>3765.4873273041312</v>
      </c>
      <c r="P404" s="32" t="s">
        <v>143</v>
      </c>
      <c r="Q404" s="81" t="s">
        <v>92</v>
      </c>
      <c r="R404" s="82"/>
      <c r="S404" s="32"/>
      <c r="T404" s="32">
        <v>230.16499999999999</v>
      </c>
      <c r="U404" s="32">
        <v>230.16499999999999</v>
      </c>
      <c r="V404" s="74" t="s">
        <v>77</v>
      </c>
      <c r="W404" s="15"/>
      <c r="X404" s="15"/>
      <c r="Y404" s="16"/>
      <c r="Z404" s="17"/>
      <c r="AA404" s="18"/>
      <c r="AB404" s="75">
        <v>257.77999999999997</v>
      </c>
      <c r="AC404" s="20">
        <v>12.753685878176585</v>
      </c>
      <c r="AD404" s="21">
        <v>45622</v>
      </c>
      <c r="AE404" s="22">
        <v>117395.15004821382</v>
      </c>
      <c r="AF404" s="23">
        <v>52478.150933333331</v>
      </c>
      <c r="AG404" s="24">
        <v>152220.37093333373</v>
      </c>
      <c r="AH404" s="15">
        <v>0.5</v>
      </c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</row>
    <row r="405" spans="1:68" ht="15" customHeight="1" x14ac:dyDescent="0.25">
      <c r="A405" s="1">
        <f t="shared" si="27"/>
        <v>153</v>
      </c>
      <c r="B405" s="1" t="str">
        <f t="shared" si="24"/>
        <v xml:space="preserve">Grambling </v>
      </c>
      <c r="C405" s="1">
        <f t="shared" si="25"/>
        <v>1</v>
      </c>
      <c r="D405" s="2" t="str">
        <f t="shared" si="26"/>
        <v>2024-11</v>
      </c>
      <c r="E405" s="3" t="s">
        <v>367</v>
      </c>
      <c r="F405" s="4" t="s">
        <v>83</v>
      </c>
      <c r="G405" s="39">
        <v>45622</v>
      </c>
      <c r="H405" s="40">
        <v>-102</v>
      </c>
      <c r="I405" s="40">
        <v>-118</v>
      </c>
      <c r="J405" s="7">
        <v>118</v>
      </c>
      <c r="K405" s="8">
        <v>5.214620593853074E-2</v>
      </c>
      <c r="L405" s="9">
        <v>2.3920277953454472E-2</v>
      </c>
      <c r="M405" s="10">
        <v>107.19553876596511</v>
      </c>
      <c r="N405" s="11">
        <v>2.1799999999999997</v>
      </c>
      <c r="O405" s="12">
        <v>3369.1343473288121</v>
      </c>
      <c r="P405" s="32" t="s">
        <v>143</v>
      </c>
      <c r="Q405" s="81" t="s">
        <v>92</v>
      </c>
      <c r="R405" s="82"/>
      <c r="S405" s="32"/>
      <c r="T405" s="32">
        <v>218.465</v>
      </c>
      <c r="U405" s="32">
        <v>218.465</v>
      </c>
      <c r="V405" s="74" t="s">
        <v>77</v>
      </c>
      <c r="W405" s="15"/>
      <c r="X405" s="15"/>
      <c r="Y405" s="16"/>
      <c r="Z405" s="17"/>
      <c r="AA405" s="18"/>
      <c r="AB405" s="75">
        <v>257.79000000000002</v>
      </c>
      <c r="AC405" s="20">
        <v>11.392120880361118</v>
      </c>
      <c r="AD405" s="21">
        <v>45622</v>
      </c>
      <c r="AE405" s="22">
        <v>117406.54216909419</v>
      </c>
      <c r="AF405" s="23">
        <v>52735.940933333331</v>
      </c>
      <c r="AG405" s="24">
        <v>152478.15093333373</v>
      </c>
      <c r="AH405" s="15">
        <v>0.5</v>
      </c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</row>
    <row r="406" spans="1:68" ht="15" customHeight="1" x14ac:dyDescent="0.25">
      <c r="A406" s="1">
        <f t="shared" si="27"/>
        <v>154</v>
      </c>
      <c r="B406" s="1" t="str">
        <f t="shared" si="24"/>
        <v xml:space="preserve">North </v>
      </c>
      <c r="C406" s="1">
        <f t="shared" si="25"/>
        <v>0</v>
      </c>
      <c r="D406" s="2" t="str">
        <f t="shared" si="26"/>
        <v>2024-11</v>
      </c>
      <c r="E406" s="3" t="s">
        <v>345</v>
      </c>
      <c r="F406" s="4" t="s">
        <v>83</v>
      </c>
      <c r="G406" s="39">
        <v>45622</v>
      </c>
      <c r="H406" s="40">
        <v>155</v>
      </c>
      <c r="I406" s="40">
        <v>-165</v>
      </c>
      <c r="J406" s="7">
        <v>165</v>
      </c>
      <c r="K406" s="8">
        <v>2.4061246810061953E-2</v>
      </c>
      <c r="L406" s="9">
        <v>9.0797157773818693E-3</v>
      </c>
      <c r="M406" s="10">
        <v>158.77358490566036</v>
      </c>
      <c r="N406" s="11">
        <v>2.65</v>
      </c>
      <c r="O406" s="12">
        <v>1113.6415671406023</v>
      </c>
      <c r="P406" s="32" t="s">
        <v>143</v>
      </c>
      <c r="Q406" s="81" t="s">
        <v>81</v>
      </c>
      <c r="R406" s="82"/>
      <c r="S406" s="32"/>
      <c r="T406" s="32">
        <v>312.47000000000003</v>
      </c>
      <c r="U406" s="32">
        <v>312.47000000000003</v>
      </c>
      <c r="V406" s="74" t="s">
        <v>82</v>
      </c>
      <c r="W406" s="15"/>
      <c r="X406" s="15"/>
      <c r="Y406" s="16"/>
      <c r="Z406" s="17"/>
      <c r="AA406" s="18"/>
      <c r="AB406" s="75">
        <v>-312.47000000000003</v>
      </c>
      <c r="AC406" s="20">
        <v>7.5184177907400587</v>
      </c>
      <c r="AD406" s="21">
        <v>45622</v>
      </c>
      <c r="AE406" s="22">
        <v>117414.06058688492</v>
      </c>
      <c r="AF406" s="23">
        <v>52423.47093333333</v>
      </c>
      <c r="AG406" s="24">
        <v>152735.94093333374</v>
      </c>
      <c r="AH406" s="15">
        <v>0.5</v>
      </c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</row>
    <row r="407" spans="1:68" ht="15" customHeight="1" x14ac:dyDescent="0.25">
      <c r="A407" s="1">
        <f t="shared" si="27"/>
        <v>154</v>
      </c>
      <c r="B407" s="1" t="str">
        <f t="shared" si="24"/>
        <v xml:space="preserve">North </v>
      </c>
      <c r="C407" s="1">
        <f t="shared" si="25"/>
        <v>0</v>
      </c>
      <c r="D407" s="2" t="str">
        <f t="shared" si="26"/>
        <v>2024-11</v>
      </c>
      <c r="E407" s="3" t="s">
        <v>345</v>
      </c>
      <c r="F407" s="4" t="s">
        <v>83</v>
      </c>
      <c r="G407" s="39">
        <v>45622</v>
      </c>
      <c r="H407" s="40">
        <v>155</v>
      </c>
      <c r="I407" s="40">
        <v>-165</v>
      </c>
      <c r="J407" s="7">
        <v>170</v>
      </c>
      <c r="K407" s="8">
        <v>4.3383157127233063E-2</v>
      </c>
      <c r="L407" s="9">
        <v>1.6067835973049283E-2</v>
      </c>
      <c r="M407" s="10">
        <v>158.77358490566036</v>
      </c>
      <c r="N407" s="11">
        <v>2.7</v>
      </c>
      <c r="O407" s="12">
        <v>1944.8857027585466</v>
      </c>
      <c r="P407" s="32" t="s">
        <v>143</v>
      </c>
      <c r="Q407" s="81" t="s">
        <v>81</v>
      </c>
      <c r="R407" s="82"/>
      <c r="S407" s="32"/>
      <c r="T407" s="32">
        <v>303.27999999999997</v>
      </c>
      <c r="U407" s="32">
        <v>303.27999999999997</v>
      </c>
      <c r="V407" s="74" t="s">
        <v>82</v>
      </c>
      <c r="W407" s="15"/>
      <c r="X407" s="15"/>
      <c r="Y407" s="16"/>
      <c r="Z407" s="17"/>
      <c r="AA407" s="18"/>
      <c r="AB407" s="75">
        <v>-303.27999999999997</v>
      </c>
      <c r="AC407" s="20">
        <v>13.157243893547243</v>
      </c>
      <c r="AD407" s="21">
        <v>45622</v>
      </c>
      <c r="AE407" s="22">
        <v>117427.21783077846</v>
      </c>
      <c r="AF407" s="23">
        <v>52120.190933333331</v>
      </c>
      <c r="AG407" s="24">
        <v>152423.47093333374</v>
      </c>
      <c r="AH407" s="15">
        <v>0.5</v>
      </c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</row>
    <row r="408" spans="1:68" ht="15" customHeight="1" x14ac:dyDescent="0.25">
      <c r="A408" s="1">
        <f t="shared" si="27"/>
        <v>155</v>
      </c>
      <c r="B408" s="1" t="str">
        <f t="shared" si="24"/>
        <v xml:space="preserve">Notre </v>
      </c>
      <c r="C408" s="1">
        <f t="shared" si="25"/>
        <v>0</v>
      </c>
      <c r="D408" s="2" t="str">
        <f t="shared" si="26"/>
        <v>2024-11</v>
      </c>
      <c r="E408" s="3" t="s">
        <v>368</v>
      </c>
      <c r="F408" s="4" t="s">
        <v>83</v>
      </c>
      <c r="G408" s="39">
        <v>45622</v>
      </c>
      <c r="H408" s="40">
        <v>-139</v>
      </c>
      <c r="I408" s="40">
        <v>114</v>
      </c>
      <c r="J408" s="7">
        <v>-109</v>
      </c>
      <c r="K408" s="8">
        <v>6.3190326527247917E-2</v>
      </c>
      <c r="L408" s="9">
        <v>3.2955720533349386E-2</v>
      </c>
      <c r="M408" s="10">
        <v>-124.46025104602511</v>
      </c>
      <c r="N408" s="11">
        <v>1.9174311926605505</v>
      </c>
      <c r="O408" s="12">
        <v>5202.3504380444892</v>
      </c>
      <c r="P408" s="32" t="s">
        <v>143</v>
      </c>
      <c r="Q408" s="82" t="s">
        <v>76</v>
      </c>
      <c r="R408" s="82"/>
      <c r="S408" s="32"/>
      <c r="T408" s="32">
        <v>280.20499999999998</v>
      </c>
      <c r="U408" s="32">
        <v>280.20499999999998</v>
      </c>
      <c r="V408" s="40" t="s">
        <v>77</v>
      </c>
      <c r="W408" s="15"/>
      <c r="X408" s="15"/>
      <c r="Y408" s="16"/>
      <c r="Z408" s="17"/>
      <c r="AA408" s="18"/>
      <c r="AB408" s="75">
        <v>257.07</v>
      </c>
      <c r="AC408" s="20">
        <v>17.7062454445675</v>
      </c>
      <c r="AD408" s="21">
        <v>45622</v>
      </c>
      <c r="AE408" s="22">
        <v>117314.59219853079</v>
      </c>
      <c r="AF408" s="23">
        <v>51318.120933333332</v>
      </c>
      <c r="AG408" s="24">
        <v>151061.05093333372</v>
      </c>
      <c r="AH408" s="15">
        <v>0.5</v>
      </c>
      <c r="AI408" s="76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77"/>
    </row>
    <row r="409" spans="1:68" ht="15" customHeight="1" x14ac:dyDescent="0.25">
      <c r="A409" s="1">
        <f t="shared" si="27"/>
        <v>156</v>
      </c>
      <c r="B409" s="1" t="str">
        <f t="shared" si="24"/>
        <v xml:space="preserve">Rockets </v>
      </c>
      <c r="C409" s="1">
        <f t="shared" si="25"/>
        <v>1</v>
      </c>
      <c r="D409" s="2" t="str">
        <f t="shared" si="26"/>
        <v>2024-11</v>
      </c>
      <c r="E409" s="3" t="s">
        <v>369</v>
      </c>
      <c r="F409" s="4" t="s">
        <v>83</v>
      </c>
      <c r="G409" s="39">
        <v>45622</v>
      </c>
      <c r="H409" s="40">
        <v>-136</v>
      </c>
      <c r="I409" s="40">
        <v>123</v>
      </c>
      <c r="J409" s="7">
        <v>-118</v>
      </c>
      <c r="K409" s="8">
        <v>3.8972239194003895E-2</v>
      </c>
      <c r="L409" s="9">
        <v>2.1095065251800271E-2</v>
      </c>
      <c r="M409" s="10">
        <v>-128.5084745762712</v>
      </c>
      <c r="N409" s="11">
        <v>1.847457627118644</v>
      </c>
      <c r="O409" s="12">
        <v>3466.880951589791</v>
      </c>
      <c r="P409" s="32" t="s">
        <v>75</v>
      </c>
      <c r="Q409" s="82" t="s">
        <v>92</v>
      </c>
      <c r="R409" s="82"/>
      <c r="S409" s="32"/>
      <c r="T409" s="32">
        <v>336.63499999999999</v>
      </c>
      <c r="U409" s="32">
        <v>336.63499999999999</v>
      </c>
      <c r="V409" s="74" t="s">
        <v>77</v>
      </c>
      <c r="W409" s="15"/>
      <c r="X409" s="15"/>
      <c r="Y409" s="16"/>
      <c r="Z409" s="17"/>
      <c r="AA409" s="18"/>
      <c r="AB409" s="75">
        <v>285.27999999999997</v>
      </c>
      <c r="AC409" s="20">
        <v>13.1194197410735</v>
      </c>
      <c r="AD409" s="21">
        <v>45622</v>
      </c>
      <c r="AE409" s="22">
        <v>117296.88595308622</v>
      </c>
      <c r="AF409" s="23">
        <v>51061.050933333332</v>
      </c>
      <c r="AG409" s="24">
        <v>150775.77093333373</v>
      </c>
      <c r="AH409" s="15">
        <v>0.5</v>
      </c>
      <c r="AI409" s="76"/>
      <c r="AJ409" s="77"/>
      <c r="AK409" s="77"/>
      <c r="AL409" s="77"/>
      <c r="AM409" s="77"/>
      <c r="AN409" s="76"/>
      <c r="AO409" s="76"/>
      <c r="AP409" s="76"/>
      <c r="AQ409" s="76"/>
      <c r="AR409" s="76"/>
      <c r="AS409" s="76"/>
      <c r="AT409" s="77"/>
      <c r="AU409" s="77"/>
      <c r="AV409" s="77"/>
      <c r="AW409" s="77"/>
      <c r="AX409" s="77"/>
      <c r="AY409" s="77"/>
      <c r="AZ409" s="77"/>
      <c r="BA409" s="77"/>
      <c r="BB409" s="76"/>
      <c r="BC409" s="76"/>
      <c r="BD409" s="77"/>
      <c r="BE409" s="77"/>
      <c r="BF409" s="77"/>
      <c r="BG409" s="77"/>
      <c r="BH409" s="77"/>
      <c r="BI409" s="77"/>
      <c r="BJ409" s="77"/>
      <c r="BK409" s="77"/>
      <c r="BL409" s="77"/>
      <c r="BM409" s="77"/>
      <c r="BN409" s="77"/>
      <c r="BO409" s="77"/>
      <c r="BP409" s="76"/>
    </row>
    <row r="410" spans="1:68" ht="15" customHeight="1" x14ac:dyDescent="0.25">
      <c r="A410" s="1">
        <f t="shared" si="27"/>
        <v>156</v>
      </c>
      <c r="B410" s="1" t="str">
        <f t="shared" si="24"/>
        <v xml:space="preserve">Rockets </v>
      </c>
      <c r="C410" s="1">
        <f t="shared" si="25"/>
        <v>1</v>
      </c>
      <c r="D410" s="2" t="str">
        <f t="shared" si="26"/>
        <v>2024-11</v>
      </c>
      <c r="E410" s="3" t="s">
        <v>369</v>
      </c>
      <c r="F410" s="4" t="s">
        <v>83</v>
      </c>
      <c r="G410" s="39">
        <v>45622</v>
      </c>
      <c r="H410" s="40">
        <v>-134</v>
      </c>
      <c r="I410" s="40">
        <v>122</v>
      </c>
      <c r="J410" s="7">
        <v>-118</v>
      </c>
      <c r="K410" s="8">
        <v>3.4059033106145734E-2</v>
      </c>
      <c r="L410" s="9">
        <v>1.8435623424427505E-2</v>
      </c>
      <c r="M410" s="10">
        <v>-127.12820512820515</v>
      </c>
      <c r="N410" s="11">
        <v>1.847457627118644</v>
      </c>
      <c r="O410" s="12">
        <v>3067.1176570482671</v>
      </c>
      <c r="P410" s="32" t="s">
        <v>75</v>
      </c>
      <c r="Q410" s="81" t="s">
        <v>92</v>
      </c>
      <c r="R410" s="82"/>
      <c r="S410" s="32"/>
      <c r="T410" s="32">
        <v>181.965</v>
      </c>
      <c r="U410" s="32">
        <v>181.965</v>
      </c>
      <c r="V410" s="97" t="s">
        <v>77</v>
      </c>
      <c r="W410" s="15"/>
      <c r="X410" s="15"/>
      <c r="Y410" s="16"/>
      <c r="Z410" s="17"/>
      <c r="AA410" s="18"/>
      <c r="AB410" s="75">
        <v>154.21</v>
      </c>
      <c r="AC410" s="20">
        <v>6.1975519591598083</v>
      </c>
      <c r="AD410" s="21">
        <v>45622</v>
      </c>
      <c r="AE410" s="22">
        <v>117455.0789612497</v>
      </c>
      <c r="AF410" s="23">
        <v>52786.390933333329</v>
      </c>
      <c r="AG410" s="24">
        <v>152632.18093333373</v>
      </c>
      <c r="AH410" s="15">
        <v>0.5</v>
      </c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</row>
    <row r="411" spans="1:68" ht="15" customHeight="1" x14ac:dyDescent="0.25">
      <c r="A411" s="1">
        <f t="shared" si="27"/>
        <v>156</v>
      </c>
      <c r="B411" s="1" t="str">
        <f t="shared" si="24"/>
        <v xml:space="preserve">Rockets </v>
      </c>
      <c r="C411" s="1">
        <f t="shared" si="25"/>
        <v>1</v>
      </c>
      <c r="D411" s="2" t="str">
        <f t="shared" si="26"/>
        <v>2024-11</v>
      </c>
      <c r="E411" s="3" t="s">
        <v>370</v>
      </c>
      <c r="F411" s="4" t="s">
        <v>83</v>
      </c>
      <c r="G411" s="39">
        <v>45622</v>
      </c>
      <c r="H411" s="40">
        <v>-148</v>
      </c>
      <c r="I411" s="40">
        <v>137</v>
      </c>
      <c r="J411" s="7">
        <v>-137</v>
      </c>
      <c r="K411" s="8">
        <v>1.3409708531451675E-2</v>
      </c>
      <c r="L411" s="9">
        <v>7.7516036658602516E-3</v>
      </c>
      <c r="M411" s="10">
        <v>-141.43548387096774</v>
      </c>
      <c r="N411" s="11">
        <v>1.7299270072992701</v>
      </c>
      <c r="O411" s="12">
        <v>1403.4423644420788</v>
      </c>
      <c r="P411" s="32" t="s">
        <v>75</v>
      </c>
      <c r="Q411" s="81" t="s">
        <v>92</v>
      </c>
      <c r="R411" s="82"/>
      <c r="S411" s="32"/>
      <c r="T411" s="32">
        <v>366.55</v>
      </c>
      <c r="U411" s="32">
        <v>366.55</v>
      </c>
      <c r="V411" s="74" t="s">
        <v>77</v>
      </c>
      <c r="W411" s="15"/>
      <c r="X411" s="15"/>
      <c r="Y411" s="16"/>
      <c r="Z411" s="17"/>
      <c r="AA411" s="18"/>
      <c r="AB411" s="75">
        <v>267.55</v>
      </c>
      <c r="AC411" s="20">
        <v>4.9153286622036116</v>
      </c>
      <c r="AD411" s="21">
        <v>45622</v>
      </c>
      <c r="AE411" s="22">
        <v>117459.99428991191</v>
      </c>
      <c r="AF411" s="23">
        <v>53053.940933333331</v>
      </c>
      <c r="AG411" s="24">
        <v>152786.39093333372</v>
      </c>
      <c r="AH411" s="15">
        <v>0.5</v>
      </c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</row>
    <row r="412" spans="1:68" ht="15" customHeight="1" x14ac:dyDescent="0.25">
      <c r="A412" s="1">
        <f t="shared" si="27"/>
        <v>157</v>
      </c>
      <c r="B412" s="1" t="str">
        <f t="shared" si="24"/>
        <v xml:space="preserve">Stanford </v>
      </c>
      <c r="C412" s="1">
        <f t="shared" si="25"/>
        <v>0</v>
      </c>
      <c r="D412" s="2" t="str">
        <f t="shared" si="26"/>
        <v>2024-11</v>
      </c>
      <c r="E412" s="3" t="s">
        <v>371</v>
      </c>
      <c r="F412" s="4" t="s">
        <v>83</v>
      </c>
      <c r="G412" s="39">
        <v>45622</v>
      </c>
      <c r="H412" s="40">
        <v>-142</v>
      </c>
      <c r="I412" s="40">
        <v>126</v>
      </c>
      <c r="J412" s="7">
        <v>-136</v>
      </c>
      <c r="K412" s="8">
        <v>-1.071095673400458E-2</v>
      </c>
      <c r="L412" s="9">
        <v>-6.1724157450195882E-3</v>
      </c>
      <c r="M412" s="10">
        <v>-132.61157024793391</v>
      </c>
      <c r="N412" s="11">
        <v>1.7352941176470589</v>
      </c>
      <c r="O412" s="12">
        <v>-1112.7761836969119</v>
      </c>
      <c r="P412" s="32" t="s">
        <v>143</v>
      </c>
      <c r="Q412" s="81" t="s">
        <v>76</v>
      </c>
      <c r="R412" s="82"/>
      <c r="S412" s="32"/>
      <c r="T412" s="32">
        <v>527.5</v>
      </c>
      <c r="U412" s="32">
        <v>527.5</v>
      </c>
      <c r="V412" s="74" t="s">
        <v>82</v>
      </c>
      <c r="W412" s="15"/>
      <c r="X412" s="15"/>
      <c r="Y412" s="16"/>
      <c r="Z412" s="17"/>
      <c r="AA412" s="18"/>
      <c r="AB412" s="75">
        <v>-527.5</v>
      </c>
      <c r="AC412" s="20">
        <v>-5.6500296771874163</v>
      </c>
      <c r="AD412" s="21">
        <v>45622</v>
      </c>
      <c r="AE412" s="22">
        <v>117574.90227756686</v>
      </c>
      <c r="AF412" s="23">
        <v>52253.955933333331</v>
      </c>
      <c r="AG412" s="24">
        <v>152781.45593333369</v>
      </c>
      <c r="AH412" s="15">
        <v>0.5</v>
      </c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</row>
    <row r="413" spans="1:68" ht="15" customHeight="1" x14ac:dyDescent="0.25">
      <c r="A413" s="1">
        <f t="shared" si="27"/>
        <v>158</v>
      </c>
      <c r="B413" s="1" t="str">
        <f t="shared" si="24"/>
        <v xml:space="preserve">UC </v>
      </c>
      <c r="C413" s="1">
        <f t="shared" si="25"/>
        <v>0</v>
      </c>
      <c r="D413" s="2" t="str">
        <f t="shared" si="26"/>
        <v>2024-11</v>
      </c>
      <c r="E413" s="3" t="s">
        <v>372</v>
      </c>
      <c r="F413" s="4" t="s">
        <v>83</v>
      </c>
      <c r="G413" s="39">
        <v>45622</v>
      </c>
      <c r="H413" s="40">
        <v>-659</v>
      </c>
      <c r="I413" s="40">
        <v>555</v>
      </c>
      <c r="J413" s="7">
        <v>-500</v>
      </c>
      <c r="K413" s="8">
        <v>2.054793171048894E-2</v>
      </c>
      <c r="L413" s="9">
        <v>1.7123276425407452E-2</v>
      </c>
      <c r="M413" s="10">
        <v>-568.70223978919682</v>
      </c>
      <c r="N413" s="11">
        <v>1.2</v>
      </c>
      <c r="O413" s="12">
        <v>7779.8065823412426</v>
      </c>
      <c r="P413" s="32" t="s">
        <v>143</v>
      </c>
      <c r="Q413" s="81" t="s">
        <v>81</v>
      </c>
      <c r="R413" s="82"/>
      <c r="S413" s="32"/>
      <c r="T413" s="32">
        <v>2577.89</v>
      </c>
      <c r="U413" s="32">
        <v>2577.89</v>
      </c>
      <c r="V413" s="74" t="s">
        <v>77</v>
      </c>
      <c r="W413" s="15"/>
      <c r="X413" s="15"/>
      <c r="Y413" s="16"/>
      <c r="Z413" s="17"/>
      <c r="AA413" s="18"/>
      <c r="AB413" s="75">
        <v>515.58000000000004</v>
      </c>
      <c r="AC413" s="20">
        <v>52.970307677152334</v>
      </c>
      <c r="AD413" s="21">
        <v>45622</v>
      </c>
      <c r="AE413" s="22">
        <v>117371.22294499818</v>
      </c>
      <c r="AF413" s="23">
        <v>51962.580933333331</v>
      </c>
      <c r="AG413" s="24">
        <v>151447.00093333374</v>
      </c>
      <c r="AH413" s="15">
        <v>0.5</v>
      </c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</row>
    <row r="414" spans="1:68" ht="15" customHeight="1" x14ac:dyDescent="0.25">
      <c r="A414" s="1">
        <f t="shared" si="27"/>
        <v>158</v>
      </c>
      <c r="B414" s="1" t="str">
        <f t="shared" si="24"/>
        <v xml:space="preserve">UC </v>
      </c>
      <c r="C414" s="1">
        <f t="shared" si="25"/>
        <v>0</v>
      </c>
      <c r="D414" s="2" t="str">
        <f t="shared" si="26"/>
        <v>2024-11</v>
      </c>
      <c r="E414" s="3" t="s">
        <v>372</v>
      </c>
      <c r="F414" s="4" t="s">
        <v>83</v>
      </c>
      <c r="G414" s="39">
        <v>45622</v>
      </c>
      <c r="H414" s="40">
        <v>-655</v>
      </c>
      <c r="I414" s="40">
        <v>543</v>
      </c>
      <c r="J414" s="7">
        <v>-530</v>
      </c>
      <c r="K414" s="8">
        <v>7.9834382121201052E-3</v>
      </c>
      <c r="L414" s="9">
        <v>6.7162257974978656E-3</v>
      </c>
      <c r="M414" s="10">
        <v>-557.83443708609275</v>
      </c>
      <c r="N414" s="11">
        <v>1.1886792452830188</v>
      </c>
      <c r="O414" s="12">
        <v>3218.2716846002854</v>
      </c>
      <c r="P414" s="32" t="s">
        <v>143</v>
      </c>
      <c r="Q414" s="81" t="s">
        <v>81</v>
      </c>
      <c r="R414" s="82"/>
      <c r="S414" s="32"/>
      <c r="T414" s="32">
        <v>2713.5650000000001</v>
      </c>
      <c r="U414" s="32">
        <v>2713.5650000000001</v>
      </c>
      <c r="V414" s="74" t="s">
        <v>77</v>
      </c>
      <c r="W414" s="15"/>
      <c r="X414" s="15"/>
      <c r="Y414" s="16"/>
      <c r="Z414" s="17"/>
      <c r="AA414" s="18"/>
      <c r="AB414" s="75">
        <v>511.99</v>
      </c>
      <c r="AC414" s="20">
        <v>21.663578512071695</v>
      </c>
      <c r="AD414" s="21">
        <v>45622</v>
      </c>
      <c r="AE414" s="22">
        <v>117448.88140929054</v>
      </c>
      <c r="AF414" s="23">
        <v>52632.180933333329</v>
      </c>
      <c r="AG414" s="24">
        <v>152120.19093333374</v>
      </c>
      <c r="AH414" s="15">
        <v>0.5</v>
      </c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</row>
    <row r="415" spans="1:68" ht="15" customHeight="1" x14ac:dyDescent="0.25">
      <c r="A415" s="1">
        <f t="shared" si="27"/>
        <v>159</v>
      </c>
      <c r="B415" s="1" t="str">
        <f t="shared" si="24"/>
        <v xml:space="preserve">Daivdson </v>
      </c>
      <c r="C415" s="1">
        <f t="shared" si="25"/>
        <v>0</v>
      </c>
      <c r="D415" s="2" t="str">
        <f t="shared" si="26"/>
        <v>2024-11</v>
      </c>
      <c r="E415" s="3" t="s">
        <v>373</v>
      </c>
      <c r="F415" s="4" t="s">
        <v>83</v>
      </c>
      <c r="G415" s="39">
        <v>45623</v>
      </c>
      <c r="H415" s="40">
        <v>-160</v>
      </c>
      <c r="I415" s="40">
        <v>132</v>
      </c>
      <c r="J415" s="7">
        <v>-132</v>
      </c>
      <c r="K415" s="8">
        <v>3.3606022199178229E-2</v>
      </c>
      <c r="L415" s="9">
        <v>1.9120667802980718E-2</v>
      </c>
      <c r="M415" s="10">
        <v>-142.76923076923083</v>
      </c>
      <c r="N415" s="11">
        <v>1.7575757575757576</v>
      </c>
      <c r="O415" s="12">
        <v>3412.033243134792</v>
      </c>
      <c r="P415" s="32" t="s">
        <v>143</v>
      </c>
      <c r="Q415" s="81" t="s">
        <v>76</v>
      </c>
      <c r="R415" s="82"/>
      <c r="S415" s="32"/>
      <c r="T415" s="32">
        <v>678.97</v>
      </c>
      <c r="U415" s="32">
        <v>678.97</v>
      </c>
      <c r="V415" s="74" t="s">
        <v>82</v>
      </c>
      <c r="W415" s="15"/>
      <c r="X415" s="15"/>
      <c r="Y415" s="16"/>
      <c r="Z415" s="17"/>
      <c r="AA415" s="18"/>
      <c r="AB415" s="75">
        <v>-678.97</v>
      </c>
      <c r="AC415" s="20">
        <v>22.817480892576043</v>
      </c>
      <c r="AD415" s="21">
        <v>45623</v>
      </c>
      <c r="AE415" s="22">
        <v>117680.62265552055</v>
      </c>
      <c r="AF415" s="23">
        <v>53154.98593333333</v>
      </c>
      <c r="AG415" s="24">
        <v>153833.95593333369</v>
      </c>
      <c r="AH415" s="15">
        <v>0.5</v>
      </c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</row>
    <row r="416" spans="1:68" ht="15" customHeight="1" x14ac:dyDescent="0.25">
      <c r="A416" s="1">
        <f t="shared" si="27"/>
        <v>160</v>
      </c>
      <c r="B416" s="1" t="str">
        <f t="shared" si="24"/>
        <v xml:space="preserve">Daividson </v>
      </c>
      <c r="C416" s="1">
        <f t="shared" si="25"/>
        <v>0</v>
      </c>
      <c r="D416" s="2" t="str">
        <f t="shared" si="26"/>
        <v>2024-11</v>
      </c>
      <c r="E416" s="3" t="s">
        <v>374</v>
      </c>
      <c r="F416" s="4" t="s">
        <v>83</v>
      </c>
      <c r="G416" s="39">
        <v>45623</v>
      </c>
      <c r="H416" s="40">
        <v>-156</v>
      </c>
      <c r="I416" s="40">
        <v>128</v>
      </c>
      <c r="J416" s="7">
        <v>-124</v>
      </c>
      <c r="K416" s="8">
        <v>5.0416410014091133E-2</v>
      </c>
      <c r="L416" s="9">
        <v>2.7909084114943306E-2</v>
      </c>
      <c r="M416" s="10">
        <v>-138.93749999999997</v>
      </c>
      <c r="N416" s="11">
        <v>1.8064516129032258</v>
      </c>
      <c r="O416" s="12">
        <v>4785.1237127997183</v>
      </c>
      <c r="P416" s="32" t="s">
        <v>143</v>
      </c>
      <c r="Q416" s="81" t="s">
        <v>76</v>
      </c>
      <c r="R416" s="82"/>
      <c r="S416" s="32"/>
      <c r="T416" s="32">
        <v>637.05999999999995</v>
      </c>
      <c r="U416" s="32">
        <v>637.05999999999995</v>
      </c>
      <c r="V416" s="74" t="s">
        <v>82</v>
      </c>
      <c r="W416" s="15"/>
      <c r="X416" s="15"/>
      <c r="Y416" s="16"/>
      <c r="Z416" s="17"/>
      <c r="AA416" s="18"/>
      <c r="AB416" s="75">
        <v>-637.05999999999995</v>
      </c>
      <c r="AC416" s="20">
        <v>32.118278163576896</v>
      </c>
      <c r="AD416" s="21">
        <v>45623</v>
      </c>
      <c r="AE416" s="22">
        <v>117761.64444802658</v>
      </c>
      <c r="AF416" s="23">
        <v>52446.855933333332</v>
      </c>
      <c r="AG416" s="24">
        <v>153083.91593333369</v>
      </c>
      <c r="AH416" s="15">
        <v>0.5</v>
      </c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</row>
    <row r="417" spans="1:68" ht="15" customHeight="1" x14ac:dyDescent="0.25">
      <c r="A417" s="1">
        <f t="shared" si="27"/>
        <v>161</v>
      </c>
      <c r="B417" s="1" t="str">
        <f t="shared" si="24"/>
        <v xml:space="preserve">Davidson </v>
      </c>
      <c r="C417" s="1">
        <f t="shared" si="25"/>
        <v>0</v>
      </c>
      <c r="D417" s="2" t="str">
        <f t="shared" si="26"/>
        <v>2024-11</v>
      </c>
      <c r="E417" s="3" t="s">
        <v>375</v>
      </c>
      <c r="F417" s="4" t="s">
        <v>83</v>
      </c>
      <c r="G417" s="39">
        <v>45623</v>
      </c>
      <c r="H417" s="40">
        <v>-170</v>
      </c>
      <c r="I417" s="40">
        <v>140</v>
      </c>
      <c r="J417" s="7">
        <v>-137</v>
      </c>
      <c r="K417" s="8">
        <v>4.1018022091595954E-2</v>
      </c>
      <c r="L417" s="9">
        <v>2.3710839774466863E-2</v>
      </c>
      <c r="M417" s="10">
        <v>-151.11111111111106</v>
      </c>
      <c r="N417" s="11">
        <v>1.7299270072992701</v>
      </c>
      <c r="O417" s="12">
        <v>4303.2484985693109</v>
      </c>
      <c r="P417" s="32" t="s">
        <v>143</v>
      </c>
      <c r="Q417" s="81" t="s">
        <v>76</v>
      </c>
      <c r="R417" s="82"/>
      <c r="S417" s="32"/>
      <c r="T417" s="32">
        <v>706.875</v>
      </c>
      <c r="U417" s="32">
        <v>706.875</v>
      </c>
      <c r="V417" s="74" t="s">
        <v>82</v>
      </c>
      <c r="W417" s="15"/>
      <c r="X417" s="15"/>
      <c r="Y417" s="16"/>
      <c r="Z417" s="17"/>
      <c r="AA417" s="18"/>
      <c r="AB417" s="75">
        <v>-706.875</v>
      </c>
      <c r="AC417" s="20">
        <v>28.994614365996892</v>
      </c>
      <c r="AD417" s="21">
        <v>45623</v>
      </c>
      <c r="AE417" s="22">
        <v>117709.61726988654</v>
      </c>
      <c r="AF417" s="23">
        <v>52448.11093333333</v>
      </c>
      <c r="AG417" s="24">
        <v>153154.98593333369</v>
      </c>
      <c r="AH417" s="15">
        <v>0.5</v>
      </c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</row>
    <row r="418" spans="1:68" ht="15" customHeight="1" x14ac:dyDescent="0.25">
      <c r="A418" s="1">
        <f t="shared" si="27"/>
        <v>161</v>
      </c>
      <c r="B418" s="1" t="str">
        <f t="shared" si="24"/>
        <v xml:space="preserve">Davidson </v>
      </c>
      <c r="C418" s="1">
        <f t="shared" si="25"/>
        <v>0</v>
      </c>
      <c r="D418" s="2" t="str">
        <f t="shared" si="26"/>
        <v>2024-11</v>
      </c>
      <c r="E418" s="3" t="s">
        <v>376</v>
      </c>
      <c r="F418" s="4" t="s">
        <v>83</v>
      </c>
      <c r="G418" s="39">
        <v>45623</v>
      </c>
      <c r="H418" s="40">
        <v>-145</v>
      </c>
      <c r="I418" s="40">
        <v>120</v>
      </c>
      <c r="J418" s="7">
        <v>-118</v>
      </c>
      <c r="K418" s="8">
        <v>4.492727491285007E-2</v>
      </c>
      <c r="L418" s="9">
        <v>2.4318433209707835E-2</v>
      </c>
      <c r="M418" s="10">
        <v>-130.20408163265304</v>
      </c>
      <c r="N418" s="11">
        <v>1.847457627118644</v>
      </c>
      <c r="O418" s="12">
        <v>4040.9228656087539</v>
      </c>
      <c r="P418" s="32" t="s">
        <v>143</v>
      </c>
      <c r="Q418" s="81" t="s">
        <v>76</v>
      </c>
      <c r="R418" s="82"/>
      <c r="S418" s="32"/>
      <c r="T418" s="32">
        <v>607.08000000000004</v>
      </c>
      <c r="U418" s="32">
        <v>607.08000000000004</v>
      </c>
      <c r="V418" s="74" t="s">
        <v>82</v>
      </c>
      <c r="W418" s="15"/>
      <c r="X418" s="15"/>
      <c r="Y418" s="16"/>
      <c r="Z418" s="17"/>
      <c r="AA418" s="18"/>
      <c r="AB418" s="75">
        <v>-607.08000000000004</v>
      </c>
      <c r="AC418" s="20">
        <v>27.274450054093023</v>
      </c>
      <c r="AD418" s="21">
        <v>45623</v>
      </c>
      <c r="AE418" s="22">
        <v>117788.91889808066</v>
      </c>
      <c r="AF418" s="23">
        <v>51839.775933333331</v>
      </c>
      <c r="AG418" s="24">
        <v>152446.85593333369</v>
      </c>
      <c r="AH418" s="15">
        <v>0.5</v>
      </c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</row>
    <row r="419" spans="1:68" ht="15" customHeight="1" x14ac:dyDescent="0.25">
      <c r="A419" s="1">
        <f t="shared" si="27"/>
        <v>161</v>
      </c>
      <c r="B419" s="1" t="str">
        <f t="shared" si="24"/>
        <v xml:space="preserve">Davidson </v>
      </c>
      <c r="C419" s="1">
        <f t="shared" si="25"/>
        <v>0</v>
      </c>
      <c r="D419" s="2" t="str">
        <f t="shared" si="26"/>
        <v>2024-11</v>
      </c>
      <c r="E419" s="3" t="s">
        <v>377</v>
      </c>
      <c r="F419" s="4" t="s">
        <v>83</v>
      </c>
      <c r="G419" s="39">
        <v>45623</v>
      </c>
      <c r="H419" s="40">
        <v>-134</v>
      </c>
      <c r="I419" s="40">
        <v>112</v>
      </c>
      <c r="J419" s="7">
        <v>-113</v>
      </c>
      <c r="K419" s="8">
        <v>3.3582130343760827E-2</v>
      </c>
      <c r="L419" s="9">
        <v>1.7815871966408325E-2</v>
      </c>
      <c r="M419" s="10">
        <v>-121.40170940170941</v>
      </c>
      <c r="N419" s="11">
        <v>1.8849557522123894</v>
      </c>
      <c r="O419" s="12">
        <v>2880.993277919767</v>
      </c>
      <c r="P419" s="32" t="s">
        <v>143</v>
      </c>
      <c r="Q419" s="81" t="s">
        <v>76</v>
      </c>
      <c r="R419" s="82"/>
      <c r="S419" s="32"/>
      <c r="T419" s="32">
        <v>579.79499999999996</v>
      </c>
      <c r="U419" s="32">
        <v>579.79499999999996</v>
      </c>
      <c r="V419" s="74" t="s">
        <v>82</v>
      </c>
      <c r="W419" s="15"/>
      <c r="X419" s="15"/>
      <c r="Y419" s="16"/>
      <c r="Z419" s="17"/>
      <c r="AA419" s="18"/>
      <c r="AB419" s="75">
        <v>-579.79499999999996</v>
      </c>
      <c r="AC419" s="20">
        <v>19.470751262660809</v>
      </c>
      <c r="AD419" s="21">
        <v>45623</v>
      </c>
      <c r="AE419" s="22">
        <v>117808.38964934333</v>
      </c>
      <c r="AF419" s="23">
        <v>51259.980933333332</v>
      </c>
      <c r="AG419" s="24">
        <v>151839.7759333337</v>
      </c>
      <c r="AH419" s="15">
        <v>0.5</v>
      </c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</row>
    <row r="420" spans="1:68" ht="15" customHeight="1" x14ac:dyDescent="0.25">
      <c r="A420" s="1">
        <f t="shared" si="27"/>
        <v>162</v>
      </c>
      <c r="B420" s="1" t="str">
        <f t="shared" si="24"/>
        <v xml:space="preserve">Hawks </v>
      </c>
      <c r="C420" s="1">
        <f t="shared" si="25"/>
        <v>0</v>
      </c>
      <c r="D420" s="2" t="str">
        <f t="shared" si="26"/>
        <v>2024-11</v>
      </c>
      <c r="E420" s="3" t="s">
        <v>378</v>
      </c>
      <c r="F420" s="4" t="s">
        <v>83</v>
      </c>
      <c r="G420" s="39">
        <v>45623</v>
      </c>
      <c r="H420" s="40">
        <v>329</v>
      </c>
      <c r="I420" s="40">
        <v>-336</v>
      </c>
      <c r="J420" s="7">
        <v>350</v>
      </c>
      <c r="K420" s="8">
        <v>4.5040054542355559E-2</v>
      </c>
      <c r="L420" s="9">
        <v>1.0008901009412347E-2</v>
      </c>
      <c r="M420" s="10">
        <v>330.60550458715591</v>
      </c>
      <c r="N420" s="11">
        <v>4.5</v>
      </c>
      <c r="O420" s="12">
        <v>980.83659817340174</v>
      </c>
      <c r="P420" s="32" t="s">
        <v>75</v>
      </c>
      <c r="Q420" s="81" t="s">
        <v>81</v>
      </c>
      <c r="R420" s="82"/>
      <c r="S420" s="32"/>
      <c r="T420" s="32">
        <v>184.29</v>
      </c>
      <c r="U420" s="32">
        <v>184.29</v>
      </c>
      <c r="V420" s="74" t="s">
        <v>77</v>
      </c>
      <c r="W420" s="15"/>
      <c r="X420" s="15"/>
      <c r="Y420" s="16"/>
      <c r="Z420" s="17"/>
      <c r="AA420" s="18"/>
      <c r="AB420" s="75">
        <v>645.02</v>
      </c>
      <c r="AC420" s="20">
        <v>8.3004316516107064</v>
      </c>
      <c r="AD420" s="21">
        <v>45623</v>
      </c>
      <c r="AE420" s="22">
        <v>117729.52616986301</v>
      </c>
      <c r="AF420" s="23">
        <v>53083.91593333333</v>
      </c>
      <c r="AG420" s="24">
        <v>152438.8959333337</v>
      </c>
      <c r="AH420" s="15">
        <v>0.5</v>
      </c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</row>
    <row r="421" spans="1:68" ht="15" customHeight="1" x14ac:dyDescent="0.25">
      <c r="A421" s="1">
        <f t="shared" si="27"/>
        <v>163</v>
      </c>
      <c r="B421" s="1" t="str">
        <f t="shared" si="24"/>
        <v xml:space="preserve">Knicks </v>
      </c>
      <c r="C421" s="1">
        <f t="shared" si="25"/>
        <v>1</v>
      </c>
      <c r="D421" s="2" t="str">
        <f t="shared" si="26"/>
        <v>2024-11</v>
      </c>
      <c r="E421" s="3" t="s">
        <v>379</v>
      </c>
      <c r="F421" s="4" t="s">
        <v>83</v>
      </c>
      <c r="G421" s="39">
        <v>45623</v>
      </c>
      <c r="H421" s="40">
        <v>-109</v>
      </c>
      <c r="I421" s="40">
        <v>-101</v>
      </c>
      <c r="J421" s="7">
        <v>104</v>
      </c>
      <c r="K421" s="8">
        <v>3.896880375656691E-2</v>
      </c>
      <c r="L421" s="9">
        <v>1.9102354782630837E-2</v>
      </c>
      <c r="M421" s="10">
        <v>-103.78985266947744</v>
      </c>
      <c r="N421" s="11">
        <v>2.04</v>
      </c>
      <c r="O421" s="12">
        <v>2866.7592692147041</v>
      </c>
      <c r="P421" s="32" t="s">
        <v>75</v>
      </c>
      <c r="Q421" s="81" t="s">
        <v>92</v>
      </c>
      <c r="R421" s="82"/>
      <c r="S421" s="32"/>
      <c r="T421" s="32">
        <v>372.125</v>
      </c>
      <c r="U421" s="32">
        <v>372.125</v>
      </c>
      <c r="V421" s="74" t="s">
        <v>82</v>
      </c>
      <c r="W421" s="15"/>
      <c r="X421" s="15"/>
      <c r="Y421" s="16"/>
      <c r="Z421" s="17"/>
      <c r="AA421" s="18"/>
      <c r="AB421" s="75">
        <v>-372.125</v>
      </c>
      <c r="AC421" s="20">
        <v>14.501266097912461</v>
      </c>
      <c r="AD421" s="21">
        <v>45623</v>
      </c>
      <c r="AE421" s="22">
        <v>117960.36483374685</v>
      </c>
      <c r="AF421" s="23">
        <v>52644.100933333335</v>
      </c>
      <c r="AG421" s="24">
        <v>153016.22593333368</v>
      </c>
      <c r="AH421" s="15">
        <v>0.5</v>
      </c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</row>
    <row r="422" spans="1:68" ht="15" customHeight="1" x14ac:dyDescent="0.25">
      <c r="A422" s="1">
        <f t="shared" si="27"/>
        <v>163</v>
      </c>
      <c r="B422" s="1" t="str">
        <f t="shared" si="24"/>
        <v xml:space="preserve">Knicks </v>
      </c>
      <c r="C422" s="1">
        <f t="shared" si="25"/>
        <v>1</v>
      </c>
      <c r="D422" s="2" t="str">
        <f t="shared" si="26"/>
        <v>2024-11</v>
      </c>
      <c r="E422" s="3" t="s">
        <v>380</v>
      </c>
      <c r="F422" s="4" t="s">
        <v>83</v>
      </c>
      <c r="G422" s="39">
        <v>45623</v>
      </c>
      <c r="H422" s="40">
        <v>-116</v>
      </c>
      <c r="I422" s="40">
        <v>107</v>
      </c>
      <c r="J422" s="7">
        <v>-103</v>
      </c>
      <c r="K422" s="8">
        <v>3.7547604999195412E-2</v>
      </c>
      <c r="L422" s="9">
        <v>1.9051247856734621E-2</v>
      </c>
      <c r="M422" s="10">
        <v>-111.16666666666669</v>
      </c>
      <c r="N422" s="11">
        <v>1.970873786407767</v>
      </c>
      <c r="O422" s="12">
        <v>2951.6815097605963</v>
      </c>
      <c r="P422" s="32" t="s">
        <v>75</v>
      </c>
      <c r="Q422" s="81" t="s">
        <v>92</v>
      </c>
      <c r="R422" s="82"/>
      <c r="S422" s="32"/>
      <c r="T422" s="32">
        <v>394.91</v>
      </c>
      <c r="U422" s="32">
        <v>394.91</v>
      </c>
      <c r="V422" s="74" t="s">
        <v>82</v>
      </c>
      <c r="W422" s="15"/>
      <c r="X422" s="15"/>
      <c r="Y422" s="16"/>
      <c r="Z422" s="17"/>
      <c r="AA422" s="18"/>
      <c r="AB422" s="75">
        <v>-394.91</v>
      </c>
      <c r="AC422" s="20">
        <v>14.827924690232262</v>
      </c>
      <c r="AD422" s="21">
        <v>45623</v>
      </c>
      <c r="AE422" s="22">
        <v>117975.19275843709</v>
      </c>
      <c r="AF422" s="23">
        <v>52249.190933333331</v>
      </c>
      <c r="AG422" s="24">
        <v>152644.10093333368</v>
      </c>
      <c r="AH422" s="15">
        <v>0.5</v>
      </c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</row>
    <row r="423" spans="1:68" ht="15" customHeight="1" x14ac:dyDescent="0.25">
      <c r="A423" s="1">
        <f t="shared" si="27"/>
        <v>164</v>
      </c>
      <c r="B423" s="1" t="str">
        <f t="shared" si="24"/>
        <v xml:space="preserve">Michigan </v>
      </c>
      <c r="C423" s="1">
        <f t="shared" si="25"/>
        <v>0</v>
      </c>
      <c r="D423" s="2" t="str">
        <f t="shared" si="26"/>
        <v>2024-11</v>
      </c>
      <c r="E423" s="3" t="s">
        <v>381</v>
      </c>
      <c r="F423" s="4" t="s">
        <v>83</v>
      </c>
      <c r="G423" s="39">
        <v>45623</v>
      </c>
      <c r="H423" s="40">
        <v>146</v>
      </c>
      <c r="I423" s="40">
        <v>-163</v>
      </c>
      <c r="J423" s="7">
        <v>175</v>
      </c>
      <c r="K423" s="8">
        <v>8.9264736889665269E-2</v>
      </c>
      <c r="L423" s="9">
        <v>3.2459904323514643E-2</v>
      </c>
      <c r="M423" s="10">
        <v>152.46387832699622</v>
      </c>
      <c r="N423" s="11">
        <v>2.75</v>
      </c>
      <c r="O423" s="12">
        <v>3888.0687176544388</v>
      </c>
      <c r="P423" s="32" t="s">
        <v>143</v>
      </c>
      <c r="Q423" s="81" t="s">
        <v>81</v>
      </c>
      <c r="R423" s="82"/>
      <c r="S423" s="32"/>
      <c r="T423" s="32">
        <v>73.715000000000003</v>
      </c>
      <c r="U423" s="32">
        <v>73.715000000000003</v>
      </c>
      <c r="V423" s="74" t="s">
        <v>77</v>
      </c>
      <c r="W423" s="15"/>
      <c r="X423" s="15"/>
      <c r="Y423" s="16"/>
      <c r="Z423" s="17"/>
      <c r="AA423" s="18"/>
      <c r="AB423" s="75">
        <v>129</v>
      </c>
      <c r="AC423" s="20">
        <v>6.5801500798216752</v>
      </c>
      <c r="AD423" s="21">
        <v>45623</v>
      </c>
      <c r="AE423" s="22">
        <v>117716.19741996637</v>
      </c>
      <c r="AF423" s="23">
        <v>52577.11093333333</v>
      </c>
      <c r="AG423" s="24">
        <v>152448.11093333369</v>
      </c>
      <c r="AH423" s="15">
        <v>0.5</v>
      </c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</row>
    <row r="424" spans="1:68" ht="15" customHeight="1" x14ac:dyDescent="0.25">
      <c r="A424" s="1">
        <f t="shared" si="27"/>
        <v>165</v>
      </c>
      <c r="B424" s="1" t="str">
        <f t="shared" si="24"/>
        <v xml:space="preserve">Nets </v>
      </c>
      <c r="C424" s="1">
        <f t="shared" si="25"/>
        <v>0</v>
      </c>
      <c r="D424" s="2" t="str">
        <f t="shared" si="26"/>
        <v>2024-11</v>
      </c>
      <c r="E424" s="3" t="s">
        <v>382</v>
      </c>
      <c r="F424" s="4" t="s">
        <v>83</v>
      </c>
      <c r="G424" s="39">
        <v>45623</v>
      </c>
      <c r="H424" s="40">
        <v>172</v>
      </c>
      <c r="I424" s="40">
        <v>-198</v>
      </c>
      <c r="J424" s="7">
        <v>195</v>
      </c>
      <c r="K424" s="8">
        <v>5.0851104523286138E-2</v>
      </c>
      <c r="L424" s="9">
        <v>1.7237662550266486E-2</v>
      </c>
      <c r="M424" s="10">
        <v>180.724832214765</v>
      </c>
      <c r="N424" s="11">
        <v>2.95</v>
      </c>
      <c r="O424" s="12">
        <v>1972.240282213133</v>
      </c>
      <c r="P424" s="32" t="s">
        <v>75</v>
      </c>
      <c r="Q424" s="81" t="s">
        <v>81</v>
      </c>
      <c r="R424" s="82"/>
      <c r="S424" s="32"/>
      <c r="T424" s="32">
        <v>198.465</v>
      </c>
      <c r="U424" s="32">
        <v>198.465</v>
      </c>
      <c r="V424" s="74" t="s">
        <v>82</v>
      </c>
      <c r="W424" s="15"/>
      <c r="X424" s="15"/>
      <c r="Y424" s="16"/>
      <c r="Z424" s="17"/>
      <c r="AA424" s="18"/>
      <c r="AB424" s="75">
        <v>-198.465</v>
      </c>
      <c r="AC424" s="20">
        <v>10.092164459213983</v>
      </c>
      <c r="AD424" s="21">
        <v>45623</v>
      </c>
      <c r="AE424" s="22">
        <v>117818.48181380254</v>
      </c>
      <c r="AF424" s="23">
        <v>51061.515933333336</v>
      </c>
      <c r="AG424" s="24">
        <v>151259.98093333369</v>
      </c>
      <c r="AH424" s="15">
        <v>0.5</v>
      </c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</row>
    <row r="425" spans="1:68" ht="15" customHeight="1" x14ac:dyDescent="0.25">
      <c r="A425" s="1">
        <f t="shared" si="27"/>
        <v>166</v>
      </c>
      <c r="B425" s="1" t="str">
        <f t="shared" si="24"/>
        <v xml:space="preserve">Pacers </v>
      </c>
      <c r="C425" s="1">
        <f t="shared" si="25"/>
        <v>1</v>
      </c>
      <c r="D425" s="2" t="str">
        <f t="shared" si="26"/>
        <v>2024-11</v>
      </c>
      <c r="E425" s="3" t="s">
        <v>383</v>
      </c>
      <c r="F425" s="4" t="s">
        <v>83</v>
      </c>
      <c r="G425" s="39">
        <v>45623</v>
      </c>
      <c r="H425" s="40">
        <v>-106</v>
      </c>
      <c r="I425" s="40">
        <v>-110</v>
      </c>
      <c r="J425" s="7">
        <v>114</v>
      </c>
      <c r="K425" s="8">
        <v>6.0471950133570505E-2</v>
      </c>
      <c r="L425" s="9">
        <v>2.825792062316379E-2</v>
      </c>
      <c r="M425" s="10">
        <v>101.79694519317164</v>
      </c>
      <c r="N425" s="11">
        <v>2.1399999999999997</v>
      </c>
      <c r="O425" s="12">
        <v>4064.9368458283125</v>
      </c>
      <c r="P425" s="32" t="s">
        <v>75</v>
      </c>
      <c r="Q425" s="81" t="s">
        <v>92</v>
      </c>
      <c r="R425" s="82"/>
      <c r="S425" s="32"/>
      <c r="T425" s="32">
        <v>135.79</v>
      </c>
      <c r="U425" s="32">
        <v>135.79</v>
      </c>
      <c r="V425" s="74" t="s">
        <v>82</v>
      </c>
      <c r="W425" s="15"/>
      <c r="X425" s="15"/>
      <c r="Y425" s="16"/>
      <c r="Z425" s="17"/>
      <c r="AA425" s="18"/>
      <c r="AB425" s="75">
        <v>-135.79</v>
      </c>
      <c r="AC425" s="20">
        <v>8.2114861086375388</v>
      </c>
      <c r="AD425" s="21">
        <v>45623</v>
      </c>
      <c r="AE425" s="22">
        <v>117886.28630020506</v>
      </c>
      <c r="AF425" s="23">
        <v>53126.275933333338</v>
      </c>
      <c r="AG425" s="24">
        <v>153262.06593333368</v>
      </c>
      <c r="AH425" s="15">
        <v>0.5</v>
      </c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</row>
    <row r="426" spans="1:68" ht="15" customHeight="1" x14ac:dyDescent="0.25">
      <c r="A426" s="1">
        <f t="shared" si="27"/>
        <v>167</v>
      </c>
      <c r="B426" s="1" t="str">
        <f t="shared" si="24"/>
        <v xml:space="preserve">Raptors </v>
      </c>
      <c r="C426" s="1">
        <f t="shared" si="25"/>
        <v>1</v>
      </c>
      <c r="D426" s="2" t="str">
        <f t="shared" si="26"/>
        <v>2024-11</v>
      </c>
      <c r="E426" s="3" t="s">
        <v>384</v>
      </c>
      <c r="F426" s="4" t="s">
        <v>83</v>
      </c>
      <c r="G426" s="39">
        <v>45623</v>
      </c>
      <c r="H426" s="40">
        <v>-103</v>
      </c>
      <c r="I426" s="40">
        <v>-113</v>
      </c>
      <c r="J426" s="7">
        <v>112</v>
      </c>
      <c r="K426" s="8">
        <v>3.6380409109140407E-2</v>
      </c>
      <c r="L426" s="9">
        <v>1.7160570334500191E-2</v>
      </c>
      <c r="M426" s="10">
        <v>104.55809289393316</v>
      </c>
      <c r="N426" s="11">
        <v>2.12</v>
      </c>
      <c r="O426" s="12">
        <v>2478.0436234131153</v>
      </c>
      <c r="P426" s="32" t="s">
        <v>75</v>
      </c>
      <c r="Q426" s="81" t="s">
        <v>92</v>
      </c>
      <c r="R426" s="82"/>
      <c r="S426" s="32"/>
      <c r="T426" s="32">
        <v>138.215</v>
      </c>
      <c r="U426" s="32">
        <v>138.215</v>
      </c>
      <c r="V426" s="74" t="s">
        <v>82</v>
      </c>
      <c r="W426" s="15"/>
      <c r="X426" s="15"/>
      <c r="Y426" s="16"/>
      <c r="Z426" s="17"/>
      <c r="AA426" s="18"/>
      <c r="AB426" s="75">
        <v>-138.215</v>
      </c>
      <c r="AC426" s="20">
        <v>5.0283182450198414</v>
      </c>
      <c r="AD426" s="21">
        <v>45623</v>
      </c>
      <c r="AE426" s="22">
        <v>117721.22573821139</v>
      </c>
      <c r="AF426" s="23">
        <v>52438.895933333333</v>
      </c>
      <c r="AG426" s="24">
        <v>152577.11093333369</v>
      </c>
      <c r="AH426" s="15">
        <v>0.5</v>
      </c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</row>
    <row r="427" spans="1:68" ht="15" customHeight="1" x14ac:dyDescent="0.25">
      <c r="A427" s="1">
        <f t="shared" si="27"/>
        <v>168</v>
      </c>
      <c r="B427" s="1" t="str">
        <f t="shared" si="24"/>
        <v xml:space="preserve">Samford </v>
      </c>
      <c r="C427" s="1">
        <f t="shared" si="25"/>
        <v>0</v>
      </c>
      <c r="D427" s="2" t="str">
        <f t="shared" si="26"/>
        <v>2024-11</v>
      </c>
      <c r="E427" s="3" t="s">
        <v>385</v>
      </c>
      <c r="F427" s="4" t="s">
        <v>83</v>
      </c>
      <c r="G427" s="39">
        <v>45623</v>
      </c>
      <c r="H427" s="40">
        <v>-172</v>
      </c>
      <c r="I427" s="40">
        <v>167</v>
      </c>
      <c r="J427" s="7">
        <v>-157</v>
      </c>
      <c r="K427" s="8">
        <v>2.8047637082390536E-2</v>
      </c>
      <c r="L427" s="9">
        <v>1.7134159618425349E-2</v>
      </c>
      <c r="M427" s="10">
        <v>-168.8382352941176</v>
      </c>
      <c r="N427" s="11">
        <v>1.6369426751592355</v>
      </c>
      <c r="O427" s="12">
        <v>3363.1244277209357</v>
      </c>
      <c r="P427" s="32" t="s">
        <v>143</v>
      </c>
      <c r="Q427" s="81" t="s">
        <v>81</v>
      </c>
      <c r="R427" s="82"/>
      <c r="S427" s="32"/>
      <c r="T427" s="32">
        <v>806.27499999999998</v>
      </c>
      <c r="U427" s="32">
        <v>806.27499999999998</v>
      </c>
      <c r="V427" s="74" t="s">
        <v>77</v>
      </c>
      <c r="W427" s="15"/>
      <c r="X427" s="15"/>
      <c r="Y427" s="16"/>
      <c r="Z427" s="17"/>
      <c r="AA427" s="18"/>
      <c r="AB427" s="75">
        <v>513.54999999999995</v>
      </c>
      <c r="AC427" s="20">
        <v>22.614108588604427</v>
      </c>
      <c r="AD427" s="21">
        <v>45623</v>
      </c>
      <c r="AE427" s="22">
        <v>117878.07481409641</v>
      </c>
      <c r="AF427" s="23">
        <v>53262.065933333339</v>
      </c>
      <c r="AG427" s="24">
        <v>152748.51593333369</v>
      </c>
      <c r="AH427" s="15">
        <v>0.5</v>
      </c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</row>
    <row r="428" spans="1:68" ht="15" customHeight="1" x14ac:dyDescent="0.25">
      <c r="A428" s="1">
        <f t="shared" si="27"/>
        <v>168</v>
      </c>
      <c r="B428" s="1" t="str">
        <f t="shared" si="24"/>
        <v xml:space="preserve">Samford </v>
      </c>
      <c r="C428" s="1">
        <f t="shared" si="25"/>
        <v>0</v>
      </c>
      <c r="D428" s="2" t="str">
        <f t="shared" si="26"/>
        <v>2024-11</v>
      </c>
      <c r="E428" s="3" t="s">
        <v>385</v>
      </c>
      <c r="F428" s="4" t="s">
        <v>83</v>
      </c>
      <c r="G428" s="39">
        <v>45623</v>
      </c>
      <c r="H428" s="40">
        <v>-189</v>
      </c>
      <c r="I428" s="40">
        <v>167</v>
      </c>
      <c r="J428" s="7">
        <v>-159</v>
      </c>
      <c r="K428" s="8">
        <v>3.5756408516016185E-2</v>
      </c>
      <c r="L428" s="9">
        <v>2.1950845382419204E-2</v>
      </c>
      <c r="M428" s="10">
        <v>-174.61245674740485</v>
      </c>
      <c r="N428" s="11">
        <v>1.6289308176100628</v>
      </c>
      <c r="O428" s="12">
        <v>4349.1533145873955</v>
      </c>
      <c r="P428" s="32" t="s">
        <v>143</v>
      </c>
      <c r="Q428" s="81" t="s">
        <v>81</v>
      </c>
      <c r="R428" s="82"/>
      <c r="S428" s="32"/>
      <c r="T428" s="32">
        <v>819.07500000000005</v>
      </c>
      <c r="U428" s="32">
        <v>819.07500000000005</v>
      </c>
      <c r="V428" s="74" t="s">
        <v>77</v>
      </c>
      <c r="W428" s="15"/>
      <c r="X428" s="15"/>
      <c r="Y428" s="16"/>
      <c r="Z428" s="17"/>
      <c r="AA428" s="18"/>
      <c r="AB428" s="75">
        <v>515.14</v>
      </c>
      <c r="AC428" s="20">
        <v>29.287180305255959</v>
      </c>
      <c r="AD428" s="21">
        <v>45623</v>
      </c>
      <c r="AE428" s="22">
        <v>117920.24309835184</v>
      </c>
      <c r="AF428" s="23">
        <v>53512.415933333337</v>
      </c>
      <c r="AG428" s="24">
        <v>152997.27593333367</v>
      </c>
      <c r="AH428" s="15">
        <v>0.5</v>
      </c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</row>
    <row r="429" spans="1:68" ht="15" customHeight="1" x14ac:dyDescent="0.25">
      <c r="A429" s="1">
        <f t="shared" si="27"/>
        <v>168</v>
      </c>
      <c r="B429" s="1" t="str">
        <f t="shared" si="24"/>
        <v xml:space="preserve">Samford </v>
      </c>
      <c r="C429" s="1">
        <f t="shared" si="25"/>
        <v>0</v>
      </c>
      <c r="D429" s="2" t="str">
        <f t="shared" si="26"/>
        <v>2024-11</v>
      </c>
      <c r="E429" s="3" t="s">
        <v>385</v>
      </c>
      <c r="F429" s="4" t="s">
        <v>83</v>
      </c>
      <c r="G429" s="39">
        <v>45623</v>
      </c>
      <c r="H429" s="40">
        <v>-188</v>
      </c>
      <c r="I429" s="40">
        <v>167</v>
      </c>
      <c r="J429" s="7">
        <v>-162</v>
      </c>
      <c r="K429" s="8">
        <v>2.7661972570575993E-2</v>
      </c>
      <c r="L429" s="9">
        <v>1.7103967772646222E-2</v>
      </c>
      <c r="M429" s="10">
        <v>-174.29166666666674</v>
      </c>
      <c r="N429" s="11">
        <v>1.617283950617284</v>
      </c>
      <c r="O429" s="12">
        <v>3439.6295534204905</v>
      </c>
      <c r="P429" s="32" t="s">
        <v>143</v>
      </c>
      <c r="Q429" s="81" t="s">
        <v>81</v>
      </c>
      <c r="R429" s="82"/>
      <c r="S429" s="32"/>
      <c r="T429" s="32">
        <v>763.52</v>
      </c>
      <c r="U429" s="32">
        <v>901.05</v>
      </c>
      <c r="V429" s="74" t="s">
        <v>77</v>
      </c>
      <c r="W429" s="15"/>
      <c r="X429" s="15"/>
      <c r="Y429" s="16"/>
      <c r="Z429" s="17"/>
      <c r="AA429" s="18"/>
      <c r="AB429" s="75">
        <v>471.31</v>
      </c>
      <c r="AC429" s="20">
        <v>21.120469297086181</v>
      </c>
      <c r="AD429" s="21">
        <v>45623</v>
      </c>
      <c r="AE429" s="22">
        <v>117941.36356764894</v>
      </c>
      <c r="AF429" s="23">
        <v>53983.725933333335</v>
      </c>
      <c r="AG429" s="24">
        <v>153512.41593333369</v>
      </c>
      <c r="AH429" s="15">
        <v>0.5</v>
      </c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</row>
    <row r="430" spans="1:68" ht="15" customHeight="1" x14ac:dyDescent="0.25">
      <c r="A430" s="1">
        <f t="shared" si="27"/>
        <v>169</v>
      </c>
      <c r="B430" s="1" t="str">
        <f t="shared" si="24"/>
        <v xml:space="preserve">Trail </v>
      </c>
      <c r="C430" s="1">
        <f t="shared" si="25"/>
        <v>0</v>
      </c>
      <c r="D430" s="2" t="str">
        <f t="shared" si="26"/>
        <v>2024-11</v>
      </c>
      <c r="E430" s="3" t="s">
        <v>291</v>
      </c>
      <c r="F430" s="4" t="s">
        <v>83</v>
      </c>
      <c r="G430" s="39">
        <v>45623</v>
      </c>
      <c r="H430" s="40">
        <v>155</v>
      </c>
      <c r="I430" s="40">
        <v>-177</v>
      </c>
      <c r="J430" s="7">
        <v>180</v>
      </c>
      <c r="K430" s="8">
        <v>6.487265737626137E-2</v>
      </c>
      <c r="L430" s="9">
        <v>2.3168806205807635E-2</v>
      </c>
      <c r="M430" s="10">
        <v>162.94223826714801</v>
      </c>
      <c r="N430" s="11">
        <v>2.8</v>
      </c>
      <c r="O430" s="12">
        <v>2774.0531463238881</v>
      </c>
      <c r="P430" s="32" t="s">
        <v>75</v>
      </c>
      <c r="Q430" s="81" t="s">
        <v>81</v>
      </c>
      <c r="R430" s="82"/>
      <c r="S430" s="32"/>
      <c r="T430" s="32">
        <v>107.5</v>
      </c>
      <c r="U430" s="32">
        <v>107.5</v>
      </c>
      <c r="V430" s="74" t="s">
        <v>82</v>
      </c>
      <c r="W430" s="15"/>
      <c r="X430" s="15"/>
      <c r="Y430" s="16"/>
      <c r="Z430" s="17"/>
      <c r="AA430" s="18"/>
      <c r="AB430" s="75">
        <v>-107.5</v>
      </c>
      <c r="AC430" s="20">
        <v>6.9738106679480971</v>
      </c>
      <c r="AD430" s="21">
        <v>45623</v>
      </c>
      <c r="AE430" s="22">
        <v>117657.80517462797</v>
      </c>
      <c r="AF430" s="23">
        <v>53833.955933333331</v>
      </c>
      <c r="AG430" s="24">
        <v>153941.45593333369</v>
      </c>
      <c r="AH430" s="15">
        <v>0.5</v>
      </c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</row>
    <row r="431" spans="1:68" ht="15" customHeight="1" x14ac:dyDescent="0.25">
      <c r="A431" s="1">
        <f t="shared" si="27"/>
        <v>170</v>
      </c>
      <c r="B431" s="1" t="str">
        <f t="shared" si="24"/>
        <v xml:space="preserve">Bethune </v>
      </c>
      <c r="C431" s="1">
        <f t="shared" si="25"/>
        <v>0</v>
      </c>
      <c r="D431" s="2" t="str">
        <f t="shared" si="26"/>
        <v>2024-12</v>
      </c>
      <c r="E431" s="3" t="s">
        <v>386</v>
      </c>
      <c r="F431" s="4" t="s">
        <v>83</v>
      </c>
      <c r="G431" s="39">
        <v>45627</v>
      </c>
      <c r="H431" s="40">
        <v>440</v>
      </c>
      <c r="I431" s="40">
        <v>-703</v>
      </c>
      <c r="J431" s="7">
        <v>750</v>
      </c>
      <c r="K431" s="8">
        <v>0.48406244564272033</v>
      </c>
      <c r="L431" s="9">
        <v>5.6948523016790625E-2</v>
      </c>
      <c r="M431" s="10">
        <v>472.75217932752184</v>
      </c>
      <c r="N431" s="11">
        <v>8.5</v>
      </c>
      <c r="O431" s="12">
        <v>4966.4458699176766</v>
      </c>
      <c r="P431" s="32" t="s">
        <v>143</v>
      </c>
      <c r="Q431" s="81" t="s">
        <v>81</v>
      </c>
      <c r="R431" s="82"/>
      <c r="S431" s="32"/>
      <c r="T431" s="32">
        <v>17.25</v>
      </c>
      <c r="U431" s="32">
        <v>17.25</v>
      </c>
      <c r="V431" s="74" t="s">
        <v>82</v>
      </c>
      <c r="W431" s="15"/>
      <c r="X431" s="15"/>
      <c r="Y431" s="16"/>
      <c r="Z431" s="17"/>
      <c r="AA431" s="18"/>
      <c r="AB431" s="75">
        <v>-17.25</v>
      </c>
      <c r="AC431" s="20">
        <v>8.3500771873369253</v>
      </c>
      <c r="AD431" s="21">
        <v>45627</v>
      </c>
      <c r="AE431" s="22">
        <v>129831.36563167277</v>
      </c>
      <c r="AF431" s="23">
        <v>53881.670933333371</v>
      </c>
      <c r="AG431" s="24">
        <v>153898.92093333366</v>
      </c>
      <c r="AH431" s="15">
        <v>0.5</v>
      </c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</row>
    <row r="432" spans="1:68" ht="15" customHeight="1" x14ac:dyDescent="0.25">
      <c r="A432" s="1">
        <f t="shared" si="27"/>
        <v>171</v>
      </c>
      <c r="B432" s="1" t="str">
        <f t="shared" si="24"/>
        <v xml:space="preserve">Magic </v>
      </c>
      <c r="C432" s="1">
        <f t="shared" si="25"/>
        <v>1</v>
      </c>
      <c r="D432" s="2" t="str">
        <f t="shared" si="26"/>
        <v>2024-12</v>
      </c>
      <c r="E432" s="3" t="s">
        <v>387</v>
      </c>
      <c r="F432" s="4" t="s">
        <v>83</v>
      </c>
      <c r="G432" s="39">
        <v>45627</v>
      </c>
      <c r="H432" s="40">
        <v>-147</v>
      </c>
      <c r="I432" s="40">
        <v>126</v>
      </c>
      <c r="J432" s="7">
        <v>-125</v>
      </c>
      <c r="K432" s="8">
        <v>3.2416007734539738E-2</v>
      </c>
      <c r="L432" s="9">
        <v>1.8008893185855412E-2</v>
      </c>
      <c r="M432" s="10">
        <v>-134.50202429149803</v>
      </c>
      <c r="N432" s="11">
        <v>1.8</v>
      </c>
      <c r="O432" s="12">
        <v>3120.7032655168687</v>
      </c>
      <c r="P432" s="32" t="s">
        <v>75</v>
      </c>
      <c r="Q432" s="81" t="s">
        <v>92</v>
      </c>
      <c r="R432" s="82"/>
      <c r="S432" s="32"/>
      <c r="T432" s="32">
        <v>485.19</v>
      </c>
      <c r="U432" s="32">
        <v>485.19</v>
      </c>
      <c r="V432" s="74" t="s">
        <v>77</v>
      </c>
      <c r="W432" s="15"/>
      <c r="X432" s="15"/>
      <c r="Y432" s="16"/>
      <c r="Z432" s="17"/>
      <c r="AA432" s="18"/>
      <c r="AB432" s="75">
        <v>388.15</v>
      </c>
      <c r="AC432" s="20">
        <v>15.727922792721335</v>
      </c>
      <c r="AD432" s="21">
        <v>45627</v>
      </c>
      <c r="AE432" s="22">
        <v>129755.53497759724</v>
      </c>
      <c r="AF432" s="23">
        <v>54420.850933333371</v>
      </c>
      <c r="AG432" s="24">
        <v>154032.70093333366</v>
      </c>
      <c r="AH432" s="15">
        <v>0.5</v>
      </c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</row>
    <row r="433" spans="1:68" ht="15" customHeight="1" x14ac:dyDescent="0.25">
      <c r="A433" s="1">
        <f t="shared" si="27"/>
        <v>171</v>
      </c>
      <c r="B433" s="1" t="str">
        <f t="shared" si="24"/>
        <v xml:space="preserve">Magic </v>
      </c>
      <c r="C433" s="1">
        <f t="shared" si="25"/>
        <v>1</v>
      </c>
      <c r="D433" s="2" t="str">
        <f t="shared" si="26"/>
        <v>2024-12</v>
      </c>
      <c r="E433" s="3" t="s">
        <v>388</v>
      </c>
      <c r="F433" s="4" t="s">
        <v>83</v>
      </c>
      <c r="G433" s="39">
        <v>45627</v>
      </c>
      <c r="H433" s="40">
        <v>-138</v>
      </c>
      <c r="I433" s="40">
        <v>120</v>
      </c>
      <c r="J433" s="7">
        <v>-120</v>
      </c>
      <c r="K433" s="8">
        <v>2.769571639586401E-2</v>
      </c>
      <c r="L433" s="9">
        <v>1.5106754397744004E-2</v>
      </c>
      <c r="M433" s="10">
        <v>-127.56302521008399</v>
      </c>
      <c r="N433" s="11">
        <v>1.8333333333333335</v>
      </c>
      <c r="O433" s="12">
        <v>2566.0776558345606</v>
      </c>
      <c r="P433" s="32" t="s">
        <v>75</v>
      </c>
      <c r="Q433" s="81" t="s">
        <v>92</v>
      </c>
      <c r="R433" s="82"/>
      <c r="S433" s="32"/>
      <c r="T433" s="32">
        <v>462.08499999999998</v>
      </c>
      <c r="U433" s="32">
        <v>462.08499999999998</v>
      </c>
      <c r="V433" s="74" t="s">
        <v>77</v>
      </c>
      <c r="W433" s="15"/>
      <c r="X433" s="15"/>
      <c r="Y433" s="16"/>
      <c r="Z433" s="17"/>
      <c r="AA433" s="18"/>
      <c r="AB433" s="75">
        <v>385.07</v>
      </c>
      <c r="AC433" s="20">
        <v>12.797775110782821</v>
      </c>
      <c r="AD433" s="21">
        <v>45627</v>
      </c>
      <c r="AE433" s="22">
        <v>129768.33275270803</v>
      </c>
      <c r="AF433" s="23">
        <v>54805.920933333371</v>
      </c>
      <c r="AG433" s="24">
        <v>154420.85093333366</v>
      </c>
      <c r="AH433" s="15">
        <v>0.5</v>
      </c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</row>
    <row r="434" spans="1:68" ht="15" customHeight="1" x14ac:dyDescent="0.25">
      <c r="A434" s="1">
        <f t="shared" si="27"/>
        <v>172</v>
      </c>
      <c r="B434" s="1" t="str">
        <f t="shared" si="24"/>
        <v xml:space="preserve">Pelicans </v>
      </c>
      <c r="C434" s="1">
        <f t="shared" si="25"/>
        <v>1</v>
      </c>
      <c r="D434" s="2" t="str">
        <f t="shared" si="26"/>
        <v>2024-12</v>
      </c>
      <c r="E434" s="3" t="s">
        <v>389</v>
      </c>
      <c r="F434" s="4" t="s">
        <v>83</v>
      </c>
      <c r="G434" s="39">
        <v>45628</v>
      </c>
      <c r="H434" s="40">
        <v>-113</v>
      </c>
      <c r="I434" s="40">
        <v>-103</v>
      </c>
      <c r="J434" s="7">
        <v>108</v>
      </c>
      <c r="K434" s="8">
        <v>6.3173938232541679E-2</v>
      </c>
      <c r="L434" s="9">
        <v>3.0372085688721961E-2</v>
      </c>
      <c r="M434" s="10">
        <v>-104.55809289393318</v>
      </c>
      <c r="N434" s="11">
        <v>2.08</v>
      </c>
      <c r="O434" s="12">
        <v>4924.6402965335001</v>
      </c>
      <c r="P434" s="32" t="s">
        <v>75</v>
      </c>
      <c r="Q434" s="81" t="s">
        <v>92</v>
      </c>
      <c r="R434" s="82"/>
      <c r="S434" s="32"/>
      <c r="T434" s="32">
        <v>297.45999999999998</v>
      </c>
      <c r="U434" s="32">
        <v>297.45999999999998</v>
      </c>
      <c r="V434" s="74" t="s">
        <v>77</v>
      </c>
      <c r="W434" s="15"/>
      <c r="X434" s="15"/>
      <c r="Y434" s="16"/>
      <c r="Z434" s="17"/>
      <c r="AA434" s="18"/>
      <c r="AB434" s="75">
        <v>321.26</v>
      </c>
      <c r="AC434" s="20">
        <v>18.791719666651847</v>
      </c>
      <c r="AD434" s="21">
        <v>45628</v>
      </c>
      <c r="AE434" s="22">
        <v>134952.5819181921</v>
      </c>
      <c r="AF434" s="23">
        <v>68701.185933333385</v>
      </c>
      <c r="AG434" s="24">
        <v>168379.92593333361</v>
      </c>
      <c r="AH434" s="15">
        <v>0.5</v>
      </c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</row>
    <row r="435" spans="1:68" ht="15" customHeight="1" x14ac:dyDescent="0.25">
      <c r="A435" s="1">
        <f t="shared" si="27"/>
        <v>173</v>
      </c>
      <c r="B435" s="1" t="str">
        <f t="shared" si="24"/>
        <v xml:space="preserve">Hornets </v>
      </c>
      <c r="C435" s="1">
        <f t="shared" si="25"/>
        <v>0</v>
      </c>
      <c r="D435" s="2" t="str">
        <f t="shared" si="26"/>
        <v>2024-12</v>
      </c>
      <c r="E435" s="3" t="s">
        <v>390</v>
      </c>
      <c r="F435" s="4" t="s">
        <v>83</v>
      </c>
      <c r="G435" s="39">
        <v>45639</v>
      </c>
      <c r="H435" s="40">
        <v>-112</v>
      </c>
      <c r="I435" s="40">
        <v>100</v>
      </c>
      <c r="J435" s="7">
        <v>104</v>
      </c>
      <c r="K435" s="8">
        <v>4.8073394495412945E-2</v>
      </c>
      <c r="L435" s="9">
        <v>2.3565389458535757E-2</v>
      </c>
      <c r="M435" s="10">
        <v>-105.66037735849058</v>
      </c>
      <c r="N435" s="11">
        <v>2.04</v>
      </c>
      <c r="O435" s="12">
        <v>4362.8834892848863</v>
      </c>
      <c r="P435" s="32" t="s">
        <v>75</v>
      </c>
      <c r="Q435" s="81" t="s">
        <v>76</v>
      </c>
      <c r="R435" s="82"/>
      <c r="S435" s="32"/>
      <c r="T435" s="32">
        <v>297.33499999999998</v>
      </c>
      <c r="U435" s="32">
        <v>297.33499999999998</v>
      </c>
      <c r="V435" s="74" t="s">
        <v>82</v>
      </c>
      <c r="W435" s="15"/>
      <c r="X435" s="15"/>
      <c r="Y435" s="16"/>
      <c r="Z435" s="17"/>
      <c r="AA435" s="18"/>
      <c r="AB435" s="75">
        <v>-297.33499999999998</v>
      </c>
      <c r="AC435" s="20">
        <v>14.293902752293608</v>
      </c>
      <c r="AD435" s="21">
        <v>45639</v>
      </c>
      <c r="AE435" s="22">
        <v>144274.09922709898</v>
      </c>
      <c r="AF435" s="23">
        <v>88472.310933333429</v>
      </c>
      <c r="AG435" s="24">
        <v>188769.64593333349</v>
      </c>
      <c r="AH435" s="15">
        <v>0.5</v>
      </c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</row>
    <row r="436" spans="1:68" ht="15" customHeight="1" x14ac:dyDescent="0.25">
      <c r="A436" s="1">
        <f t="shared" si="27"/>
        <v>174</v>
      </c>
      <c r="B436" s="1" t="str">
        <f t="shared" si="24"/>
        <v xml:space="preserve">Hawks </v>
      </c>
      <c r="C436" s="1">
        <f t="shared" si="25"/>
        <v>0</v>
      </c>
      <c r="D436" s="2" t="str">
        <f t="shared" si="26"/>
        <v>2024-12</v>
      </c>
      <c r="E436" s="3" t="s">
        <v>391</v>
      </c>
      <c r="F436" s="4" t="s">
        <v>83</v>
      </c>
      <c r="G436" s="39">
        <v>45645</v>
      </c>
      <c r="H436" s="40">
        <v>-136</v>
      </c>
      <c r="I436" s="40">
        <v>114</v>
      </c>
      <c r="J436" s="7">
        <v>-108</v>
      </c>
      <c r="K436" s="8">
        <v>6.3527401110886325E-2</v>
      </c>
      <c r="L436" s="9">
        <v>3.2985381346037124E-2</v>
      </c>
      <c r="M436" s="10">
        <v>-123.32203389830508</v>
      </c>
      <c r="N436" s="11">
        <v>1.925925925925926</v>
      </c>
      <c r="O436" s="12">
        <v>6511.3294961951169</v>
      </c>
      <c r="P436" s="32" t="s">
        <v>75</v>
      </c>
      <c r="Q436" s="81" t="s">
        <v>81</v>
      </c>
      <c r="R436" s="82"/>
      <c r="S436" s="32"/>
      <c r="T436" s="32">
        <v>410.75</v>
      </c>
      <c r="U436" s="32">
        <v>410.75</v>
      </c>
      <c r="V436" s="74" t="s">
        <v>82</v>
      </c>
      <c r="W436" s="15"/>
      <c r="X436" s="15"/>
      <c r="Y436" s="16"/>
      <c r="Z436" s="17"/>
      <c r="AA436" s="18"/>
      <c r="AB436" s="75">
        <v>-410.75</v>
      </c>
      <c r="AC436" s="20">
        <v>26.093880006296558</v>
      </c>
      <c r="AD436" s="21">
        <v>45645</v>
      </c>
      <c r="AE436" s="22">
        <v>149234.9674751386</v>
      </c>
      <c r="AF436" s="23">
        <v>89397.385933333455</v>
      </c>
      <c r="AG436" s="24">
        <v>189808.13593333351</v>
      </c>
      <c r="AH436" s="15">
        <v>0.5</v>
      </c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</row>
    <row r="437" spans="1:68" ht="15" customHeight="1" x14ac:dyDescent="0.25">
      <c r="A437" s="1">
        <f t="shared" si="27"/>
        <v>175</v>
      </c>
      <c r="B437" s="1" t="str">
        <f t="shared" si="24"/>
        <v xml:space="preserve">Knicks </v>
      </c>
      <c r="C437" s="1">
        <f t="shared" si="25"/>
        <v>1</v>
      </c>
      <c r="D437" s="2" t="str">
        <f t="shared" si="26"/>
        <v>2024-12</v>
      </c>
      <c r="E437" s="3" t="s">
        <v>392</v>
      </c>
      <c r="F437" s="4" t="s">
        <v>83</v>
      </c>
      <c r="G437" s="39">
        <v>45645</v>
      </c>
      <c r="H437" s="40">
        <v>-120</v>
      </c>
      <c r="I437" s="40">
        <v>106</v>
      </c>
      <c r="J437" s="7">
        <v>102</v>
      </c>
      <c r="K437" s="8">
        <v>6.8801369863013606E-2</v>
      </c>
      <c r="L437" s="9">
        <v>3.4060084090600795E-2</v>
      </c>
      <c r="M437" s="10">
        <v>-112.36363636363635</v>
      </c>
      <c r="N437" s="11">
        <v>2.02</v>
      </c>
      <c r="O437" s="12">
        <v>6501.309592819408</v>
      </c>
      <c r="P437" s="32" t="s">
        <v>75</v>
      </c>
      <c r="Q437" s="81" t="s">
        <v>92</v>
      </c>
      <c r="R437" s="82"/>
      <c r="S437" s="32"/>
      <c r="T437" s="32">
        <v>374.52499999999998</v>
      </c>
      <c r="U437" s="32">
        <v>374.52499999999998</v>
      </c>
      <c r="V437" s="74" t="s">
        <v>82</v>
      </c>
      <c r="W437" s="15"/>
      <c r="X437" s="15"/>
      <c r="Y437" s="16"/>
      <c r="Z437" s="17"/>
      <c r="AA437" s="18"/>
      <c r="AB437" s="75">
        <v>-374.52499999999998</v>
      </c>
      <c r="AC437" s="20">
        <v>25.767833047945171</v>
      </c>
      <c r="AD437" s="21">
        <v>45645</v>
      </c>
      <c r="AE437" s="22">
        <v>148887.79137991002</v>
      </c>
      <c r="AF437" s="23">
        <v>92393.025933333454</v>
      </c>
      <c r="AG437" s="24">
        <v>192767.55093333349</v>
      </c>
      <c r="AH437" s="15">
        <v>0.5</v>
      </c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</row>
    <row r="438" spans="1:68" ht="15" customHeight="1" x14ac:dyDescent="0.25">
      <c r="A438" s="1">
        <f t="shared" si="27"/>
        <v>175</v>
      </c>
      <c r="B438" s="1" t="str">
        <f t="shared" si="24"/>
        <v xml:space="preserve">Knicks </v>
      </c>
      <c r="C438" s="1">
        <f t="shared" si="25"/>
        <v>1</v>
      </c>
      <c r="D438" s="2" t="str">
        <f t="shared" si="26"/>
        <v>2024-12</v>
      </c>
      <c r="E438" s="3" t="s">
        <v>393</v>
      </c>
      <c r="F438" s="4" t="s">
        <v>83</v>
      </c>
      <c r="G438" s="39">
        <v>45645</v>
      </c>
      <c r="H438" s="40">
        <v>-114</v>
      </c>
      <c r="I438" s="40">
        <v>100</v>
      </c>
      <c r="J438" s="7">
        <v>108</v>
      </c>
      <c r="K438" s="8">
        <v>7.2941176470588218E-2</v>
      </c>
      <c r="L438" s="9">
        <v>3.5067873303167407E-2</v>
      </c>
      <c r="M438" s="10">
        <v>-106.54205607476634</v>
      </c>
      <c r="N438" s="11">
        <v>2.08</v>
      </c>
      <c r="O438" s="12">
        <v>6496.9322482933949</v>
      </c>
      <c r="P438" s="32" t="s">
        <v>75</v>
      </c>
      <c r="Q438" s="81" t="s">
        <v>92</v>
      </c>
      <c r="R438" s="82"/>
      <c r="S438" s="32"/>
      <c r="T438" s="32">
        <v>353.71499999999997</v>
      </c>
      <c r="U438" s="32">
        <v>353.71499999999997</v>
      </c>
      <c r="V438" s="74" t="s">
        <v>82</v>
      </c>
      <c r="W438" s="15"/>
      <c r="X438" s="15"/>
      <c r="Y438" s="16"/>
      <c r="Z438" s="17"/>
      <c r="AA438" s="18"/>
      <c r="AB438" s="75">
        <v>-353.71499999999997</v>
      </c>
      <c r="AC438" s="20">
        <v>25.800388235294111</v>
      </c>
      <c r="AD438" s="21">
        <v>45645</v>
      </c>
      <c r="AE438" s="22">
        <v>148913.59176814533</v>
      </c>
      <c r="AF438" s="23">
        <v>92039.310933333458</v>
      </c>
      <c r="AG438" s="24">
        <v>192393.0259333335</v>
      </c>
      <c r="AH438" s="15">
        <v>0.5</v>
      </c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</row>
    <row r="439" spans="1:68" ht="15" customHeight="1" x14ac:dyDescent="0.25">
      <c r="A439" s="1">
        <f t="shared" si="27"/>
        <v>175</v>
      </c>
      <c r="B439" s="1" t="str">
        <f t="shared" si="24"/>
        <v xml:space="preserve">Knicks </v>
      </c>
      <c r="C439" s="1">
        <f t="shared" si="25"/>
        <v>1</v>
      </c>
      <c r="D439" s="2" t="str">
        <f t="shared" si="26"/>
        <v>2024-12</v>
      </c>
      <c r="E439" s="3" t="s">
        <v>394</v>
      </c>
      <c r="F439" s="4" t="s">
        <v>83</v>
      </c>
      <c r="G439" s="39">
        <v>45645</v>
      </c>
      <c r="H439" s="40">
        <v>-108</v>
      </c>
      <c r="I439" s="40">
        <v>-106</v>
      </c>
      <c r="J439" s="7">
        <v>112</v>
      </c>
      <c r="K439" s="8">
        <v>6.4785985190536341E-2</v>
      </c>
      <c r="L439" s="9">
        <v>3.055942697666808E-2</v>
      </c>
      <c r="M439" s="10">
        <v>-100.90711175616832</v>
      </c>
      <c r="N439" s="11">
        <v>2.12</v>
      </c>
      <c r="O439" s="12">
        <v>5554.2214080927442</v>
      </c>
      <c r="P439" s="32" t="s">
        <v>75</v>
      </c>
      <c r="Q439" s="81" t="s">
        <v>92</v>
      </c>
      <c r="R439" s="82"/>
      <c r="S439" s="32"/>
      <c r="T439" s="32">
        <v>341.08499999999998</v>
      </c>
      <c r="U439" s="32">
        <v>341.08499999999998</v>
      </c>
      <c r="V439" s="74" t="s">
        <v>82</v>
      </c>
      <c r="W439" s="15"/>
      <c r="X439" s="15"/>
      <c r="Y439" s="16"/>
      <c r="Z439" s="17"/>
      <c r="AA439" s="18"/>
      <c r="AB439" s="75">
        <v>-341.08499999999998</v>
      </c>
      <c r="AC439" s="20">
        <v>22.097527758714087</v>
      </c>
      <c r="AD439" s="21">
        <v>45645</v>
      </c>
      <c r="AE439" s="22">
        <v>148935.68929590404</v>
      </c>
      <c r="AF439" s="23">
        <v>91698.225933333451</v>
      </c>
      <c r="AG439" s="24">
        <v>192039.3109333335</v>
      </c>
      <c r="AH439" s="15">
        <v>0.5</v>
      </c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</row>
    <row r="440" spans="1:68" ht="15" customHeight="1" x14ac:dyDescent="0.25">
      <c r="A440" s="1">
        <f t="shared" si="27"/>
        <v>175</v>
      </c>
      <c r="B440" s="1" t="str">
        <f t="shared" si="24"/>
        <v xml:space="preserve">Knicks </v>
      </c>
      <c r="C440" s="1">
        <f t="shared" si="25"/>
        <v>1</v>
      </c>
      <c r="D440" s="2" t="str">
        <f t="shared" si="26"/>
        <v>2024-12</v>
      </c>
      <c r="E440" s="3" t="s">
        <v>395</v>
      </c>
      <c r="F440" s="4" t="s">
        <v>83</v>
      </c>
      <c r="G440" s="39">
        <v>45645</v>
      </c>
      <c r="H440" s="40">
        <v>-101</v>
      </c>
      <c r="I440" s="40">
        <v>-112</v>
      </c>
      <c r="J440" s="7">
        <v>120</v>
      </c>
      <c r="K440" s="8">
        <v>7.2452417812585532E-2</v>
      </c>
      <c r="L440" s="9">
        <v>3.2932917187538879E-2</v>
      </c>
      <c r="M440" s="10">
        <v>105.13730618344852</v>
      </c>
      <c r="N440" s="11">
        <v>2.2000000000000002</v>
      </c>
      <c r="O440" s="12">
        <v>5787.0833163555408</v>
      </c>
      <c r="P440" s="32" t="s">
        <v>75</v>
      </c>
      <c r="Q440" s="80" t="s">
        <v>92</v>
      </c>
      <c r="R440" s="80"/>
      <c r="S440" s="32"/>
      <c r="T440" s="32">
        <v>318.25</v>
      </c>
      <c r="U440" s="32">
        <v>318.25</v>
      </c>
      <c r="V440" s="74" t="s">
        <v>82</v>
      </c>
      <c r="W440" s="15"/>
      <c r="X440" s="15"/>
      <c r="Y440" s="16"/>
      <c r="Z440" s="17"/>
      <c r="AA440" s="18"/>
      <c r="AB440" s="75">
        <v>-318.25</v>
      </c>
      <c r="AC440" s="20">
        <v>23.057981968855344</v>
      </c>
      <c r="AD440" s="21">
        <v>45645</v>
      </c>
      <c r="AE440" s="22">
        <v>148958.7472778729</v>
      </c>
      <c r="AF440" s="23">
        <v>91379.975933333451</v>
      </c>
      <c r="AG440" s="24">
        <v>191698.22593333351</v>
      </c>
      <c r="AH440" s="15">
        <v>0.5</v>
      </c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</row>
    <row r="441" spans="1:68" ht="15" customHeight="1" x14ac:dyDescent="0.25">
      <c r="A441" s="1">
        <f t="shared" si="27"/>
        <v>176</v>
      </c>
      <c r="B441" s="1" t="str">
        <f t="shared" si="24"/>
        <v xml:space="preserve">Pacers </v>
      </c>
      <c r="C441" s="1">
        <f t="shared" si="25"/>
        <v>0</v>
      </c>
      <c r="D441" s="2" t="str">
        <f t="shared" si="26"/>
        <v>2024-12</v>
      </c>
      <c r="E441" s="3" t="s">
        <v>396</v>
      </c>
      <c r="F441" s="4" t="s">
        <v>83</v>
      </c>
      <c r="G441" s="39">
        <v>45645</v>
      </c>
      <c r="H441" s="40">
        <v>127</v>
      </c>
      <c r="I441" s="40">
        <v>-152</v>
      </c>
      <c r="J441" s="7">
        <v>163</v>
      </c>
      <c r="K441" s="8">
        <v>0.11007637679217458</v>
      </c>
      <c r="L441" s="9">
        <v>4.1854135662423797E-2</v>
      </c>
      <c r="M441" s="10">
        <v>136.92063492063494</v>
      </c>
      <c r="N441" s="11">
        <v>2.63</v>
      </c>
      <c r="O441" s="12">
        <v>6398.8618776653284</v>
      </c>
      <c r="P441" s="32" t="s">
        <v>75</v>
      </c>
      <c r="Q441" s="81" t="s">
        <v>76</v>
      </c>
      <c r="R441" s="82"/>
      <c r="S441" s="32"/>
      <c r="T441" s="32">
        <v>156.25</v>
      </c>
      <c r="U441" s="32">
        <v>156.25</v>
      </c>
      <c r="V441" s="74" t="s">
        <v>82</v>
      </c>
      <c r="W441" s="15"/>
      <c r="X441" s="15"/>
      <c r="Y441" s="16"/>
      <c r="Z441" s="17"/>
      <c r="AA441" s="18"/>
      <c r="AB441" s="75">
        <v>-156.25</v>
      </c>
      <c r="AC441" s="20">
        <v>17.199433873777277</v>
      </c>
      <c r="AD441" s="21">
        <v>45645</v>
      </c>
      <c r="AE441" s="22">
        <v>149491.645974824</v>
      </c>
      <c r="AF441" s="23">
        <v>89351.165933333468</v>
      </c>
      <c r="AG441" s="24">
        <v>189507.41593333351</v>
      </c>
      <c r="AH441" s="15">
        <v>0.5</v>
      </c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</row>
    <row r="442" spans="1:68" ht="15" customHeight="1" x14ac:dyDescent="0.25">
      <c r="A442" s="1">
        <f t="shared" si="27"/>
        <v>176</v>
      </c>
      <c r="B442" s="1" t="str">
        <f t="shared" si="24"/>
        <v xml:space="preserve">Pacers </v>
      </c>
      <c r="C442" s="1">
        <f t="shared" si="25"/>
        <v>0</v>
      </c>
      <c r="D442" s="2" t="str">
        <f t="shared" si="26"/>
        <v>2024-12</v>
      </c>
      <c r="E442" s="3" t="s">
        <v>397</v>
      </c>
      <c r="F442" s="4" t="s">
        <v>83</v>
      </c>
      <c r="G442" s="39">
        <v>45645</v>
      </c>
      <c r="H442" s="40">
        <v>-117</v>
      </c>
      <c r="I442" s="40">
        <v>-104</v>
      </c>
      <c r="J442" s="7">
        <v>106</v>
      </c>
      <c r="K442" s="8">
        <v>5.8835386338185865E-2</v>
      </c>
      <c r="L442" s="9">
        <v>2.8560867154459157E-2</v>
      </c>
      <c r="M442" s="10">
        <v>-105.76036866359446</v>
      </c>
      <c r="N442" s="11">
        <v>2.06</v>
      </c>
      <c r="O442" s="12">
        <v>5271.2408755400165</v>
      </c>
      <c r="P442" s="32" t="s">
        <v>75</v>
      </c>
      <c r="Q442" s="81" t="s">
        <v>76</v>
      </c>
      <c r="R442" s="82"/>
      <c r="S442" s="32"/>
      <c r="T442" s="32">
        <v>240.25</v>
      </c>
      <c r="U442" s="32">
        <v>240.25</v>
      </c>
      <c r="V442" s="74" t="s">
        <v>88</v>
      </c>
      <c r="W442" s="15"/>
      <c r="X442" s="15"/>
      <c r="Y442" s="16"/>
      <c r="Z442" s="17"/>
      <c r="AA442" s="18"/>
      <c r="AB442" s="75" t="s">
        <v>89</v>
      </c>
      <c r="AC442" s="20">
        <v>14.135201567749155</v>
      </c>
      <c r="AD442" s="21">
        <v>45645</v>
      </c>
      <c r="AE442" s="22">
        <v>149627.54529759815</v>
      </c>
      <c r="AF442" s="23">
        <v>89937.235933333461</v>
      </c>
      <c r="AG442" s="24">
        <v>189937.23593333352</v>
      </c>
      <c r="AH442" s="15">
        <v>0.5</v>
      </c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</row>
    <row r="443" spans="1:68" ht="15" customHeight="1" x14ac:dyDescent="0.25">
      <c r="A443" s="1">
        <f t="shared" si="27"/>
        <v>176</v>
      </c>
      <c r="B443" s="1" t="str">
        <f t="shared" si="24"/>
        <v xml:space="preserve">Pacers </v>
      </c>
      <c r="C443" s="1">
        <f t="shared" si="25"/>
        <v>0</v>
      </c>
      <c r="D443" s="2" t="str">
        <f t="shared" si="26"/>
        <v>2024-12</v>
      </c>
      <c r="E443" s="3" t="s">
        <v>398</v>
      </c>
      <c r="F443" s="4" t="s">
        <v>83</v>
      </c>
      <c r="G443" s="39">
        <v>45645</v>
      </c>
      <c r="H443" s="40">
        <v>-101</v>
      </c>
      <c r="I443" s="40">
        <v>-122</v>
      </c>
      <c r="J443" s="7">
        <v>123</v>
      </c>
      <c r="K443" s="8">
        <v>6.5121421267893678E-2</v>
      </c>
      <c r="L443" s="9">
        <v>2.9202431061835732E-2</v>
      </c>
      <c r="M443" s="10">
        <v>109.36580144500935</v>
      </c>
      <c r="N443" s="11">
        <v>2.23</v>
      </c>
      <c r="O443" s="12">
        <v>5028.0417705991558</v>
      </c>
      <c r="P443" s="32" t="s">
        <v>75</v>
      </c>
      <c r="Q443" s="81" t="s">
        <v>76</v>
      </c>
      <c r="R443" s="82"/>
      <c r="S443" s="32"/>
      <c r="T443" s="32">
        <v>207.25</v>
      </c>
      <c r="U443" s="32">
        <v>207.25</v>
      </c>
      <c r="V443" s="74" t="s">
        <v>82</v>
      </c>
      <c r="W443" s="15"/>
      <c r="X443" s="15"/>
      <c r="Y443" s="16"/>
      <c r="Z443" s="17"/>
      <c r="AA443" s="18"/>
      <c r="AB443" s="75">
        <v>-207.25</v>
      </c>
      <c r="AC443" s="20">
        <v>13.496414557770965</v>
      </c>
      <c r="AD443" s="21">
        <v>45645</v>
      </c>
      <c r="AE443" s="22">
        <v>149641.04171215591</v>
      </c>
      <c r="AF443" s="23">
        <v>89729.985933333461</v>
      </c>
      <c r="AG443" s="24">
        <v>189937.23593333352</v>
      </c>
      <c r="AH443" s="15">
        <v>0.5</v>
      </c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</row>
    <row r="444" spans="1:68" ht="15" customHeight="1" x14ac:dyDescent="0.25">
      <c r="A444" s="1">
        <f t="shared" si="27"/>
        <v>176</v>
      </c>
      <c r="B444" s="1" t="str">
        <f t="shared" si="24"/>
        <v xml:space="preserve">Pacers </v>
      </c>
      <c r="C444" s="1">
        <f t="shared" si="25"/>
        <v>0</v>
      </c>
      <c r="D444" s="2" t="str">
        <f t="shared" si="26"/>
        <v>2024-12</v>
      </c>
      <c r="E444" s="3" t="s">
        <v>398</v>
      </c>
      <c r="F444" s="4" t="s">
        <v>83</v>
      </c>
      <c r="G444" s="39">
        <v>45645</v>
      </c>
      <c r="H444" s="40">
        <v>-101</v>
      </c>
      <c r="I444" s="40">
        <v>-122</v>
      </c>
      <c r="J444" s="7">
        <v>123</v>
      </c>
      <c r="K444" s="8">
        <v>6.5121421267893678E-2</v>
      </c>
      <c r="L444" s="9">
        <v>2.9202431061835732E-2</v>
      </c>
      <c r="M444" s="10">
        <v>109.36580144500935</v>
      </c>
      <c r="N444" s="11">
        <v>2.23</v>
      </c>
      <c r="O444" s="12">
        <v>5022.5554232179484</v>
      </c>
      <c r="P444" s="32" t="s">
        <v>75</v>
      </c>
      <c r="Q444" s="81" t="s">
        <v>76</v>
      </c>
      <c r="R444" s="82"/>
      <c r="S444" s="32"/>
      <c r="T444" s="32">
        <v>207.25</v>
      </c>
      <c r="U444" s="32">
        <v>207.25</v>
      </c>
      <c r="V444" s="74" t="s">
        <v>82</v>
      </c>
      <c r="W444" s="15"/>
      <c r="X444" s="15"/>
      <c r="Y444" s="16"/>
      <c r="Z444" s="17"/>
      <c r="AA444" s="18"/>
      <c r="AB444" s="75">
        <v>-207.25</v>
      </c>
      <c r="AC444" s="20">
        <v>13.496414557770965</v>
      </c>
      <c r="AD444" s="21">
        <v>45645</v>
      </c>
      <c r="AE444" s="22">
        <v>149654.53812671368</v>
      </c>
      <c r="AF444" s="23">
        <v>89522.735933333461</v>
      </c>
      <c r="AG444" s="24">
        <v>189729.98593333352</v>
      </c>
      <c r="AH444" s="15">
        <v>0.5</v>
      </c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</row>
    <row r="445" spans="1:68" ht="15" customHeight="1" x14ac:dyDescent="0.25">
      <c r="A445" s="1">
        <f t="shared" si="27"/>
        <v>177</v>
      </c>
      <c r="B445" s="1" t="str">
        <f t="shared" si="24"/>
        <v xml:space="preserve">Pacers </v>
      </c>
      <c r="C445" s="1">
        <f t="shared" si="25"/>
        <v>1</v>
      </c>
      <c r="D445" s="2" t="str">
        <f t="shared" si="26"/>
        <v>2024-12</v>
      </c>
      <c r="E445" s="3" t="s">
        <v>399</v>
      </c>
      <c r="F445" s="4" t="s">
        <v>83</v>
      </c>
      <c r="G445" s="39">
        <v>45645</v>
      </c>
      <c r="H445" s="40">
        <v>-103</v>
      </c>
      <c r="I445" s="40">
        <v>-119</v>
      </c>
      <c r="J445" s="7">
        <v>130</v>
      </c>
      <c r="K445" s="8">
        <v>0.11061137988611555</v>
      </c>
      <c r="L445" s="9">
        <v>4.8091904298311117E-2</v>
      </c>
      <c r="M445" s="10">
        <v>107.09314181850421</v>
      </c>
      <c r="N445" s="11">
        <v>2.2999999999999998</v>
      </c>
      <c r="O445" s="12">
        <v>8085.4785570470394</v>
      </c>
      <c r="P445" s="32" t="s">
        <v>75</v>
      </c>
      <c r="Q445" s="81" t="s">
        <v>92</v>
      </c>
      <c r="R445" s="82"/>
      <c r="S445" s="32"/>
      <c r="T445" s="32">
        <v>117.75</v>
      </c>
      <c r="U445" s="32">
        <v>117.75</v>
      </c>
      <c r="V445" s="74" t="s">
        <v>82</v>
      </c>
      <c r="W445" s="15"/>
      <c r="X445" s="15"/>
      <c r="Y445" s="16"/>
      <c r="Z445" s="17"/>
      <c r="AA445" s="18"/>
      <c r="AB445" s="75">
        <v>-117.75</v>
      </c>
      <c r="AC445" s="20">
        <v>13.024489981590106</v>
      </c>
      <c r="AD445" s="21">
        <v>45645</v>
      </c>
      <c r="AE445" s="22">
        <v>149613.41009603039</v>
      </c>
      <c r="AF445" s="23">
        <v>89937.235933333461</v>
      </c>
      <c r="AG445" s="24">
        <v>190054.98593333352</v>
      </c>
      <c r="AH445" s="15">
        <v>0.5</v>
      </c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</row>
    <row r="446" spans="1:68" ht="15" customHeight="1" x14ac:dyDescent="0.25">
      <c r="A446" s="1">
        <f t="shared" si="27"/>
        <v>178</v>
      </c>
      <c r="B446" s="1" t="str">
        <f t="shared" si="24"/>
        <v xml:space="preserve">Pelicans </v>
      </c>
      <c r="C446" s="1">
        <f t="shared" si="25"/>
        <v>0</v>
      </c>
      <c r="D446" s="2" t="str">
        <f t="shared" si="26"/>
        <v>2024-12</v>
      </c>
      <c r="E446" s="3" t="s">
        <v>400</v>
      </c>
      <c r="F446" s="4" t="s">
        <v>83</v>
      </c>
      <c r="G446" s="39">
        <v>45645</v>
      </c>
      <c r="H446" s="40">
        <v>-145</v>
      </c>
      <c r="I446" s="40">
        <v>127</v>
      </c>
      <c r="J446" s="7">
        <v>-127</v>
      </c>
      <c r="K446" s="8">
        <v>2.4685584510070007E-2</v>
      </c>
      <c r="L446" s="9">
        <v>1.3810877677440048E-2</v>
      </c>
      <c r="M446" s="10">
        <v>-134.34693877551021</v>
      </c>
      <c r="N446" s="11">
        <v>1.7874015748031495</v>
      </c>
      <c r="O446" s="12">
        <v>2969.3373393712482</v>
      </c>
      <c r="P446" s="32" t="s">
        <v>75</v>
      </c>
      <c r="Q446" s="81" t="s">
        <v>76</v>
      </c>
      <c r="R446" s="82"/>
      <c r="S446" s="32"/>
      <c r="T446" s="32">
        <v>483.75</v>
      </c>
      <c r="U446" s="32">
        <v>483.75</v>
      </c>
      <c r="V446" s="74" t="s">
        <v>77</v>
      </c>
      <c r="W446" s="15"/>
      <c r="X446" s="15"/>
      <c r="Y446" s="16"/>
      <c r="Z446" s="17"/>
      <c r="AA446" s="18"/>
      <c r="AB446" s="75">
        <v>380.91</v>
      </c>
      <c r="AC446" s="20">
        <v>11.941651506746366</v>
      </c>
      <c r="AD446" s="21">
        <v>45645</v>
      </c>
      <c r="AE446" s="22">
        <v>149208.87359513232</v>
      </c>
      <c r="AF446" s="23">
        <v>89808.135933333455</v>
      </c>
      <c r="AG446" s="24">
        <v>189427.22593333351</v>
      </c>
      <c r="AH446" s="15">
        <v>0.5</v>
      </c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</row>
    <row r="447" spans="1:68" ht="15" customHeight="1" x14ac:dyDescent="0.25">
      <c r="A447" s="1">
        <f t="shared" si="27"/>
        <v>179</v>
      </c>
      <c r="B447" s="1" t="str">
        <f t="shared" si="24"/>
        <v xml:space="preserve">Rockets </v>
      </c>
      <c r="C447" s="1">
        <f t="shared" si="25"/>
        <v>0</v>
      </c>
      <c r="D447" s="2" t="str">
        <f t="shared" si="26"/>
        <v>2024-12</v>
      </c>
      <c r="E447" s="3" t="s">
        <v>401</v>
      </c>
      <c r="F447" s="4" t="s">
        <v>83</v>
      </c>
      <c r="G447" s="39">
        <v>45645</v>
      </c>
      <c r="H447" s="40">
        <v>-1500</v>
      </c>
      <c r="I447" s="40">
        <v>955</v>
      </c>
      <c r="J447" s="7">
        <v>-910</v>
      </c>
      <c r="K447" s="8">
        <v>7.9776751225818666E-3</v>
      </c>
      <c r="L447" s="9">
        <v>7.1878062985638591E-3</v>
      </c>
      <c r="M447" s="10">
        <v>-989.06249999999898</v>
      </c>
      <c r="N447" s="11">
        <v>1.1098901098901099</v>
      </c>
      <c r="O447" s="12">
        <v>6946.7910919847009</v>
      </c>
      <c r="P447" s="32" t="s">
        <v>75</v>
      </c>
      <c r="Q447" s="81" t="s">
        <v>81</v>
      </c>
      <c r="R447" s="82"/>
      <c r="S447" s="32"/>
      <c r="T447" s="32">
        <v>2250</v>
      </c>
      <c r="U447" s="32">
        <v>2250</v>
      </c>
      <c r="V447" s="74" t="s">
        <v>77</v>
      </c>
      <c r="W447" s="15"/>
      <c r="X447" s="15"/>
      <c r="Y447" s="16"/>
      <c r="Z447" s="17"/>
      <c r="AA447" s="18"/>
      <c r="AB447" s="75">
        <v>247.25</v>
      </c>
      <c r="AC447" s="20">
        <v>17.9497690258092</v>
      </c>
      <c r="AD447" s="21">
        <v>45645</v>
      </c>
      <c r="AE447" s="22">
        <v>148976.69704689871</v>
      </c>
      <c r="AF447" s="23">
        <v>91627.225933333451</v>
      </c>
      <c r="AG447" s="24">
        <v>191379.97593333351</v>
      </c>
      <c r="AH447" s="15">
        <v>0.5</v>
      </c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</row>
    <row r="448" spans="1:68" ht="15" customHeight="1" x14ac:dyDescent="0.25">
      <c r="A448" s="1">
        <f t="shared" si="27"/>
        <v>180</v>
      </c>
      <c r="B448" s="1" t="str">
        <f t="shared" si="24"/>
        <v xml:space="preserve">Spurs </v>
      </c>
      <c r="C448" s="1">
        <f t="shared" si="25"/>
        <v>0</v>
      </c>
      <c r="D448" s="2" t="str">
        <f t="shared" si="26"/>
        <v>2024-12</v>
      </c>
      <c r="E448" s="3" t="s">
        <v>402</v>
      </c>
      <c r="F448" s="4" t="s">
        <v>83</v>
      </c>
      <c r="G448" s="39">
        <v>45645</v>
      </c>
      <c r="H448" s="40">
        <v>-403</v>
      </c>
      <c r="I448" s="40">
        <v>305</v>
      </c>
      <c r="J448" s="7">
        <v>-305</v>
      </c>
      <c r="K448" s="8">
        <v>1.5048660534849337E-2</v>
      </c>
      <c r="L448" s="9">
        <v>1.1332941884269254E-2</v>
      </c>
      <c r="M448" s="10">
        <v>-324.48310139165005</v>
      </c>
      <c r="N448" s="11">
        <v>1.3278688524590163</v>
      </c>
      <c r="O448" s="12">
        <v>4389.8280124269168</v>
      </c>
      <c r="P448" s="32" t="s">
        <v>75</v>
      </c>
      <c r="Q448" s="81" t="s">
        <v>81</v>
      </c>
      <c r="R448" s="82"/>
      <c r="S448" s="32"/>
      <c r="T448" s="32">
        <v>1145.5</v>
      </c>
      <c r="U448" s="32">
        <v>1145.5</v>
      </c>
      <c r="V448" s="74" t="s">
        <v>77</v>
      </c>
      <c r="W448" s="15"/>
      <c r="X448" s="15"/>
      <c r="Y448" s="16"/>
      <c r="Z448" s="17"/>
      <c r="AA448" s="18"/>
      <c r="AB448" s="75">
        <v>375.57</v>
      </c>
      <c r="AC448" s="20">
        <v>17.238240642669915</v>
      </c>
      <c r="AD448" s="21">
        <v>45645</v>
      </c>
      <c r="AE448" s="22">
        <v>149913.99471974821</v>
      </c>
      <c r="AF448" s="23">
        <v>91660.085933333467</v>
      </c>
      <c r="AG448" s="24">
        <v>191284.51593333352</v>
      </c>
      <c r="AH448" s="15">
        <v>0.5</v>
      </c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</row>
    <row r="449" spans="1:68" ht="15" customHeight="1" x14ac:dyDescent="0.25">
      <c r="A449" s="1">
        <f t="shared" si="27"/>
        <v>181</v>
      </c>
      <c r="B449" s="1" t="str">
        <f t="shared" si="24"/>
        <v xml:space="preserve">Timberwolves </v>
      </c>
      <c r="C449" s="1">
        <f t="shared" si="25"/>
        <v>0</v>
      </c>
      <c r="D449" s="2" t="str">
        <f t="shared" si="26"/>
        <v>2024-12</v>
      </c>
      <c r="E449" s="3" t="s">
        <v>403</v>
      </c>
      <c r="F449" s="4" t="s">
        <v>83</v>
      </c>
      <c r="G449" s="39">
        <v>45645</v>
      </c>
      <c r="H449" s="40">
        <v>-143</v>
      </c>
      <c r="I449" s="40">
        <v>125</v>
      </c>
      <c r="J449" s="7">
        <v>-125</v>
      </c>
      <c r="K449" s="8">
        <v>2.5498007968127533E-2</v>
      </c>
      <c r="L449" s="9">
        <v>1.4165559982293074E-2</v>
      </c>
      <c r="M449" s="10">
        <v>-132.40740740740742</v>
      </c>
      <c r="N449" s="11">
        <v>1.8</v>
      </c>
      <c r="O449" s="12">
        <v>3084.6759511288251</v>
      </c>
      <c r="P449" s="32" t="s">
        <v>75</v>
      </c>
      <c r="Q449" s="81" t="s">
        <v>76</v>
      </c>
      <c r="R449" s="82"/>
      <c r="S449" s="32"/>
      <c r="T449" s="32">
        <v>795.86500000000001</v>
      </c>
      <c r="U449" s="32">
        <v>795.86500000000001</v>
      </c>
      <c r="V449" s="74" t="s">
        <v>82</v>
      </c>
      <c r="W449" s="15"/>
      <c r="X449" s="15"/>
      <c r="Y449" s="16"/>
      <c r="Z449" s="17"/>
      <c r="AA449" s="18"/>
      <c r="AB449" s="75">
        <v>-795.86500000000001</v>
      </c>
      <c r="AC449" s="20">
        <v>20.292972111553819</v>
      </c>
      <c r="AD449" s="21">
        <v>45645</v>
      </c>
      <c r="AE449" s="22">
        <v>148862.02354686207</v>
      </c>
      <c r="AF449" s="23">
        <v>92767.550933333448</v>
      </c>
      <c r="AG449" s="24">
        <v>193563.41593333348</v>
      </c>
      <c r="AH449" s="15">
        <v>0.5</v>
      </c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</row>
    <row r="450" spans="1:68" ht="15" customHeight="1" x14ac:dyDescent="0.25">
      <c r="A450" s="1">
        <f t="shared" si="27"/>
        <v>182</v>
      </c>
      <c r="B450" s="1" t="str">
        <f t="shared" ref="B450:B513" si="28">LEFT(E450, FIND(" ", E450))</f>
        <v xml:space="preserve">Cavaliers </v>
      </c>
      <c r="C450" s="1">
        <f t="shared" ref="C450:C513" si="29">IF(Q450="total", 1, 0)</f>
        <v>0</v>
      </c>
      <c r="D450" s="2" t="str">
        <f t="shared" ref="D450:D513" si="30">YEAR(G450)&amp;"-"&amp;IF(MONTH(G450)&lt;10, "0", "")&amp;MONTH(G450)</f>
        <v>2024-12</v>
      </c>
      <c r="E450" s="3" t="s">
        <v>404</v>
      </c>
      <c r="F450" s="4" t="s">
        <v>83</v>
      </c>
      <c r="G450" s="39">
        <v>45647</v>
      </c>
      <c r="H450" s="40">
        <v>104</v>
      </c>
      <c r="I450" s="40">
        <v>-140</v>
      </c>
      <c r="J450" s="7">
        <v>148</v>
      </c>
      <c r="K450" s="8">
        <v>0.13242009132420091</v>
      </c>
      <c r="L450" s="9">
        <v>5.3395198114597142E-2</v>
      </c>
      <c r="M450" s="10">
        <v>119</v>
      </c>
      <c r="N450" s="11">
        <v>2.48</v>
      </c>
      <c r="O450" s="12">
        <v>8276.5727077419979</v>
      </c>
      <c r="P450" s="32" t="s">
        <v>75</v>
      </c>
      <c r="Q450" s="81" t="s">
        <v>76</v>
      </c>
      <c r="R450" s="82"/>
      <c r="S450" s="32"/>
      <c r="T450" s="32">
        <v>171.75</v>
      </c>
      <c r="U450" s="32">
        <v>171.75</v>
      </c>
      <c r="V450" s="74" t="s">
        <v>77</v>
      </c>
      <c r="W450" s="15"/>
      <c r="X450" s="15"/>
      <c r="Y450" s="16"/>
      <c r="Z450" s="17"/>
      <c r="AA450" s="18"/>
      <c r="AB450" s="75">
        <v>254.19</v>
      </c>
      <c r="AC450" s="20">
        <v>22.743150684931507</v>
      </c>
      <c r="AD450" s="21">
        <v>45647</v>
      </c>
      <c r="AE450" s="22">
        <v>152523.35158194805</v>
      </c>
      <c r="AF450" s="23">
        <v>85261.275933333425</v>
      </c>
      <c r="AG450" s="24">
        <v>185007.08593333355</v>
      </c>
      <c r="AH450" s="15">
        <v>0.5</v>
      </c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</row>
    <row r="451" spans="1:68" ht="15" customHeight="1" x14ac:dyDescent="0.25">
      <c r="A451" s="1">
        <f t="shared" si="27"/>
        <v>182</v>
      </c>
      <c r="B451" s="1" t="str">
        <f t="shared" si="28"/>
        <v xml:space="preserve">Cavaliers </v>
      </c>
      <c r="C451" s="1">
        <f t="shared" si="29"/>
        <v>0</v>
      </c>
      <c r="D451" s="2" t="str">
        <f t="shared" si="30"/>
        <v>2024-12</v>
      </c>
      <c r="E451" s="3" t="s">
        <v>405</v>
      </c>
      <c r="F451" s="4" t="s">
        <v>83</v>
      </c>
      <c r="G451" s="39">
        <v>45647</v>
      </c>
      <c r="H451" s="40">
        <v>-110</v>
      </c>
      <c r="I451" s="40">
        <v>-123</v>
      </c>
      <c r="J451" s="7">
        <v>125</v>
      </c>
      <c r="K451" s="8">
        <v>9.5959094519460109E-2</v>
      </c>
      <c r="L451" s="9">
        <v>4.2648486453093382E-2</v>
      </c>
      <c r="M451" s="10">
        <v>105.29963310232365</v>
      </c>
      <c r="N451" s="11">
        <v>2.25</v>
      </c>
      <c r="O451" s="12">
        <v>7111.0017152330147</v>
      </c>
      <c r="P451" s="32" t="s">
        <v>75</v>
      </c>
      <c r="Q451" s="81" t="s">
        <v>76</v>
      </c>
      <c r="R451" s="82"/>
      <c r="S451" s="32"/>
      <c r="T451" s="32">
        <v>200</v>
      </c>
      <c r="U451" s="32">
        <v>200</v>
      </c>
      <c r="V451" s="74" t="s">
        <v>77</v>
      </c>
      <c r="W451" s="15"/>
      <c r="X451" s="15"/>
      <c r="Y451" s="16"/>
      <c r="Z451" s="17"/>
      <c r="AA451" s="18"/>
      <c r="AB451" s="75">
        <v>250</v>
      </c>
      <c r="AC451" s="20">
        <v>19.19181890389202</v>
      </c>
      <c r="AD451" s="21">
        <v>45647</v>
      </c>
      <c r="AE451" s="22">
        <v>152542.54340085195</v>
      </c>
      <c r="AF451" s="23">
        <v>85511.275933333425</v>
      </c>
      <c r="AG451" s="24">
        <v>185261.27593333356</v>
      </c>
      <c r="AH451" s="15">
        <v>0.5</v>
      </c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</row>
    <row r="452" spans="1:68" ht="15" customHeight="1" x14ac:dyDescent="0.25">
      <c r="A452" s="1">
        <f t="shared" ref="A452:A515" si="31">IF(AND(B452=B451, C452=C451, G452=G451), A451, A451+1)</f>
        <v>182</v>
      </c>
      <c r="B452" s="1" t="str">
        <f t="shared" si="28"/>
        <v xml:space="preserve">Cavaliers </v>
      </c>
      <c r="C452" s="1">
        <f t="shared" si="29"/>
        <v>0</v>
      </c>
      <c r="D452" s="2" t="str">
        <f t="shared" si="30"/>
        <v>2024-12</v>
      </c>
      <c r="E452" s="3" t="s">
        <v>406</v>
      </c>
      <c r="F452" s="4" t="s">
        <v>83</v>
      </c>
      <c r="G452" s="39">
        <v>45647</v>
      </c>
      <c r="H452" s="40">
        <v>103</v>
      </c>
      <c r="I452" s="40">
        <v>-110</v>
      </c>
      <c r="J452" s="7">
        <v>114</v>
      </c>
      <c r="K452" s="8">
        <v>3.7156704361873766E-2</v>
      </c>
      <c r="L452" s="9">
        <v>1.7362945963492415E-2</v>
      </c>
      <c r="M452" s="10">
        <v>106.33333333333336</v>
      </c>
      <c r="N452" s="11">
        <v>2.1399999999999997</v>
      </c>
      <c r="O452" s="12">
        <v>3023.2401910740632</v>
      </c>
      <c r="P452" s="32" t="s">
        <v>75</v>
      </c>
      <c r="Q452" s="81" t="s">
        <v>76</v>
      </c>
      <c r="R452" s="82"/>
      <c r="S452" s="32"/>
      <c r="T452" s="32">
        <v>219.25</v>
      </c>
      <c r="U452" s="32">
        <v>219.25</v>
      </c>
      <c r="V452" s="74" t="s">
        <v>77</v>
      </c>
      <c r="W452" s="15"/>
      <c r="X452" s="15"/>
      <c r="Y452" s="16"/>
      <c r="Z452" s="17"/>
      <c r="AA452" s="18"/>
      <c r="AB452" s="75">
        <v>249.95</v>
      </c>
      <c r="AC452" s="20">
        <v>8.1466074313408239</v>
      </c>
      <c r="AD452" s="21">
        <v>45647</v>
      </c>
      <c r="AE452" s="22">
        <v>152550.6900082833</v>
      </c>
      <c r="AF452" s="23">
        <v>85761.225933333422</v>
      </c>
      <c r="AG452" s="24">
        <v>185511.27593333356</v>
      </c>
      <c r="AH452" s="15">
        <v>0.5</v>
      </c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</row>
    <row r="453" spans="1:68" ht="15" customHeight="1" x14ac:dyDescent="0.25">
      <c r="A453" s="1">
        <f t="shared" si="31"/>
        <v>183</v>
      </c>
      <c r="B453" s="1" t="str">
        <f t="shared" si="28"/>
        <v xml:space="preserve">Hawks </v>
      </c>
      <c r="C453" s="1">
        <f t="shared" si="29"/>
        <v>1</v>
      </c>
      <c r="D453" s="2" t="str">
        <f t="shared" si="30"/>
        <v>2024-12</v>
      </c>
      <c r="E453" s="3" t="s">
        <v>407</v>
      </c>
      <c r="F453" s="4" t="s">
        <v>83</v>
      </c>
      <c r="G453" s="39">
        <v>45647</v>
      </c>
      <c r="H453" s="40">
        <v>-103</v>
      </c>
      <c r="I453" s="40">
        <v>-112</v>
      </c>
      <c r="J453" s="7">
        <v>114</v>
      </c>
      <c r="K453" s="8">
        <v>4.8394507762720904E-2</v>
      </c>
      <c r="L453" s="9">
        <v>2.2614255963888275E-2</v>
      </c>
      <c r="M453" s="10">
        <v>104.12163399890089</v>
      </c>
      <c r="N453" s="11">
        <v>2.1399999999999997</v>
      </c>
      <c r="O453" s="12">
        <v>3895.2071949272404</v>
      </c>
      <c r="P453" s="32" t="s">
        <v>75</v>
      </c>
      <c r="Q453" s="81" t="s">
        <v>92</v>
      </c>
      <c r="R453" s="82"/>
      <c r="S453" s="32"/>
      <c r="T453" s="32">
        <v>167.25</v>
      </c>
      <c r="U453" s="32">
        <v>167.25</v>
      </c>
      <c r="V453" s="74" t="s">
        <v>82</v>
      </c>
      <c r="W453" s="15"/>
      <c r="X453" s="15"/>
      <c r="Y453" s="16"/>
      <c r="Z453" s="17"/>
      <c r="AA453" s="18"/>
      <c r="AB453" s="75">
        <v>-167.25</v>
      </c>
      <c r="AC453" s="20">
        <v>8.0939814233150713</v>
      </c>
      <c r="AD453" s="21">
        <v>45647</v>
      </c>
      <c r="AE453" s="22">
        <v>152150.38366499706</v>
      </c>
      <c r="AF453" s="23">
        <v>83346.805933333453</v>
      </c>
      <c r="AG453" s="24">
        <v>183514.0559333335</v>
      </c>
      <c r="AH453" s="15">
        <v>0.5</v>
      </c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</row>
    <row r="454" spans="1:68" ht="15" customHeight="1" x14ac:dyDescent="0.25">
      <c r="A454" s="1">
        <f t="shared" si="31"/>
        <v>183</v>
      </c>
      <c r="B454" s="1" t="str">
        <f t="shared" si="28"/>
        <v xml:space="preserve">Hawks </v>
      </c>
      <c r="C454" s="1">
        <f t="shared" si="29"/>
        <v>1</v>
      </c>
      <c r="D454" s="2" t="str">
        <f t="shared" si="30"/>
        <v>2024-12</v>
      </c>
      <c r="E454" s="3" t="s">
        <v>408</v>
      </c>
      <c r="F454" s="4" t="s">
        <v>83</v>
      </c>
      <c r="G454" s="39">
        <v>45647</v>
      </c>
      <c r="H454" s="40">
        <v>-107</v>
      </c>
      <c r="I454" s="40">
        <v>-105</v>
      </c>
      <c r="J454" s="7">
        <v>106</v>
      </c>
      <c r="K454" s="8">
        <v>3.4717197160521858E-2</v>
      </c>
      <c r="L454" s="9">
        <v>1.6853008330350416E-2</v>
      </c>
      <c r="M454" s="10">
        <v>-100.92017483321825</v>
      </c>
      <c r="N454" s="11">
        <v>2.06</v>
      </c>
      <c r="O454" s="12">
        <v>3002.4939671412631</v>
      </c>
      <c r="P454" s="32" t="s">
        <v>75</v>
      </c>
      <c r="Q454" s="81" t="s">
        <v>92</v>
      </c>
      <c r="R454" s="82"/>
      <c r="S454" s="32"/>
      <c r="T454" s="32">
        <v>179.25</v>
      </c>
      <c r="U454" s="32">
        <v>179.25</v>
      </c>
      <c r="V454" s="74" t="s">
        <v>82</v>
      </c>
      <c r="W454" s="15"/>
      <c r="X454" s="15"/>
      <c r="Y454" s="16"/>
      <c r="Z454" s="17"/>
      <c r="AA454" s="18"/>
      <c r="AB454" s="75">
        <v>-179.25</v>
      </c>
      <c r="AC454" s="20">
        <v>6.2230575910235428</v>
      </c>
      <c r="AD454" s="21">
        <v>45647</v>
      </c>
      <c r="AE454" s="22">
        <v>152156.6067225881</v>
      </c>
      <c r="AF454" s="23">
        <v>83167.555933333453</v>
      </c>
      <c r="AG454" s="24">
        <v>183346.8059333335</v>
      </c>
      <c r="AH454" s="15">
        <v>0.5</v>
      </c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</row>
    <row r="455" spans="1:68" ht="15" customHeight="1" x14ac:dyDescent="0.25">
      <c r="A455" s="1">
        <f t="shared" si="31"/>
        <v>183</v>
      </c>
      <c r="B455" s="1" t="str">
        <f t="shared" si="28"/>
        <v xml:space="preserve">Hawks </v>
      </c>
      <c r="C455" s="1">
        <f t="shared" si="29"/>
        <v>1</v>
      </c>
      <c r="D455" s="2" t="str">
        <f t="shared" si="30"/>
        <v>2024-12</v>
      </c>
      <c r="E455" s="3" t="s">
        <v>409</v>
      </c>
      <c r="F455" s="4" t="s">
        <v>83</v>
      </c>
      <c r="G455" s="39">
        <v>45647</v>
      </c>
      <c r="H455" s="40">
        <v>-123</v>
      </c>
      <c r="I455" s="40">
        <v>105</v>
      </c>
      <c r="J455" s="7">
        <v>100</v>
      </c>
      <c r="K455" s="8">
        <v>6.1349047669157164E-2</v>
      </c>
      <c r="L455" s="9">
        <v>3.0674523834578582E-2</v>
      </c>
      <c r="M455" s="10">
        <v>-113.07174887892377</v>
      </c>
      <c r="N455" s="11">
        <v>2</v>
      </c>
      <c r="O455" s="12">
        <v>5618.5775601985442</v>
      </c>
      <c r="P455" s="32" t="s">
        <v>75</v>
      </c>
      <c r="Q455" s="81" t="s">
        <v>92</v>
      </c>
      <c r="R455" s="82"/>
      <c r="S455" s="32"/>
      <c r="T455" s="32">
        <v>190.25</v>
      </c>
      <c r="U455" s="32">
        <v>190.25</v>
      </c>
      <c r="V455" s="74" t="s">
        <v>82</v>
      </c>
      <c r="W455" s="15"/>
      <c r="X455" s="15"/>
      <c r="Y455" s="16"/>
      <c r="Z455" s="17"/>
      <c r="AA455" s="18"/>
      <c r="AB455" s="75">
        <v>-190.25</v>
      </c>
      <c r="AC455" s="20">
        <v>11.671656319057151</v>
      </c>
      <c r="AD455" s="21">
        <v>45647</v>
      </c>
      <c r="AE455" s="22">
        <v>152168.27837890715</v>
      </c>
      <c r="AF455" s="23">
        <v>82977.305933333453</v>
      </c>
      <c r="AG455" s="24">
        <v>183167.5559333335</v>
      </c>
      <c r="AH455" s="15">
        <v>0.5</v>
      </c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</row>
    <row r="456" spans="1:68" ht="15" customHeight="1" x14ac:dyDescent="0.25">
      <c r="A456" s="1">
        <f t="shared" si="31"/>
        <v>183</v>
      </c>
      <c r="B456" s="1" t="str">
        <f t="shared" si="28"/>
        <v xml:space="preserve">Hawks </v>
      </c>
      <c r="C456" s="1">
        <f t="shared" si="29"/>
        <v>1</v>
      </c>
      <c r="D456" s="2" t="str">
        <f t="shared" si="30"/>
        <v>2024-12</v>
      </c>
      <c r="E456" s="3" t="s">
        <v>410</v>
      </c>
      <c r="F456" s="4" t="s">
        <v>83</v>
      </c>
      <c r="G456" s="39">
        <v>45647</v>
      </c>
      <c r="H456" s="40">
        <v>-116</v>
      </c>
      <c r="I456" s="40">
        <v>-101</v>
      </c>
      <c r="J456" s="7">
        <v>102</v>
      </c>
      <c r="K456" s="8">
        <v>4.3568199946822574E-2</v>
      </c>
      <c r="L456" s="9">
        <v>2.1568415815258701E-2</v>
      </c>
      <c r="M456" s="10">
        <v>-106.87568756875686</v>
      </c>
      <c r="N456" s="11">
        <v>2.02</v>
      </c>
      <c r="O456" s="12">
        <v>3912.4304618916503</v>
      </c>
      <c r="P456" s="32" t="s">
        <v>75</v>
      </c>
      <c r="Q456" s="81" t="s">
        <v>92</v>
      </c>
      <c r="R456" s="82"/>
      <c r="S456" s="32"/>
      <c r="T456" s="32">
        <v>187.75</v>
      </c>
      <c r="U456" s="32">
        <v>187.75</v>
      </c>
      <c r="V456" s="74" t="s">
        <v>82</v>
      </c>
      <c r="W456" s="15"/>
      <c r="X456" s="15"/>
      <c r="Y456" s="16"/>
      <c r="Z456" s="17"/>
      <c r="AA456" s="18"/>
      <c r="AB456" s="75">
        <v>-187.75</v>
      </c>
      <c r="AC456" s="20">
        <v>8.1799295400159391</v>
      </c>
      <c r="AD456" s="21">
        <v>45647</v>
      </c>
      <c r="AE456" s="22">
        <v>152200.17310884831</v>
      </c>
      <c r="AF456" s="23">
        <v>83004.535933333449</v>
      </c>
      <c r="AG456" s="24">
        <v>183192.28593333351</v>
      </c>
      <c r="AH456" s="15">
        <v>0.5</v>
      </c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</row>
    <row r="457" spans="1:68" ht="15" customHeight="1" x14ac:dyDescent="0.25">
      <c r="A457" s="1">
        <f t="shared" si="31"/>
        <v>183</v>
      </c>
      <c r="B457" s="1" t="str">
        <f t="shared" si="28"/>
        <v xml:space="preserve">Hawks </v>
      </c>
      <c r="C457" s="1">
        <f t="shared" si="29"/>
        <v>1</v>
      </c>
      <c r="D457" s="2" t="str">
        <f t="shared" si="30"/>
        <v>2024-12</v>
      </c>
      <c r="E457" s="3" t="s">
        <v>411</v>
      </c>
      <c r="F457" s="4" t="s">
        <v>83</v>
      </c>
      <c r="G457" s="39">
        <v>45647</v>
      </c>
      <c r="H457" s="40">
        <v>-108</v>
      </c>
      <c r="I457" s="40">
        <v>-108</v>
      </c>
      <c r="J457" s="7">
        <v>108</v>
      </c>
      <c r="K457" s="8">
        <v>4.0000000000000091E-2</v>
      </c>
      <c r="L457" s="9">
        <v>1.9230769230769273E-2</v>
      </c>
      <c r="M457" s="10">
        <v>100</v>
      </c>
      <c r="N457" s="11">
        <v>2.08</v>
      </c>
      <c r="O457" s="12">
        <v>3388.9728876543318</v>
      </c>
      <c r="P457" s="32" t="s">
        <v>75</v>
      </c>
      <c r="Q457" s="81" t="s">
        <v>92</v>
      </c>
      <c r="R457" s="82"/>
      <c r="S457" s="32"/>
      <c r="T457" s="32">
        <v>175.75</v>
      </c>
      <c r="U457" s="32">
        <v>175.75</v>
      </c>
      <c r="V457" s="74" t="s">
        <v>82</v>
      </c>
      <c r="W457" s="15"/>
      <c r="X457" s="15"/>
      <c r="Y457" s="16"/>
      <c r="Z457" s="17"/>
      <c r="AA457" s="18"/>
      <c r="AB457" s="75">
        <v>-175.75</v>
      </c>
      <c r="AC457" s="20">
        <v>7.0300000000000162</v>
      </c>
      <c r="AD457" s="21">
        <v>45647</v>
      </c>
      <c r="AE457" s="22">
        <v>152207.20310884831</v>
      </c>
      <c r="AF457" s="23">
        <v>82828.785933333449</v>
      </c>
      <c r="AG457" s="24">
        <v>183004.53593333351</v>
      </c>
      <c r="AH457" s="15">
        <v>0.5</v>
      </c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</row>
    <row r="458" spans="1:68" ht="15" customHeight="1" x14ac:dyDescent="0.25">
      <c r="A458" s="1">
        <f t="shared" si="31"/>
        <v>184</v>
      </c>
      <c r="B458" s="1" t="str">
        <f t="shared" si="28"/>
        <v xml:space="preserve">Miss </v>
      </c>
      <c r="C458" s="1">
        <f t="shared" si="29"/>
        <v>1</v>
      </c>
      <c r="D458" s="2" t="str">
        <f t="shared" si="30"/>
        <v>2024-12</v>
      </c>
      <c r="E458" s="3" t="s">
        <v>412</v>
      </c>
      <c r="F458" s="4" t="s">
        <v>83</v>
      </c>
      <c r="G458" s="39">
        <v>45647</v>
      </c>
      <c r="H458" s="40">
        <v>-120</v>
      </c>
      <c r="I458" s="40">
        <v>101</v>
      </c>
      <c r="J458" s="7">
        <v>117</v>
      </c>
      <c r="K458" s="8">
        <v>0.13487424111014748</v>
      </c>
      <c r="L458" s="9">
        <v>6.2154028161358288E-2</v>
      </c>
      <c r="M458" s="10">
        <v>-109.63636363636364</v>
      </c>
      <c r="N458" s="11">
        <v>2.17</v>
      </c>
      <c r="O458" s="12">
        <v>11086.454886024827</v>
      </c>
      <c r="P458" s="32" t="s">
        <v>143</v>
      </c>
      <c r="Q458" s="81" t="s">
        <v>92</v>
      </c>
      <c r="R458" s="82"/>
      <c r="S458" s="32"/>
      <c r="T458" s="32">
        <v>108.75</v>
      </c>
      <c r="U458" s="32">
        <v>108.75</v>
      </c>
      <c r="V458" s="74" t="s">
        <v>82</v>
      </c>
      <c r="W458" s="15"/>
      <c r="X458" s="15"/>
      <c r="Y458" s="16"/>
      <c r="Z458" s="17"/>
      <c r="AA458" s="18"/>
      <c r="AB458" s="75">
        <v>-108.75</v>
      </c>
      <c r="AC458" s="20">
        <v>14.667573720728539</v>
      </c>
      <c r="AD458" s="21">
        <v>45647</v>
      </c>
      <c r="AE458" s="22">
        <v>150383.35515415887</v>
      </c>
      <c r="AF458" s="23">
        <v>92235.64593333345</v>
      </c>
      <c r="AG458" s="24">
        <v>192344.39593333349</v>
      </c>
      <c r="AH458" s="15">
        <v>0.5</v>
      </c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</row>
    <row r="459" spans="1:68" ht="15" customHeight="1" x14ac:dyDescent="0.25">
      <c r="A459" s="1">
        <f t="shared" si="31"/>
        <v>184</v>
      </c>
      <c r="B459" s="1" t="str">
        <f t="shared" si="28"/>
        <v xml:space="preserve">Miss </v>
      </c>
      <c r="C459" s="1">
        <f t="shared" si="29"/>
        <v>1</v>
      </c>
      <c r="D459" s="2" t="str">
        <f t="shared" si="30"/>
        <v>2024-12</v>
      </c>
      <c r="E459" s="3" t="s">
        <v>413</v>
      </c>
      <c r="F459" s="4" t="s">
        <v>83</v>
      </c>
      <c r="G459" s="39">
        <v>45647</v>
      </c>
      <c r="H459" s="40">
        <v>-108</v>
      </c>
      <c r="I459" s="40">
        <v>-114</v>
      </c>
      <c r="J459" s="7">
        <v>130</v>
      </c>
      <c r="K459" s="8">
        <v>0.13526396719630951</v>
      </c>
      <c r="L459" s="9">
        <v>5.8810420520134576E-2</v>
      </c>
      <c r="M459" s="10">
        <v>102.59605399792315</v>
      </c>
      <c r="N459" s="11">
        <v>2.2999999999999998</v>
      </c>
      <c r="O459" s="12">
        <v>10000.983117495307</v>
      </c>
      <c r="P459" s="32" t="s">
        <v>143</v>
      </c>
      <c r="Q459" s="81" t="s">
        <v>92</v>
      </c>
      <c r="R459" s="82"/>
      <c r="S459" s="32"/>
      <c r="T459" s="32">
        <v>97.75</v>
      </c>
      <c r="U459" s="32">
        <v>97.75</v>
      </c>
      <c r="V459" s="74" t="s">
        <v>82</v>
      </c>
      <c r="W459" s="15"/>
      <c r="X459" s="15"/>
      <c r="Y459" s="16"/>
      <c r="Z459" s="17"/>
      <c r="AA459" s="18"/>
      <c r="AB459" s="75">
        <v>-97.75</v>
      </c>
      <c r="AC459" s="20">
        <v>13.222052793439255</v>
      </c>
      <c r="AD459" s="21">
        <v>45647</v>
      </c>
      <c r="AE459" s="22">
        <v>150396.57720695229</v>
      </c>
      <c r="AF459" s="23">
        <v>92137.89593333345</v>
      </c>
      <c r="AG459" s="24">
        <v>192235.64593333349</v>
      </c>
      <c r="AH459" s="15">
        <v>0.5</v>
      </c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</row>
    <row r="460" spans="1:68" ht="15" customHeight="1" x14ac:dyDescent="0.25">
      <c r="A460" s="1">
        <f t="shared" si="31"/>
        <v>185</v>
      </c>
      <c r="B460" s="1" t="str">
        <f t="shared" si="28"/>
        <v xml:space="preserve">Pistons </v>
      </c>
      <c r="C460" s="1">
        <f t="shared" si="29"/>
        <v>0</v>
      </c>
      <c r="D460" s="2" t="str">
        <f t="shared" si="30"/>
        <v>2024-12</v>
      </c>
      <c r="E460" s="3" t="s">
        <v>414</v>
      </c>
      <c r="F460" s="4" t="s">
        <v>83</v>
      </c>
      <c r="G460" s="39">
        <v>45647</v>
      </c>
      <c r="H460" s="40">
        <v>-168</v>
      </c>
      <c r="I460" s="40">
        <v>154</v>
      </c>
      <c r="J460" s="7">
        <v>-143</v>
      </c>
      <c r="K460" s="8">
        <v>4.376668932173302E-2</v>
      </c>
      <c r="L460" s="9">
        <v>2.5755706061760586E-2</v>
      </c>
      <c r="M460" s="10">
        <v>-159.22388059701498</v>
      </c>
      <c r="N460" s="11">
        <v>1.6993006993006992</v>
      </c>
      <c r="O460" s="12">
        <v>5777.5287937452013</v>
      </c>
      <c r="P460" s="32" t="s">
        <v>75</v>
      </c>
      <c r="Q460" s="81" t="s">
        <v>81</v>
      </c>
      <c r="R460" s="82"/>
      <c r="S460" s="32"/>
      <c r="T460" s="32">
        <v>545.25</v>
      </c>
      <c r="U460" s="32">
        <v>545.25</v>
      </c>
      <c r="V460" s="74" t="s">
        <v>77</v>
      </c>
      <c r="W460" s="15"/>
      <c r="X460" s="15"/>
      <c r="Y460" s="16"/>
      <c r="Z460" s="17"/>
      <c r="AA460" s="18"/>
      <c r="AB460" s="75">
        <v>381.29</v>
      </c>
      <c r="AC460" s="20">
        <v>23.86378735267493</v>
      </c>
      <c r="AD460" s="21">
        <v>45647</v>
      </c>
      <c r="AE460" s="22">
        <v>152500.60843126313</v>
      </c>
      <c r="AF460" s="23">
        <v>85007.085933333423</v>
      </c>
      <c r="AG460" s="24">
        <v>184625.79593333355</v>
      </c>
      <c r="AH460" s="15">
        <v>0.5</v>
      </c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</row>
    <row r="461" spans="1:68" ht="15" customHeight="1" x14ac:dyDescent="0.25">
      <c r="A461" s="1">
        <f t="shared" si="31"/>
        <v>186</v>
      </c>
      <c r="B461" s="1" t="str">
        <f t="shared" si="28"/>
        <v xml:space="preserve">Warriors </v>
      </c>
      <c r="C461" s="1">
        <f t="shared" si="29"/>
        <v>0</v>
      </c>
      <c r="D461" s="2" t="str">
        <f t="shared" si="30"/>
        <v>2024-12</v>
      </c>
      <c r="E461" s="3" t="s">
        <v>415</v>
      </c>
      <c r="F461" s="4" t="s">
        <v>83</v>
      </c>
      <c r="G461" s="39">
        <v>45647</v>
      </c>
      <c r="H461" s="40">
        <v>109</v>
      </c>
      <c r="I461" s="40">
        <v>-129</v>
      </c>
      <c r="J461" s="7">
        <v>128</v>
      </c>
      <c r="K461" s="8">
        <v>4.7151080002406726E-2</v>
      </c>
      <c r="L461" s="9">
        <v>2.0680298246669615E-2</v>
      </c>
      <c r="M461" s="10">
        <v>117.73362445414847</v>
      </c>
      <c r="N461" s="11">
        <v>2.2800000000000002</v>
      </c>
      <c r="O461" s="12">
        <v>3402.4656938419062</v>
      </c>
      <c r="P461" s="32" t="s">
        <v>75</v>
      </c>
      <c r="Q461" s="81" t="s">
        <v>76</v>
      </c>
      <c r="R461" s="82"/>
      <c r="S461" s="32"/>
      <c r="T461" s="32">
        <v>298.25</v>
      </c>
      <c r="U461" s="32">
        <v>298.25</v>
      </c>
      <c r="V461" s="74" t="s">
        <v>77</v>
      </c>
      <c r="W461" s="15"/>
      <c r="X461" s="15"/>
      <c r="Y461" s="16"/>
      <c r="Z461" s="17"/>
      <c r="AA461" s="18"/>
      <c r="AB461" s="75">
        <v>381.76</v>
      </c>
      <c r="AC461" s="20">
        <v>14.062809610717807</v>
      </c>
      <c r="AD461" s="21">
        <v>45647</v>
      </c>
      <c r="AE461" s="22">
        <v>152373.17942823627</v>
      </c>
      <c r="AF461" s="23">
        <v>85113.735933333432</v>
      </c>
      <c r="AG461" s="24">
        <v>184731.97593333351</v>
      </c>
      <c r="AH461" s="15">
        <v>0.5</v>
      </c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</row>
    <row r="462" spans="1:68" ht="15" customHeight="1" x14ac:dyDescent="0.25">
      <c r="A462" s="1">
        <f t="shared" si="31"/>
        <v>187</v>
      </c>
      <c r="B462" s="1" t="str">
        <f t="shared" si="28"/>
        <v xml:space="preserve">Hawks </v>
      </c>
      <c r="C462" s="1">
        <f t="shared" si="29"/>
        <v>0</v>
      </c>
      <c r="D462" s="2" t="str">
        <f t="shared" si="30"/>
        <v>2024-12</v>
      </c>
      <c r="E462" s="3" t="s">
        <v>416</v>
      </c>
      <c r="F462" s="4" t="s">
        <v>83</v>
      </c>
      <c r="G462" s="39">
        <v>45649</v>
      </c>
      <c r="H462" s="40">
        <v>111</v>
      </c>
      <c r="I462" s="40">
        <v>-137</v>
      </c>
      <c r="J462" s="7">
        <v>138</v>
      </c>
      <c r="K462" s="8">
        <v>7.2214724276236875E-2</v>
      </c>
      <c r="L462" s="9">
        <v>3.0342321124469274E-2</v>
      </c>
      <c r="M462" s="10">
        <v>121.97046413502112</v>
      </c>
      <c r="N462" s="11">
        <v>2.38</v>
      </c>
      <c r="O462" s="12">
        <v>5114.0595888402795</v>
      </c>
      <c r="P462" s="32" t="s">
        <v>75</v>
      </c>
      <c r="Q462" s="81" t="s">
        <v>76</v>
      </c>
      <c r="R462" s="82"/>
      <c r="S462" s="32"/>
      <c r="T462" s="32">
        <v>184.75</v>
      </c>
      <c r="U462" s="32">
        <v>184.75</v>
      </c>
      <c r="V462" s="74" t="s">
        <v>77</v>
      </c>
      <c r="W462" s="15"/>
      <c r="X462" s="15"/>
      <c r="Y462" s="16"/>
      <c r="Z462" s="17"/>
      <c r="AA462" s="18"/>
      <c r="AB462" s="75">
        <v>254.96</v>
      </c>
      <c r="AC462" s="20">
        <v>13.341670310034763</v>
      </c>
      <c r="AD462" s="21">
        <v>45649</v>
      </c>
      <c r="AE462" s="22">
        <v>156588.56365921712</v>
      </c>
      <c r="AF462" s="23">
        <v>95711.005933333436</v>
      </c>
      <c r="AG462" s="24">
        <v>195456.04593333355</v>
      </c>
      <c r="AH462" s="15">
        <v>0.5</v>
      </c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</row>
    <row r="463" spans="1:68" ht="15" customHeight="1" x14ac:dyDescent="0.25">
      <c r="A463" s="1">
        <f t="shared" si="31"/>
        <v>188</v>
      </c>
      <c r="B463" s="1" t="str">
        <f t="shared" si="28"/>
        <v xml:space="preserve">Heat </v>
      </c>
      <c r="C463" s="1">
        <f t="shared" si="29"/>
        <v>0</v>
      </c>
      <c r="D463" s="2" t="str">
        <f t="shared" si="30"/>
        <v>2024-12</v>
      </c>
      <c r="E463" s="3" t="s">
        <v>417</v>
      </c>
      <c r="F463" s="4" t="s">
        <v>83</v>
      </c>
      <c r="G463" s="39">
        <v>45649</v>
      </c>
      <c r="H463" s="40">
        <v>108</v>
      </c>
      <c r="I463" s="40">
        <v>-144</v>
      </c>
      <c r="J463" s="7">
        <v>130</v>
      </c>
      <c r="K463" s="8">
        <v>3.2528701795701921E-2</v>
      </c>
      <c r="L463" s="9">
        <v>1.4142913824218228E-2</v>
      </c>
      <c r="M463" s="10">
        <v>122.75409836065573</v>
      </c>
      <c r="N463" s="11">
        <v>2.2999999999999998</v>
      </c>
      <c r="O463" s="12">
        <v>2440.0850904229123</v>
      </c>
      <c r="P463" s="32" t="s">
        <v>75</v>
      </c>
      <c r="Q463" s="81" t="s">
        <v>76</v>
      </c>
      <c r="R463" s="82"/>
      <c r="S463" s="32"/>
      <c r="T463" s="32">
        <v>195.75</v>
      </c>
      <c r="U463" s="32">
        <v>195.75</v>
      </c>
      <c r="V463" s="74" t="s">
        <v>77</v>
      </c>
      <c r="W463" s="15"/>
      <c r="X463" s="15"/>
      <c r="Y463" s="16"/>
      <c r="Z463" s="17"/>
      <c r="AA463" s="18"/>
      <c r="AB463" s="75">
        <v>254.48</v>
      </c>
      <c r="AC463" s="20">
        <v>6.3674933765086514</v>
      </c>
      <c r="AD463" s="21">
        <v>45649</v>
      </c>
      <c r="AE463" s="22">
        <v>156475.01724134901</v>
      </c>
      <c r="AF463" s="23">
        <v>95289.045933333429</v>
      </c>
      <c r="AG463" s="24">
        <v>195034.56593333354</v>
      </c>
      <c r="AH463" s="15">
        <v>0.5</v>
      </c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</row>
    <row r="464" spans="1:68" ht="15" customHeight="1" x14ac:dyDescent="0.25">
      <c r="A464" s="1">
        <f t="shared" si="31"/>
        <v>189</v>
      </c>
      <c r="B464" s="1" t="str">
        <f t="shared" si="28"/>
        <v xml:space="preserve">Knicks </v>
      </c>
      <c r="C464" s="1">
        <f t="shared" si="29"/>
        <v>0</v>
      </c>
      <c r="D464" s="2" t="str">
        <f t="shared" si="30"/>
        <v>2024-12</v>
      </c>
      <c r="E464" s="3" t="s">
        <v>418</v>
      </c>
      <c r="F464" s="4" t="s">
        <v>83</v>
      </c>
      <c r="G464" s="39">
        <v>45649</v>
      </c>
      <c r="H464" s="40">
        <v>-138</v>
      </c>
      <c r="I464" s="40">
        <v>113</v>
      </c>
      <c r="J464" s="7">
        <v>-109</v>
      </c>
      <c r="K464" s="8">
        <v>5.9536272456747558E-2</v>
      </c>
      <c r="L464" s="9">
        <v>3.1050017692753507E-2</v>
      </c>
      <c r="M464" s="10">
        <v>-123.50420168067228</v>
      </c>
      <c r="N464" s="11">
        <v>1.9174311926605505</v>
      </c>
      <c r="O464" s="12">
        <v>6175.2874313068132</v>
      </c>
      <c r="P464" s="32" t="s">
        <v>75</v>
      </c>
      <c r="Q464" s="81" t="s">
        <v>76</v>
      </c>
      <c r="R464" s="82"/>
      <c r="S464" s="32"/>
      <c r="T464" s="32">
        <v>691.75</v>
      </c>
      <c r="U464" s="32">
        <v>691.75</v>
      </c>
      <c r="V464" s="74" t="s">
        <v>77</v>
      </c>
      <c r="W464" s="15"/>
      <c r="X464" s="15"/>
      <c r="Y464" s="16"/>
      <c r="Z464" s="17"/>
      <c r="AA464" s="18"/>
      <c r="AB464" s="75">
        <v>634.63</v>
      </c>
      <c r="AC464" s="20">
        <v>41.184216471955125</v>
      </c>
      <c r="AD464" s="21">
        <v>45649</v>
      </c>
      <c r="AE464" s="22">
        <v>155911.25052229172</v>
      </c>
      <c r="AF464" s="23">
        <v>90952.26593333343</v>
      </c>
      <c r="AG464" s="24">
        <v>190317.63593333354</v>
      </c>
      <c r="AH464" s="15">
        <v>0.5</v>
      </c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</row>
    <row r="465" spans="1:68" ht="15" customHeight="1" x14ac:dyDescent="0.25">
      <c r="A465" s="1">
        <f t="shared" si="31"/>
        <v>189</v>
      </c>
      <c r="B465" s="1" t="str">
        <f t="shared" si="28"/>
        <v xml:space="preserve">Knicks </v>
      </c>
      <c r="C465" s="1">
        <f t="shared" si="29"/>
        <v>0</v>
      </c>
      <c r="D465" s="2" t="str">
        <f t="shared" si="30"/>
        <v>2024-12</v>
      </c>
      <c r="E465" s="3" t="s">
        <v>419</v>
      </c>
      <c r="F465" s="4" t="s">
        <v>83</v>
      </c>
      <c r="G465" s="39">
        <v>45649</v>
      </c>
      <c r="H465" s="40">
        <v>-132</v>
      </c>
      <c r="I465" s="40">
        <v>121</v>
      </c>
      <c r="J465" s="7">
        <v>-117</v>
      </c>
      <c r="K465" s="8">
        <v>3.309656559484718E-2</v>
      </c>
      <c r="L465" s="9">
        <v>1.7844692048834654E-2</v>
      </c>
      <c r="M465" s="10">
        <v>-125.74137931034484</v>
      </c>
      <c r="N465" s="11">
        <v>1.8547008547008548</v>
      </c>
      <c r="O465" s="12">
        <v>3697.1205540441565</v>
      </c>
      <c r="P465" s="32" t="s">
        <v>75</v>
      </c>
      <c r="Q465" s="81" t="s">
        <v>76</v>
      </c>
      <c r="R465" s="82"/>
      <c r="S465" s="32"/>
      <c r="T465" s="32">
        <v>740.25</v>
      </c>
      <c r="U465" s="32">
        <v>740.25</v>
      </c>
      <c r="V465" s="74" t="s">
        <v>77</v>
      </c>
      <c r="W465" s="15"/>
      <c r="X465" s="15"/>
      <c r="Y465" s="16"/>
      <c r="Z465" s="17"/>
      <c r="AA465" s="18"/>
      <c r="AB465" s="75">
        <v>632.69000000000005</v>
      </c>
      <c r="AC465" s="20">
        <v>24.499732681585623</v>
      </c>
      <c r="AD465" s="21">
        <v>45649</v>
      </c>
      <c r="AE465" s="22">
        <v>155935.7502549733</v>
      </c>
      <c r="AF465" s="23">
        <v>91584.955933333433</v>
      </c>
      <c r="AG465" s="24">
        <v>190952.26593333355</v>
      </c>
      <c r="AH465" s="15">
        <v>0.5</v>
      </c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</row>
    <row r="466" spans="1:68" ht="15" customHeight="1" x14ac:dyDescent="0.25">
      <c r="A466" s="1">
        <f t="shared" si="31"/>
        <v>190</v>
      </c>
      <c r="B466" s="1" t="str">
        <f t="shared" si="28"/>
        <v xml:space="preserve">Rockets </v>
      </c>
      <c r="C466" s="1">
        <f t="shared" si="29"/>
        <v>0</v>
      </c>
      <c r="D466" s="2" t="str">
        <f t="shared" si="30"/>
        <v>2024-12</v>
      </c>
      <c r="E466" s="3" t="s">
        <v>420</v>
      </c>
      <c r="F466" s="4" t="s">
        <v>83</v>
      </c>
      <c r="G466" s="39">
        <v>45649</v>
      </c>
      <c r="H466" s="40">
        <v>-111</v>
      </c>
      <c r="I466" s="40">
        <v>123</v>
      </c>
      <c r="J466" s="7">
        <v>-117</v>
      </c>
      <c r="K466" s="8">
        <v>1.2302413453920188E-3</v>
      </c>
      <c r="L466" s="9">
        <v>6.633098498196599E-4</v>
      </c>
      <c r="M466" s="10">
        <v>-117.31279620853081</v>
      </c>
      <c r="N466" s="11">
        <v>1.8547008547008548</v>
      </c>
      <c r="O466" s="12">
        <v>140.37510818922303</v>
      </c>
      <c r="P466" s="32" t="s">
        <v>75</v>
      </c>
      <c r="Q466" s="81" t="s">
        <v>76</v>
      </c>
      <c r="R466" s="82"/>
      <c r="S466" s="32"/>
      <c r="T466" s="32">
        <v>436.25</v>
      </c>
      <c r="U466" s="32">
        <v>436.25</v>
      </c>
      <c r="V466" s="74" t="s">
        <v>82</v>
      </c>
      <c r="W466" s="15"/>
      <c r="X466" s="15"/>
      <c r="Y466" s="16"/>
      <c r="Z466" s="17"/>
      <c r="AA466" s="18"/>
      <c r="AB466" s="75">
        <v>-436.25</v>
      </c>
      <c r="AC466" s="20">
        <v>0.53669278692726818</v>
      </c>
      <c r="AD466" s="21">
        <v>45649</v>
      </c>
      <c r="AE466" s="22">
        <v>156138.65409311946</v>
      </c>
      <c r="AF466" s="23">
        <v>94612.835933333437</v>
      </c>
      <c r="AG466" s="24">
        <v>195049.08593333355</v>
      </c>
      <c r="AH466" s="15">
        <v>0.5</v>
      </c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</row>
    <row r="467" spans="1:68" ht="15" customHeight="1" x14ac:dyDescent="0.25">
      <c r="A467" s="1">
        <f t="shared" si="31"/>
        <v>191</v>
      </c>
      <c r="B467" s="1" t="str">
        <f t="shared" si="28"/>
        <v xml:space="preserve">Spurs </v>
      </c>
      <c r="C467" s="1">
        <f t="shared" si="29"/>
        <v>0</v>
      </c>
      <c r="D467" s="2" t="str">
        <f t="shared" si="30"/>
        <v>2024-12</v>
      </c>
      <c r="E467" s="3" t="s">
        <v>421</v>
      </c>
      <c r="F467" s="4" t="s">
        <v>83</v>
      </c>
      <c r="G467" s="39">
        <v>45649</v>
      </c>
      <c r="H467" s="40">
        <v>-108</v>
      </c>
      <c r="I467" s="40">
        <v>103</v>
      </c>
      <c r="J467" s="7">
        <v>106</v>
      </c>
      <c r="K467" s="8">
        <v>5.7097650032768447E-2</v>
      </c>
      <c r="L467" s="9">
        <v>2.7717305841149731E-2</v>
      </c>
      <c r="M467" s="10">
        <v>-105.40384615384615</v>
      </c>
      <c r="N467" s="11">
        <v>2.06</v>
      </c>
      <c r="O467" s="12">
        <v>5232.6545061192583</v>
      </c>
      <c r="P467" s="32" t="s">
        <v>75</v>
      </c>
      <c r="Q467" s="81" t="s">
        <v>76</v>
      </c>
      <c r="R467" s="82"/>
      <c r="S467" s="32"/>
      <c r="T467" s="32">
        <v>360.25</v>
      </c>
      <c r="U467" s="32">
        <v>360.25</v>
      </c>
      <c r="V467" s="74" t="s">
        <v>77</v>
      </c>
      <c r="W467" s="15"/>
      <c r="X467" s="15"/>
      <c r="Y467" s="16"/>
      <c r="Z467" s="17"/>
      <c r="AA467" s="18"/>
      <c r="AB467" s="75">
        <v>381.87</v>
      </c>
      <c r="AC467" s="20">
        <v>20.569428424304832</v>
      </c>
      <c r="AD467" s="21">
        <v>45649</v>
      </c>
      <c r="AE467" s="22">
        <v>156116.52152069498</v>
      </c>
      <c r="AF467" s="23">
        <v>94667.055933333439</v>
      </c>
      <c r="AG467" s="24">
        <v>194285.18593333356</v>
      </c>
      <c r="AH467" s="15">
        <v>0.5</v>
      </c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</row>
    <row r="468" spans="1:68" ht="15" customHeight="1" x14ac:dyDescent="0.25">
      <c r="A468" s="1">
        <f t="shared" si="31"/>
        <v>191</v>
      </c>
      <c r="B468" s="1" t="str">
        <f t="shared" si="28"/>
        <v xml:space="preserve">Spurs </v>
      </c>
      <c r="C468" s="1">
        <f t="shared" si="29"/>
        <v>0</v>
      </c>
      <c r="D468" s="2" t="str">
        <f t="shared" si="30"/>
        <v>2024-12</v>
      </c>
      <c r="E468" s="3" t="s">
        <v>422</v>
      </c>
      <c r="F468" s="4" t="s">
        <v>83</v>
      </c>
      <c r="G468" s="39">
        <v>45649</v>
      </c>
      <c r="H468" s="40">
        <v>-106</v>
      </c>
      <c r="I468" s="40">
        <v>-116</v>
      </c>
      <c r="J468" s="7">
        <v>118</v>
      </c>
      <c r="K468" s="8">
        <v>6.6705419729868182E-2</v>
      </c>
      <c r="L468" s="9">
        <v>3.0598816389847794E-2</v>
      </c>
      <c r="M468" s="10">
        <v>104.36757512229211</v>
      </c>
      <c r="N468" s="11">
        <v>2.1799999999999997</v>
      </c>
      <c r="O468" s="12">
        <v>5502.2659633943831</v>
      </c>
      <c r="P468" s="32" t="s">
        <v>75</v>
      </c>
      <c r="Q468" s="81" t="s">
        <v>76</v>
      </c>
      <c r="R468" s="82"/>
      <c r="S468" s="32"/>
      <c r="T468" s="32">
        <v>323.75</v>
      </c>
      <c r="U468" s="32">
        <v>323.75</v>
      </c>
      <c r="V468" s="74" t="s">
        <v>77</v>
      </c>
      <c r="W468" s="15"/>
      <c r="X468" s="15"/>
      <c r="Y468" s="16"/>
      <c r="Z468" s="17"/>
      <c r="AA468" s="18"/>
      <c r="AB468" s="75">
        <v>382.03</v>
      </c>
      <c r="AC468" s="20">
        <v>21.595879637544822</v>
      </c>
      <c r="AD468" s="21">
        <v>45649</v>
      </c>
      <c r="AE468" s="22">
        <v>156138.11740033253</v>
      </c>
      <c r="AF468" s="23">
        <v>95049.085933333437</v>
      </c>
      <c r="AG468" s="24">
        <v>194667.05593333356</v>
      </c>
      <c r="AH468" s="15">
        <v>0.5</v>
      </c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</row>
    <row r="469" spans="1:68" ht="15" customHeight="1" x14ac:dyDescent="0.25">
      <c r="A469" s="1">
        <f t="shared" si="31"/>
        <v>191</v>
      </c>
      <c r="B469" s="1" t="str">
        <f t="shared" si="28"/>
        <v xml:space="preserve">Spurs </v>
      </c>
      <c r="C469" s="1">
        <f t="shared" si="29"/>
        <v>0</v>
      </c>
      <c r="D469" s="2" t="str">
        <f t="shared" si="30"/>
        <v>2024-12</v>
      </c>
      <c r="E469" s="3" t="s">
        <v>423</v>
      </c>
      <c r="F469" s="4" t="s">
        <v>83</v>
      </c>
      <c r="G469" s="39">
        <v>45649</v>
      </c>
      <c r="H469" s="40">
        <v>-104</v>
      </c>
      <c r="I469" s="40">
        <v>-112</v>
      </c>
      <c r="J469" s="7">
        <v>130</v>
      </c>
      <c r="K469" s="8">
        <v>0.12950819672131145</v>
      </c>
      <c r="L469" s="9">
        <v>5.6307911617961504E-2</v>
      </c>
      <c r="M469" s="10">
        <v>103.62844702467342</v>
      </c>
      <c r="N469" s="11">
        <v>2.2999999999999998</v>
      </c>
      <c r="O469" s="12">
        <v>9718.7352072719732</v>
      </c>
      <c r="P469" s="32" t="s">
        <v>75</v>
      </c>
      <c r="Q469" s="81" t="s">
        <v>76</v>
      </c>
      <c r="R469" s="82"/>
      <c r="S469" s="32"/>
      <c r="T469" s="32">
        <v>288.25</v>
      </c>
      <c r="U469" s="32">
        <v>288.25</v>
      </c>
      <c r="V469" s="74" t="s">
        <v>77</v>
      </c>
      <c r="W469" s="15"/>
      <c r="X469" s="15"/>
      <c r="Y469" s="16"/>
      <c r="Z469" s="17"/>
      <c r="AA469" s="18"/>
      <c r="AB469" s="75">
        <v>374.73</v>
      </c>
      <c r="AC469" s="20">
        <v>37.330737704918022</v>
      </c>
      <c r="AD469" s="21">
        <v>45649</v>
      </c>
      <c r="AE469" s="22">
        <v>156196.68199858034</v>
      </c>
      <c r="AF469" s="23">
        <v>95487.565933333433</v>
      </c>
      <c r="AG469" s="24">
        <v>195112.83593333355</v>
      </c>
      <c r="AH469" s="15">
        <v>0.5</v>
      </c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</row>
    <row r="470" spans="1:68" ht="15" customHeight="1" x14ac:dyDescent="0.25">
      <c r="A470" s="1">
        <f t="shared" si="31"/>
        <v>191</v>
      </c>
      <c r="B470" s="1" t="str">
        <f t="shared" si="28"/>
        <v xml:space="preserve">Spurs </v>
      </c>
      <c r="C470" s="1">
        <f t="shared" si="29"/>
        <v>0</v>
      </c>
      <c r="D470" s="2" t="str">
        <f t="shared" si="30"/>
        <v>2024-12</v>
      </c>
      <c r="E470" s="3" t="s">
        <v>424</v>
      </c>
      <c r="F470" s="4" t="s">
        <v>83</v>
      </c>
      <c r="G470" s="39">
        <v>45649</v>
      </c>
      <c r="H470" s="40">
        <v>-117</v>
      </c>
      <c r="I470" s="40">
        <v>-101</v>
      </c>
      <c r="J470" s="7">
        <v>118</v>
      </c>
      <c r="K470" s="8">
        <v>0.1283853501782804</v>
      </c>
      <c r="L470" s="9">
        <v>5.8892362467101111E-2</v>
      </c>
      <c r="M470" s="10">
        <v>-107.30026919742666</v>
      </c>
      <c r="N470" s="11">
        <v>2.1799999999999997</v>
      </c>
      <c r="O470" s="12">
        <v>10634.635427055387</v>
      </c>
      <c r="P470" s="32" t="s">
        <v>75</v>
      </c>
      <c r="Q470" s="81" t="s">
        <v>76</v>
      </c>
      <c r="R470" s="82"/>
      <c r="S470" s="32"/>
      <c r="T470" s="32">
        <v>312.75</v>
      </c>
      <c r="U470" s="32">
        <v>312.75</v>
      </c>
      <c r="V470" s="74" t="s">
        <v>77</v>
      </c>
      <c r="W470" s="15"/>
      <c r="X470" s="15"/>
      <c r="Y470" s="16"/>
      <c r="Z470" s="17"/>
      <c r="AA470" s="18"/>
      <c r="AB470" s="75">
        <v>369.05</v>
      </c>
      <c r="AC470" s="20">
        <v>40.152518268257197</v>
      </c>
      <c r="AD470" s="21">
        <v>45649</v>
      </c>
      <c r="AE470" s="22">
        <v>156236.83451684861</v>
      </c>
      <c r="AF470" s="23">
        <v>95856.615933333436</v>
      </c>
      <c r="AG470" s="24">
        <v>195487.56593333356</v>
      </c>
      <c r="AH470" s="15">
        <v>0.5</v>
      </c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</row>
    <row r="471" spans="1:68" ht="15" customHeight="1" x14ac:dyDescent="0.25">
      <c r="A471" s="1">
        <f t="shared" si="31"/>
        <v>192</v>
      </c>
      <c r="B471" s="1" t="str">
        <f t="shared" si="28"/>
        <v xml:space="preserve">Suns </v>
      </c>
      <c r="C471" s="1">
        <f t="shared" si="29"/>
        <v>1</v>
      </c>
      <c r="D471" s="2" t="str">
        <f t="shared" si="30"/>
        <v>2024-12</v>
      </c>
      <c r="E471" s="3" t="s">
        <v>425</v>
      </c>
      <c r="F471" s="4" t="s">
        <v>83</v>
      </c>
      <c r="G471" s="39">
        <v>45649</v>
      </c>
      <c r="H471" s="40">
        <v>-118</v>
      </c>
      <c r="I471" s="40">
        <v>112</v>
      </c>
      <c r="J471" s="7">
        <v>-107</v>
      </c>
      <c r="K471" s="8">
        <v>3.3737167898505942E-2</v>
      </c>
      <c r="L471" s="9">
        <v>1.7439019155266355E-2</v>
      </c>
      <c r="M471" s="10">
        <v>-114.75229357798166</v>
      </c>
      <c r="N471" s="11">
        <v>1.9345794392523366</v>
      </c>
      <c r="O471" s="12">
        <v>3457.9905964556433</v>
      </c>
      <c r="P471" s="32" t="s">
        <v>75</v>
      </c>
      <c r="Q471" s="81" t="s">
        <v>92</v>
      </c>
      <c r="R471" s="82"/>
      <c r="S471" s="32"/>
      <c r="T471" s="32">
        <v>162.75</v>
      </c>
      <c r="U471" s="32">
        <v>162.75</v>
      </c>
      <c r="V471" s="74" t="s">
        <v>77</v>
      </c>
      <c r="W471" s="15"/>
      <c r="X471" s="15"/>
      <c r="Y471" s="16"/>
      <c r="Z471" s="17"/>
      <c r="AA471" s="18"/>
      <c r="AB471" s="75">
        <v>152.1</v>
      </c>
      <c r="AC471" s="20">
        <v>5.4907240754818423</v>
      </c>
      <c r="AD471" s="21">
        <v>45649</v>
      </c>
      <c r="AE471" s="22">
        <v>155941.24097904877</v>
      </c>
      <c r="AF471" s="23">
        <v>91737.055933333439</v>
      </c>
      <c r="AG471" s="24">
        <v>191584.95593333355</v>
      </c>
      <c r="AH471" s="15">
        <v>0.5</v>
      </c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</row>
    <row r="472" spans="1:68" ht="15" customHeight="1" x14ac:dyDescent="0.25">
      <c r="A472" s="1">
        <f t="shared" si="31"/>
        <v>193</v>
      </c>
      <c r="B472" s="1" t="str">
        <f t="shared" si="28"/>
        <v xml:space="preserve">Wizards </v>
      </c>
      <c r="C472" s="1">
        <f t="shared" si="29"/>
        <v>1</v>
      </c>
      <c r="D472" s="2" t="str">
        <f t="shared" si="30"/>
        <v>2024-12</v>
      </c>
      <c r="E472" s="3" t="s">
        <v>426</v>
      </c>
      <c r="F472" s="4" t="s">
        <v>83</v>
      </c>
      <c r="G472" s="39">
        <v>45649</v>
      </c>
      <c r="H472" s="40">
        <v>-110</v>
      </c>
      <c r="I472" s="40">
        <v>-120</v>
      </c>
      <c r="J472" s="7">
        <v>120</v>
      </c>
      <c r="K472" s="8">
        <v>7.7732793522267404E-2</v>
      </c>
      <c r="L472" s="9">
        <v>3.5333087964666998E-2</v>
      </c>
      <c r="M472" s="10">
        <v>104.13223140495865</v>
      </c>
      <c r="N472" s="11">
        <v>2.2000000000000002</v>
      </c>
      <c r="O472" s="12">
        <v>6341.3456172739761</v>
      </c>
      <c r="P472" s="32" t="s">
        <v>75</v>
      </c>
      <c r="Q472" s="81" t="s">
        <v>92</v>
      </c>
      <c r="R472" s="82"/>
      <c r="S472" s="32"/>
      <c r="T472" s="32">
        <v>159.25</v>
      </c>
      <c r="U472" s="32">
        <v>159.25</v>
      </c>
      <c r="V472" s="74" t="s">
        <v>82</v>
      </c>
      <c r="W472" s="15"/>
      <c r="X472" s="15"/>
      <c r="Y472" s="16"/>
      <c r="Z472" s="17"/>
      <c r="AA472" s="18"/>
      <c r="AB472" s="75">
        <v>-159.25</v>
      </c>
      <c r="AC472" s="20">
        <v>12.378947368421084</v>
      </c>
      <c r="AD472" s="21">
        <v>45649</v>
      </c>
      <c r="AE472" s="22">
        <v>156562.29175634895</v>
      </c>
      <c r="AF472" s="23">
        <v>95629.795933333429</v>
      </c>
      <c r="AG472" s="24">
        <v>195789.04593333355</v>
      </c>
      <c r="AH472" s="15">
        <v>0.5</v>
      </c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</row>
    <row r="473" spans="1:68" ht="15" customHeight="1" x14ac:dyDescent="0.25">
      <c r="A473" s="1">
        <f t="shared" si="31"/>
        <v>193</v>
      </c>
      <c r="B473" s="1" t="str">
        <f t="shared" si="28"/>
        <v xml:space="preserve">Wizards </v>
      </c>
      <c r="C473" s="1">
        <f t="shared" si="29"/>
        <v>1</v>
      </c>
      <c r="D473" s="2" t="str">
        <f t="shared" si="30"/>
        <v>2024-12</v>
      </c>
      <c r="E473" s="3" t="s">
        <v>427</v>
      </c>
      <c r="F473" s="4" t="s">
        <v>83</v>
      </c>
      <c r="G473" s="39">
        <v>45649</v>
      </c>
      <c r="H473" s="40">
        <v>-110</v>
      </c>
      <c r="I473" s="40">
        <v>-100</v>
      </c>
      <c r="J473" s="7">
        <v>110</v>
      </c>
      <c r="K473" s="8">
        <v>7.4418604651162887E-2</v>
      </c>
      <c r="L473" s="9">
        <v>3.5437430786268043E-2</v>
      </c>
      <c r="M473" s="10">
        <v>-104.76190476190477</v>
      </c>
      <c r="N473" s="11">
        <v>2.1</v>
      </c>
      <c r="O473" s="12">
        <v>6617.4983825229192</v>
      </c>
      <c r="P473" s="32" t="s">
        <v>75</v>
      </c>
      <c r="Q473" s="81" t="s">
        <v>92</v>
      </c>
      <c r="R473" s="82"/>
      <c r="S473" s="32"/>
      <c r="T473" s="32">
        <v>173.75</v>
      </c>
      <c r="U473" s="32">
        <v>173.75</v>
      </c>
      <c r="V473" s="74" t="s">
        <v>82</v>
      </c>
      <c r="W473" s="15"/>
      <c r="X473" s="15"/>
      <c r="Y473" s="16"/>
      <c r="Z473" s="17"/>
      <c r="AA473" s="18"/>
      <c r="AB473" s="75">
        <v>-173.75</v>
      </c>
      <c r="AC473" s="20">
        <v>12.930232558139551</v>
      </c>
      <c r="AD473" s="21">
        <v>45649</v>
      </c>
      <c r="AE473" s="22">
        <v>156575.22198890708</v>
      </c>
      <c r="AF473" s="23">
        <v>95456.045933333429</v>
      </c>
      <c r="AG473" s="24">
        <v>195629.79593333355</v>
      </c>
      <c r="AH473" s="15">
        <v>0.5</v>
      </c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</row>
    <row r="474" spans="1:68" ht="15" customHeight="1" x14ac:dyDescent="0.25">
      <c r="A474" s="1">
        <f t="shared" si="31"/>
        <v>194</v>
      </c>
      <c r="B474" s="1" t="str">
        <f t="shared" si="28"/>
        <v xml:space="preserve">76ers </v>
      </c>
      <c r="C474" s="1">
        <f t="shared" si="29"/>
        <v>0</v>
      </c>
      <c r="D474" s="2" t="str">
        <f t="shared" si="30"/>
        <v>2024-12</v>
      </c>
      <c r="E474" s="3" t="s">
        <v>428</v>
      </c>
      <c r="F474" s="4" t="s">
        <v>83</v>
      </c>
      <c r="G474" s="39">
        <v>45651</v>
      </c>
      <c r="H474" s="40">
        <v>109</v>
      </c>
      <c r="I474" s="40">
        <v>-134</v>
      </c>
      <c r="J474" s="7">
        <v>140</v>
      </c>
      <c r="K474" s="8">
        <v>9.2479477103840232E-2</v>
      </c>
      <c r="L474" s="9">
        <v>3.8533115459933431E-2</v>
      </c>
      <c r="M474" s="10">
        <v>119.68376068376065</v>
      </c>
      <c r="N474" s="11">
        <v>2.4</v>
      </c>
      <c r="O474" s="12">
        <v>6824.210430043393</v>
      </c>
      <c r="P474" s="32" t="s">
        <v>75</v>
      </c>
      <c r="Q474" s="81" t="s">
        <v>76</v>
      </c>
      <c r="R474" s="82"/>
      <c r="S474" s="32"/>
      <c r="T474" s="32">
        <v>181.75</v>
      </c>
      <c r="U474" s="32">
        <v>181.75</v>
      </c>
      <c r="V474" s="74" t="s">
        <v>82</v>
      </c>
      <c r="W474" s="15"/>
      <c r="X474" s="15"/>
      <c r="Y474" s="16"/>
      <c r="Z474" s="17"/>
      <c r="AA474" s="18"/>
      <c r="AB474" s="75">
        <v>-181.75</v>
      </c>
      <c r="AC474" s="20">
        <v>16.808144963622961</v>
      </c>
      <c r="AD474" s="21">
        <v>45651</v>
      </c>
      <c r="AE474" s="22">
        <v>158359.0068604415</v>
      </c>
      <c r="AF474" s="23">
        <v>106434.78593333343</v>
      </c>
      <c r="AG474" s="24">
        <v>206616.53593333351</v>
      </c>
      <c r="AH474" s="15">
        <v>0.5</v>
      </c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</row>
    <row r="475" spans="1:68" ht="15" customHeight="1" x14ac:dyDescent="0.25">
      <c r="A475" s="1">
        <f t="shared" si="31"/>
        <v>194</v>
      </c>
      <c r="B475" s="1" t="str">
        <f t="shared" si="28"/>
        <v xml:space="preserve">76ers </v>
      </c>
      <c r="C475" s="1">
        <f t="shared" si="29"/>
        <v>0</v>
      </c>
      <c r="D475" s="2" t="str">
        <f t="shared" si="30"/>
        <v>2024-12</v>
      </c>
      <c r="E475" s="3" t="s">
        <v>429</v>
      </c>
      <c r="F475" s="4" t="s">
        <v>83</v>
      </c>
      <c r="G475" s="39">
        <v>45651</v>
      </c>
      <c r="H475" s="40">
        <v>104</v>
      </c>
      <c r="I475" s="40">
        <v>-128</v>
      </c>
      <c r="J475" s="7">
        <v>138</v>
      </c>
      <c r="K475" s="8">
        <v>0.10942100098135422</v>
      </c>
      <c r="L475" s="9">
        <v>4.5975210496367325E-2</v>
      </c>
      <c r="M475" s="10">
        <v>114.52631578947368</v>
      </c>
      <c r="N475" s="11">
        <v>2.38</v>
      </c>
      <c r="O475" s="12">
        <v>8197.6067512788468</v>
      </c>
      <c r="P475" s="32" t="s">
        <v>75</v>
      </c>
      <c r="Q475" s="81" t="s">
        <v>76</v>
      </c>
      <c r="R475" s="82"/>
      <c r="S475" s="32"/>
      <c r="T475" s="32">
        <v>184.75</v>
      </c>
      <c r="U475" s="32">
        <v>184.75</v>
      </c>
      <c r="V475" s="74" t="s">
        <v>82</v>
      </c>
      <c r="W475" s="15"/>
      <c r="X475" s="15"/>
      <c r="Y475" s="16"/>
      <c r="Z475" s="17"/>
      <c r="AA475" s="18"/>
      <c r="AB475" s="75">
        <v>-184.75</v>
      </c>
      <c r="AC475" s="20">
        <v>20.215529931305191</v>
      </c>
      <c r="AD475" s="21">
        <v>45651</v>
      </c>
      <c r="AE475" s="22">
        <v>158427.74699247911</v>
      </c>
      <c r="AF475" s="23">
        <v>106589.03593333343</v>
      </c>
      <c r="AG475" s="24">
        <v>206773.78593333351</v>
      </c>
      <c r="AH475" s="15">
        <v>0.5</v>
      </c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</row>
    <row r="476" spans="1:68" ht="15" customHeight="1" x14ac:dyDescent="0.25">
      <c r="A476" s="1">
        <f t="shared" si="31"/>
        <v>194</v>
      </c>
      <c r="B476" s="1" t="str">
        <f t="shared" si="28"/>
        <v xml:space="preserve">76ers </v>
      </c>
      <c r="C476" s="1">
        <f t="shared" si="29"/>
        <v>0</v>
      </c>
      <c r="D476" s="2" t="str">
        <f t="shared" si="30"/>
        <v>2024-12</v>
      </c>
      <c r="E476" s="3" t="s">
        <v>430</v>
      </c>
      <c r="F476" s="4" t="s">
        <v>83</v>
      </c>
      <c r="G476" s="39">
        <v>45651</v>
      </c>
      <c r="H476" s="40">
        <v>-103</v>
      </c>
      <c r="I476" s="40">
        <v>-104</v>
      </c>
      <c r="J476" s="7">
        <v>110</v>
      </c>
      <c r="K476" s="8">
        <v>4.7507359225144694E-2</v>
      </c>
      <c r="L476" s="9">
        <v>2.2622552011973662E-2</v>
      </c>
      <c r="M476" s="10">
        <v>100.47591852274891</v>
      </c>
      <c r="N476" s="11">
        <v>2.1</v>
      </c>
      <c r="O476" s="12">
        <v>4461.1361554823634</v>
      </c>
      <c r="P476" s="32" t="s">
        <v>75</v>
      </c>
      <c r="Q476" s="81" t="s">
        <v>76</v>
      </c>
      <c r="R476" s="82"/>
      <c r="S476" s="32"/>
      <c r="T476" s="32">
        <v>231.75</v>
      </c>
      <c r="U476" s="32">
        <v>231.75</v>
      </c>
      <c r="V476" s="74" t="s">
        <v>82</v>
      </c>
      <c r="W476" s="15"/>
      <c r="X476" s="15"/>
      <c r="Y476" s="16"/>
      <c r="Z476" s="17"/>
      <c r="AA476" s="18"/>
      <c r="AB476" s="75">
        <v>-231.75</v>
      </c>
      <c r="AC476" s="20">
        <v>11.009830500427283</v>
      </c>
      <c r="AD476" s="21">
        <v>45651</v>
      </c>
      <c r="AE476" s="22">
        <v>158438.75682297954</v>
      </c>
      <c r="AF476" s="23">
        <v>106357.28593333343</v>
      </c>
      <c r="AG476" s="24">
        <v>206589.03593333351</v>
      </c>
      <c r="AH476" s="15">
        <v>0.5</v>
      </c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</row>
    <row r="477" spans="1:68" ht="15" customHeight="1" x14ac:dyDescent="0.25">
      <c r="A477" s="1">
        <f t="shared" si="31"/>
        <v>195</v>
      </c>
      <c r="B477" s="1" t="str">
        <f t="shared" si="28"/>
        <v xml:space="preserve">Celtics </v>
      </c>
      <c r="C477" s="1">
        <f t="shared" si="29"/>
        <v>0</v>
      </c>
      <c r="D477" s="2" t="str">
        <f t="shared" si="30"/>
        <v>2024-12</v>
      </c>
      <c r="E477" s="3" t="s">
        <v>431</v>
      </c>
      <c r="F477" s="4" t="s">
        <v>83</v>
      </c>
      <c r="G477" s="39">
        <v>45651</v>
      </c>
      <c r="H477" s="40">
        <v>920</v>
      </c>
      <c r="I477" s="40">
        <v>-1600</v>
      </c>
      <c r="J477" s="7">
        <v>1700</v>
      </c>
      <c r="K477" s="8">
        <v>0.69811320754716999</v>
      </c>
      <c r="L477" s="9">
        <v>3.8784067085953888E-2</v>
      </c>
      <c r="M477" s="10">
        <v>959.99999999999989</v>
      </c>
      <c r="N477" s="11">
        <v>18</v>
      </c>
      <c r="O477" s="12">
        <v>4238.6720752127312</v>
      </c>
      <c r="P477" s="32" t="s">
        <v>75</v>
      </c>
      <c r="Q477" s="81" t="s">
        <v>81</v>
      </c>
      <c r="R477" s="82"/>
      <c r="S477" s="32"/>
      <c r="T477" s="32">
        <v>14.75</v>
      </c>
      <c r="U477" s="32">
        <v>14.75</v>
      </c>
      <c r="V477" s="74" t="s">
        <v>82</v>
      </c>
      <c r="W477" s="15"/>
      <c r="X477" s="15"/>
      <c r="Y477" s="16"/>
      <c r="Z477" s="17"/>
      <c r="AA477" s="18"/>
      <c r="AB477" s="75">
        <v>-14.75</v>
      </c>
      <c r="AC477" s="20">
        <v>10.297169811320757</v>
      </c>
      <c r="AD477" s="21">
        <v>45651</v>
      </c>
      <c r="AE477" s="22">
        <v>158369.30403025282</v>
      </c>
      <c r="AF477" s="23">
        <v>106420.03593333343</v>
      </c>
      <c r="AG477" s="24">
        <v>206434.78593333351</v>
      </c>
      <c r="AH477" s="15">
        <v>0.5</v>
      </c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</row>
    <row r="478" spans="1:68" ht="15" customHeight="1" x14ac:dyDescent="0.25">
      <c r="A478" s="1">
        <f t="shared" si="31"/>
        <v>195</v>
      </c>
      <c r="B478" s="1" t="str">
        <f t="shared" si="28"/>
        <v xml:space="preserve">Celtics </v>
      </c>
      <c r="C478" s="1">
        <f t="shared" si="29"/>
        <v>0</v>
      </c>
      <c r="D478" s="2" t="str">
        <f t="shared" si="30"/>
        <v>2024-12</v>
      </c>
      <c r="E478" s="3" t="s">
        <v>431</v>
      </c>
      <c r="F478" s="4" t="s">
        <v>83</v>
      </c>
      <c r="G478" s="39">
        <v>45651</v>
      </c>
      <c r="H478" s="40">
        <v>920</v>
      </c>
      <c r="I478" s="40">
        <v>-1600</v>
      </c>
      <c r="J478" s="7">
        <v>1600</v>
      </c>
      <c r="K478" s="8">
        <v>0.60377358490566047</v>
      </c>
      <c r="L478" s="9">
        <v>3.5516093229744736E-2</v>
      </c>
      <c r="M478" s="10">
        <v>959.99999999999989</v>
      </c>
      <c r="N478" s="11">
        <v>17</v>
      </c>
      <c r="O478" s="12">
        <v>3894.7176591195007</v>
      </c>
      <c r="P478" s="32" t="s">
        <v>75</v>
      </c>
      <c r="Q478" s="81" t="s">
        <v>81</v>
      </c>
      <c r="R478" s="82"/>
      <c r="S478" s="32"/>
      <c r="T478" s="32">
        <v>21.25</v>
      </c>
      <c r="U478" s="32">
        <v>21.25</v>
      </c>
      <c r="V478" s="74" t="s">
        <v>82</v>
      </c>
      <c r="W478" s="15"/>
      <c r="X478" s="15"/>
      <c r="Y478" s="16"/>
      <c r="Z478" s="17"/>
      <c r="AA478" s="18"/>
      <c r="AB478" s="75">
        <v>-21.25</v>
      </c>
      <c r="AC478" s="20">
        <v>12.830188679245285</v>
      </c>
      <c r="AD478" s="21">
        <v>45651</v>
      </c>
      <c r="AE478" s="22">
        <v>158382.13421893207</v>
      </c>
      <c r="AF478" s="23">
        <v>106398.78593333343</v>
      </c>
      <c r="AG478" s="24">
        <v>206420.03593333351</v>
      </c>
      <c r="AH478" s="15">
        <v>0.5</v>
      </c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</row>
    <row r="479" spans="1:68" ht="15" customHeight="1" x14ac:dyDescent="0.25">
      <c r="A479" s="1">
        <f t="shared" si="31"/>
        <v>196</v>
      </c>
      <c r="B479" s="1" t="str">
        <f t="shared" si="28"/>
        <v xml:space="preserve">Mavericks </v>
      </c>
      <c r="C479" s="1">
        <f t="shared" si="29"/>
        <v>0</v>
      </c>
      <c r="D479" s="2" t="str">
        <f t="shared" si="30"/>
        <v>2024-12</v>
      </c>
      <c r="E479" s="3" t="s">
        <v>432</v>
      </c>
      <c r="F479" s="4" t="s">
        <v>83</v>
      </c>
      <c r="G479" s="39">
        <v>45651</v>
      </c>
      <c r="H479" s="40">
        <v>-149</v>
      </c>
      <c r="I479" s="40">
        <v>125</v>
      </c>
      <c r="J479" s="7">
        <v>-118</v>
      </c>
      <c r="K479" s="8">
        <v>6.0094427884510714E-2</v>
      </c>
      <c r="L479" s="9">
        <v>3.252817656134066E-2</v>
      </c>
      <c r="M479" s="10">
        <v>-134.63855421686742</v>
      </c>
      <c r="N479" s="11">
        <v>1.847457627118644</v>
      </c>
      <c r="O479" s="12">
        <v>7055.7933554283245</v>
      </c>
      <c r="P479" s="32" t="s">
        <v>75</v>
      </c>
      <c r="Q479" s="81" t="s">
        <v>76</v>
      </c>
      <c r="R479" s="82"/>
      <c r="S479" s="32"/>
      <c r="T479" s="32">
        <v>449.25</v>
      </c>
      <c r="U479" s="32">
        <v>449.25</v>
      </c>
      <c r="V479" s="74" t="s">
        <v>77</v>
      </c>
      <c r="W479" s="15"/>
      <c r="X479" s="15"/>
      <c r="Y479" s="16"/>
      <c r="Z479" s="17"/>
      <c r="AA479" s="18"/>
      <c r="AB479" s="75">
        <v>380.72</v>
      </c>
      <c r="AC479" s="20">
        <v>26.997421727116439</v>
      </c>
      <c r="AD479" s="21">
        <v>45651</v>
      </c>
      <c r="AE479" s="22">
        <v>157887.25013182155</v>
      </c>
      <c r="AF479" s="23">
        <v>99383.725933333422</v>
      </c>
      <c r="AG479" s="24">
        <v>199003.00593333351</v>
      </c>
      <c r="AH479" s="15">
        <v>0.5</v>
      </c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</row>
    <row r="480" spans="1:68" ht="15" customHeight="1" x14ac:dyDescent="0.25">
      <c r="A480" s="1">
        <f t="shared" si="31"/>
        <v>197</v>
      </c>
      <c r="B480" s="1" t="str">
        <f t="shared" si="28"/>
        <v xml:space="preserve">Oakland </v>
      </c>
      <c r="C480" s="1">
        <f t="shared" si="29"/>
        <v>1</v>
      </c>
      <c r="D480" s="2" t="str">
        <f t="shared" si="30"/>
        <v>2024-12</v>
      </c>
      <c r="E480" s="3" t="s">
        <v>433</v>
      </c>
      <c r="F480" s="4" t="s">
        <v>83</v>
      </c>
      <c r="G480" s="39">
        <v>45651</v>
      </c>
      <c r="H480" s="40">
        <v>111</v>
      </c>
      <c r="I480" s="40">
        <v>-137</v>
      </c>
      <c r="J480" s="7">
        <v>143</v>
      </c>
      <c r="K480" s="8">
        <v>9.4740243693804696E-2</v>
      </c>
      <c r="L480" s="9">
        <v>3.8987754606503999E-2</v>
      </c>
      <c r="M480" s="10">
        <v>121.97046413502112</v>
      </c>
      <c r="N480" s="11">
        <v>2.4299999999999997</v>
      </c>
      <c r="O480" s="12">
        <v>6444.3829582341159</v>
      </c>
      <c r="P480" s="32" t="s">
        <v>143</v>
      </c>
      <c r="Q480" s="81" t="s">
        <v>92</v>
      </c>
      <c r="R480" s="82"/>
      <c r="S480" s="32"/>
      <c r="T480" s="32">
        <v>89.25</v>
      </c>
      <c r="U480" s="32">
        <v>89.25</v>
      </c>
      <c r="V480" s="74" t="s">
        <v>82</v>
      </c>
      <c r="W480" s="15"/>
      <c r="X480" s="15"/>
      <c r="Y480" s="16"/>
      <c r="Z480" s="17"/>
      <c r="AA480" s="18"/>
      <c r="AB480" s="75">
        <v>-89.25</v>
      </c>
      <c r="AC480" s="20">
        <v>8.4555667496720694</v>
      </c>
      <c r="AD480" s="21">
        <v>45651</v>
      </c>
      <c r="AE480" s="22">
        <v>156900.45175135639</v>
      </c>
      <c r="AF480" s="23">
        <v>94452.52593333344</v>
      </c>
      <c r="AG480" s="24">
        <v>194541.77593333356</v>
      </c>
      <c r="AH480" s="15">
        <v>0.5</v>
      </c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</row>
    <row r="481" spans="1:68" ht="15" customHeight="1" x14ac:dyDescent="0.25">
      <c r="A481" s="1">
        <f t="shared" si="31"/>
        <v>197</v>
      </c>
      <c r="B481" s="1" t="str">
        <f t="shared" si="28"/>
        <v xml:space="preserve">Oakland </v>
      </c>
      <c r="C481" s="1">
        <f t="shared" si="29"/>
        <v>1</v>
      </c>
      <c r="D481" s="2" t="str">
        <f t="shared" si="30"/>
        <v>2024-12</v>
      </c>
      <c r="E481" s="3" t="s">
        <v>434</v>
      </c>
      <c r="F481" s="4" t="s">
        <v>83</v>
      </c>
      <c r="G481" s="39">
        <v>45651</v>
      </c>
      <c r="H481" s="40">
        <v>101</v>
      </c>
      <c r="I481" s="40">
        <v>-123</v>
      </c>
      <c r="J481" s="7">
        <v>125</v>
      </c>
      <c r="K481" s="8">
        <v>6.7031027369585383E-2</v>
      </c>
      <c r="L481" s="9">
        <v>2.9791567719815726E-2</v>
      </c>
      <c r="M481" s="10">
        <v>110.86547085201792</v>
      </c>
      <c r="N481" s="11">
        <v>2.25</v>
      </c>
      <c r="O481" s="12">
        <v>5213.7410351689168</v>
      </c>
      <c r="P481" s="32" t="s">
        <v>143</v>
      </c>
      <c r="Q481" s="81" t="s">
        <v>92</v>
      </c>
      <c r="R481" s="82"/>
      <c r="S481" s="32"/>
      <c r="T481" s="32">
        <v>101.75</v>
      </c>
      <c r="U481" s="32">
        <v>101.75</v>
      </c>
      <c r="V481" s="74" t="s">
        <v>82</v>
      </c>
      <c r="W481" s="15"/>
      <c r="X481" s="15"/>
      <c r="Y481" s="16"/>
      <c r="Z481" s="17"/>
      <c r="AA481" s="18"/>
      <c r="AB481" s="75">
        <v>-101.75</v>
      </c>
      <c r="AC481" s="20">
        <v>6.8204070348553127</v>
      </c>
      <c r="AD481" s="21">
        <v>45651</v>
      </c>
      <c r="AE481" s="22">
        <v>156907.27215839125</v>
      </c>
      <c r="AF481" s="23">
        <v>94350.77593333344</v>
      </c>
      <c r="AG481" s="24">
        <v>194452.52593333356</v>
      </c>
      <c r="AH481" s="15">
        <v>0.5</v>
      </c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</row>
    <row r="482" spans="1:68" ht="15" customHeight="1" x14ac:dyDescent="0.25">
      <c r="A482" s="1">
        <f t="shared" si="31"/>
        <v>197</v>
      </c>
      <c r="B482" s="1" t="str">
        <f t="shared" si="28"/>
        <v xml:space="preserve">Oakland </v>
      </c>
      <c r="C482" s="1">
        <f t="shared" si="29"/>
        <v>1</v>
      </c>
      <c r="D482" s="2" t="str">
        <f t="shared" si="30"/>
        <v>2024-12</v>
      </c>
      <c r="E482" s="3" t="s">
        <v>435</v>
      </c>
      <c r="F482" s="4" t="s">
        <v>83</v>
      </c>
      <c r="G482" s="39">
        <v>45651</v>
      </c>
      <c r="H482" s="40">
        <v>-102</v>
      </c>
      <c r="I482" s="40">
        <v>-111</v>
      </c>
      <c r="J482" s="7">
        <v>112</v>
      </c>
      <c r="K482" s="8">
        <v>3.8290551611141678E-2</v>
      </c>
      <c r="L482" s="9">
        <v>1.8061580948651734E-2</v>
      </c>
      <c r="M482" s="10">
        <v>104.18176749372735</v>
      </c>
      <c r="N482" s="11">
        <v>2.12</v>
      </c>
      <c r="O482" s="12">
        <v>3322.2314359556876</v>
      </c>
      <c r="P482" s="32" t="s">
        <v>143</v>
      </c>
      <c r="Q482" s="81" t="s">
        <v>92</v>
      </c>
      <c r="R482" s="82"/>
      <c r="S482" s="32"/>
      <c r="T482" s="32">
        <v>241.25</v>
      </c>
      <c r="U482" s="32">
        <v>241.25</v>
      </c>
      <c r="V482" s="74" t="s">
        <v>82</v>
      </c>
      <c r="W482" s="15"/>
      <c r="X482" s="15"/>
      <c r="Y482" s="16"/>
      <c r="Z482" s="17"/>
      <c r="AA482" s="18"/>
      <c r="AB482" s="75">
        <v>-241.25</v>
      </c>
      <c r="AC482" s="20">
        <v>9.23759557618793</v>
      </c>
      <c r="AD482" s="21">
        <v>45651</v>
      </c>
      <c r="AE482" s="22">
        <v>156916.50975396743</v>
      </c>
      <c r="AF482" s="23">
        <v>94109.52593333344</v>
      </c>
      <c r="AG482" s="24">
        <v>194350.77593333356</v>
      </c>
      <c r="AH482" s="15">
        <v>0.5</v>
      </c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</row>
    <row r="483" spans="1:68" ht="15" customHeight="1" x14ac:dyDescent="0.25">
      <c r="A483" s="1">
        <f t="shared" si="31"/>
        <v>198</v>
      </c>
      <c r="B483" s="1" t="str">
        <f t="shared" si="28"/>
        <v xml:space="preserve">Spurs </v>
      </c>
      <c r="C483" s="1">
        <f t="shared" si="29"/>
        <v>0</v>
      </c>
      <c r="D483" s="2" t="str">
        <f t="shared" si="30"/>
        <v>2024-12</v>
      </c>
      <c r="E483" s="3" t="s">
        <v>424</v>
      </c>
      <c r="F483" s="4" t="s">
        <v>83</v>
      </c>
      <c r="G483" s="39">
        <v>45651</v>
      </c>
      <c r="H483" s="40">
        <v>-142</v>
      </c>
      <c r="I483" s="40">
        <v>118</v>
      </c>
      <c r="J483" s="7">
        <v>-113</v>
      </c>
      <c r="K483" s="8">
        <v>5.7920992557232549E-2</v>
      </c>
      <c r="L483" s="9">
        <v>3.0728038305010696E-2</v>
      </c>
      <c r="M483" s="10">
        <v>-127.91735537190078</v>
      </c>
      <c r="N483" s="11">
        <v>1.8849557522123894</v>
      </c>
      <c r="O483" s="12">
        <v>6455.4385716815259</v>
      </c>
      <c r="P483" s="32" t="s">
        <v>75</v>
      </c>
      <c r="Q483" s="81" t="s">
        <v>76</v>
      </c>
      <c r="R483" s="82"/>
      <c r="S483" s="32"/>
      <c r="T483" s="32">
        <v>429.25</v>
      </c>
      <c r="U483" s="32">
        <v>429.25</v>
      </c>
      <c r="V483" s="74" t="s">
        <v>77</v>
      </c>
      <c r="W483" s="15"/>
      <c r="X483" s="15"/>
      <c r="Y483" s="16"/>
      <c r="Z483" s="17"/>
      <c r="AA483" s="18"/>
      <c r="AB483" s="75">
        <v>379.87</v>
      </c>
      <c r="AC483" s="20">
        <v>24.862586055192072</v>
      </c>
      <c r="AD483" s="21">
        <v>45651</v>
      </c>
      <c r="AE483" s="22">
        <v>157149.56521468863</v>
      </c>
      <c r="AF483" s="23">
        <v>97640.90593333343</v>
      </c>
      <c r="AG483" s="24">
        <v>197261.03593333357</v>
      </c>
      <c r="AH483" s="15">
        <v>0.5</v>
      </c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</row>
    <row r="484" spans="1:68" ht="15" customHeight="1" x14ac:dyDescent="0.25">
      <c r="A484" s="1">
        <f t="shared" si="31"/>
        <v>198</v>
      </c>
      <c r="B484" s="1" t="str">
        <f t="shared" si="28"/>
        <v xml:space="preserve">Spurs </v>
      </c>
      <c r="C484" s="1">
        <f t="shared" si="29"/>
        <v>0</v>
      </c>
      <c r="D484" s="2" t="str">
        <f t="shared" si="30"/>
        <v>2024-12</v>
      </c>
      <c r="E484" s="3" t="s">
        <v>423</v>
      </c>
      <c r="F484" s="4" t="s">
        <v>83</v>
      </c>
      <c r="G484" s="39">
        <v>45651</v>
      </c>
      <c r="H484" s="40">
        <v>-121</v>
      </c>
      <c r="I484" s="40">
        <v>106</v>
      </c>
      <c r="J484" s="7">
        <v>-103</v>
      </c>
      <c r="K484" s="8">
        <v>4.4656147662994861E-2</v>
      </c>
      <c r="L484" s="9">
        <v>2.2658045365953061E-2</v>
      </c>
      <c r="M484" s="10">
        <v>-112.78733031674209</v>
      </c>
      <c r="N484" s="11">
        <v>1.970873786407767</v>
      </c>
      <c r="O484" s="12">
        <v>4545.3289619976158</v>
      </c>
      <c r="P484" s="32" t="s">
        <v>75</v>
      </c>
      <c r="Q484" s="81" t="s">
        <v>76</v>
      </c>
      <c r="R484" s="82"/>
      <c r="S484" s="32"/>
      <c r="T484" s="32">
        <v>389.75</v>
      </c>
      <c r="U484" s="32">
        <v>389.75</v>
      </c>
      <c r="V484" s="74" t="s">
        <v>77</v>
      </c>
      <c r="W484" s="15"/>
      <c r="X484" s="15"/>
      <c r="Y484" s="16"/>
      <c r="Z484" s="17"/>
      <c r="AA484" s="18"/>
      <c r="AB484" s="75">
        <v>378.4</v>
      </c>
      <c r="AC484" s="20">
        <v>17.404733551652246</v>
      </c>
      <c r="AD484" s="21">
        <v>45651</v>
      </c>
      <c r="AE484" s="22">
        <v>157166.96994824029</v>
      </c>
      <c r="AF484" s="23">
        <v>98019.305933333424</v>
      </c>
      <c r="AG484" s="24">
        <v>197640.90593333356</v>
      </c>
      <c r="AH484" s="15">
        <v>0.5</v>
      </c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</row>
    <row r="485" spans="1:68" ht="15" customHeight="1" x14ac:dyDescent="0.25">
      <c r="A485" s="1">
        <f t="shared" si="31"/>
        <v>198</v>
      </c>
      <c r="B485" s="1" t="str">
        <f t="shared" si="28"/>
        <v xml:space="preserve">Spurs </v>
      </c>
      <c r="C485" s="1">
        <f t="shared" si="29"/>
        <v>0</v>
      </c>
      <c r="D485" s="2" t="str">
        <f t="shared" si="30"/>
        <v>2024-12</v>
      </c>
      <c r="E485" s="3" t="s">
        <v>436</v>
      </c>
      <c r="F485" s="4" t="s">
        <v>83</v>
      </c>
      <c r="G485" s="39">
        <v>45651</v>
      </c>
      <c r="H485" s="40">
        <v>-110</v>
      </c>
      <c r="I485" s="40">
        <v>-104</v>
      </c>
      <c r="J485" s="7">
        <v>106</v>
      </c>
      <c r="K485" s="8">
        <v>4.3956639566395839E-2</v>
      </c>
      <c r="L485" s="9">
        <v>2.1338174546794098E-2</v>
      </c>
      <c r="M485" s="10">
        <v>-102.74725274725279</v>
      </c>
      <c r="N485" s="11">
        <v>2.06</v>
      </c>
      <c r="O485" s="12">
        <v>4105.7845557072696</v>
      </c>
      <c r="P485" s="32" t="s">
        <v>75</v>
      </c>
      <c r="Q485" s="81" t="s">
        <v>76</v>
      </c>
      <c r="R485" s="82"/>
      <c r="S485" s="32"/>
      <c r="T485" s="32">
        <v>360.25</v>
      </c>
      <c r="U485" s="32">
        <v>360.25</v>
      </c>
      <c r="V485" s="74" t="s">
        <v>77</v>
      </c>
      <c r="W485" s="15"/>
      <c r="X485" s="15"/>
      <c r="Y485" s="16"/>
      <c r="Z485" s="17"/>
      <c r="AA485" s="18"/>
      <c r="AB485" s="75">
        <v>381.87</v>
      </c>
      <c r="AC485" s="20">
        <v>15.8353794037941</v>
      </c>
      <c r="AD485" s="21">
        <v>45651</v>
      </c>
      <c r="AE485" s="22">
        <v>157182.80532764408</v>
      </c>
      <c r="AF485" s="23">
        <v>98401.175933333419</v>
      </c>
      <c r="AG485" s="24">
        <v>198019.30593333356</v>
      </c>
      <c r="AH485" s="15">
        <v>0.5</v>
      </c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</row>
    <row r="486" spans="1:68" ht="15" customHeight="1" x14ac:dyDescent="0.25">
      <c r="A486" s="1">
        <f t="shared" si="31"/>
        <v>199</v>
      </c>
      <c r="B486" s="1" t="str">
        <f t="shared" si="28"/>
        <v xml:space="preserve">Spurs </v>
      </c>
      <c r="C486" s="1">
        <f t="shared" si="29"/>
        <v>1</v>
      </c>
      <c r="D486" s="2" t="str">
        <f t="shared" si="30"/>
        <v>2024-12</v>
      </c>
      <c r="E486" s="3" t="s">
        <v>437</v>
      </c>
      <c r="F486" s="4" t="s">
        <v>83</v>
      </c>
      <c r="G486" s="39">
        <v>45651</v>
      </c>
      <c r="H486" s="40">
        <v>-122</v>
      </c>
      <c r="I486" s="40">
        <v>144</v>
      </c>
      <c r="J486" s="7">
        <v>-106</v>
      </c>
      <c r="K486" s="8">
        <v>0.11320464262477926</v>
      </c>
      <c r="L486" s="9">
        <v>5.8250932612750494E-2</v>
      </c>
      <c r="M486" s="10">
        <v>-134.09009009009009</v>
      </c>
      <c r="N486" s="11">
        <v>1.9433962264150944</v>
      </c>
      <c r="O486" s="12">
        <v>11964.273582976717</v>
      </c>
      <c r="P486" s="32" t="s">
        <v>75</v>
      </c>
      <c r="Q486" s="81" t="s">
        <v>92</v>
      </c>
      <c r="R486" s="82"/>
      <c r="S486" s="32"/>
      <c r="T486" s="32">
        <v>201.25</v>
      </c>
      <c r="U486" s="32">
        <v>201.25</v>
      </c>
      <c r="V486" s="74" t="s">
        <v>77</v>
      </c>
      <c r="W486" s="15"/>
      <c r="X486" s="15"/>
      <c r="Y486" s="16"/>
      <c r="Z486" s="17"/>
      <c r="AA486" s="18"/>
      <c r="AB486" s="75">
        <v>189.86</v>
      </c>
      <c r="AC486" s="20">
        <v>22.782434328236828</v>
      </c>
      <c r="AD486" s="21">
        <v>45651</v>
      </c>
      <c r="AE486" s="22">
        <v>157280.56339426286</v>
      </c>
      <c r="AF486" s="23">
        <v>99599.53593333342</v>
      </c>
      <c r="AG486" s="24">
        <v>199409.67593333355</v>
      </c>
      <c r="AH486" s="15">
        <v>0.5</v>
      </c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</row>
    <row r="487" spans="1:68" ht="15" customHeight="1" x14ac:dyDescent="0.25">
      <c r="A487" s="1">
        <f t="shared" si="31"/>
        <v>199</v>
      </c>
      <c r="B487" s="1" t="str">
        <f t="shared" si="28"/>
        <v xml:space="preserve">Spurs </v>
      </c>
      <c r="C487" s="1">
        <f t="shared" si="29"/>
        <v>1</v>
      </c>
      <c r="D487" s="2" t="str">
        <f t="shared" si="30"/>
        <v>2024-12</v>
      </c>
      <c r="E487" s="3" t="s">
        <v>438</v>
      </c>
      <c r="F487" s="4" t="s">
        <v>83</v>
      </c>
      <c r="G487" s="39">
        <v>45651</v>
      </c>
      <c r="H487" s="40">
        <v>-115</v>
      </c>
      <c r="I487" s="40">
        <v>106</v>
      </c>
      <c r="J487" s="7">
        <v>100</v>
      </c>
      <c r="K487" s="8">
        <v>4.8462049125912898E-2</v>
      </c>
      <c r="L487" s="9">
        <v>2.4231024562956449E-2</v>
      </c>
      <c r="M487" s="10">
        <v>-110.18604651162792</v>
      </c>
      <c r="N487" s="11">
        <v>2</v>
      </c>
      <c r="O487" s="12">
        <v>4836.5012579553131</v>
      </c>
      <c r="P487" s="32" t="s">
        <v>75</v>
      </c>
      <c r="Q487" s="81" t="s">
        <v>92</v>
      </c>
      <c r="R487" s="82"/>
      <c r="S487" s="32"/>
      <c r="T487" s="32">
        <v>191.25</v>
      </c>
      <c r="U487" s="32">
        <v>191.25</v>
      </c>
      <c r="V487" s="74" t="s">
        <v>77</v>
      </c>
      <c r="W487" s="15"/>
      <c r="X487" s="15"/>
      <c r="Y487" s="16"/>
      <c r="Z487" s="17"/>
      <c r="AA487" s="18"/>
      <c r="AB487" s="75">
        <v>191.25</v>
      </c>
      <c r="AC487" s="20">
        <v>9.2683668953308427</v>
      </c>
      <c r="AD487" s="21">
        <v>45651</v>
      </c>
      <c r="AE487" s="22">
        <v>157289.83176115819</v>
      </c>
      <c r="AF487" s="23">
        <v>99790.78593333342</v>
      </c>
      <c r="AG487" s="24">
        <v>199599.53593333354</v>
      </c>
      <c r="AH487" s="15">
        <v>0.5</v>
      </c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</row>
    <row r="488" spans="1:68" ht="15" customHeight="1" x14ac:dyDescent="0.25">
      <c r="A488" s="1">
        <f t="shared" si="31"/>
        <v>199</v>
      </c>
      <c r="B488" s="1" t="str">
        <f t="shared" si="28"/>
        <v xml:space="preserve">Spurs </v>
      </c>
      <c r="C488" s="1">
        <f t="shared" si="29"/>
        <v>1</v>
      </c>
      <c r="D488" s="2" t="str">
        <f t="shared" si="30"/>
        <v>2024-12</v>
      </c>
      <c r="E488" s="3" t="s">
        <v>439</v>
      </c>
      <c r="F488" s="4" t="s">
        <v>83</v>
      </c>
      <c r="G488" s="39">
        <v>45651</v>
      </c>
      <c r="H488" s="40">
        <v>-130</v>
      </c>
      <c r="I488" s="40">
        <v>124</v>
      </c>
      <c r="J488" s="7">
        <v>-117</v>
      </c>
      <c r="K488" s="8">
        <v>3.6241152895028744E-2</v>
      </c>
      <c r="L488" s="9">
        <v>1.9540160777503979E-2</v>
      </c>
      <c r="M488" s="10">
        <v>-126.60869565217396</v>
      </c>
      <c r="N488" s="11">
        <v>1.8547008547008548</v>
      </c>
      <c r="O488" s="12">
        <v>4235.7793257163203</v>
      </c>
      <c r="P488" s="32" t="s">
        <v>75</v>
      </c>
      <c r="Q488" s="81" t="s">
        <v>92</v>
      </c>
      <c r="R488" s="82"/>
      <c r="S488" s="32"/>
      <c r="T488" s="32">
        <v>222.25</v>
      </c>
      <c r="U488" s="32">
        <v>222.25</v>
      </c>
      <c r="V488" s="74" t="s">
        <v>77</v>
      </c>
      <c r="W488" s="15"/>
      <c r="X488" s="15"/>
      <c r="Y488" s="16"/>
      <c r="Z488" s="17"/>
      <c r="AA488" s="18"/>
      <c r="AB488" s="75">
        <v>189.96</v>
      </c>
      <c r="AC488" s="20">
        <v>8.0545962309201382</v>
      </c>
      <c r="AD488" s="21">
        <v>45651</v>
      </c>
      <c r="AE488" s="22">
        <v>157297.8863573891</v>
      </c>
      <c r="AF488" s="23">
        <v>99980.745933333426</v>
      </c>
      <c r="AG488" s="24">
        <v>199790.78593333354</v>
      </c>
      <c r="AH488" s="15">
        <v>0.5</v>
      </c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</row>
    <row r="489" spans="1:68" ht="15" customHeight="1" x14ac:dyDescent="0.25">
      <c r="A489" s="1">
        <f t="shared" si="31"/>
        <v>199</v>
      </c>
      <c r="B489" s="1" t="str">
        <f t="shared" si="28"/>
        <v xml:space="preserve">Spurs </v>
      </c>
      <c r="C489" s="1">
        <f t="shared" si="29"/>
        <v>1</v>
      </c>
      <c r="D489" s="2" t="str">
        <f t="shared" si="30"/>
        <v>2024-12</v>
      </c>
      <c r="E489" s="3" t="s">
        <v>440</v>
      </c>
      <c r="F489" s="4" t="s">
        <v>83</v>
      </c>
      <c r="G489" s="39">
        <v>45651</v>
      </c>
      <c r="H489" s="40">
        <v>-108</v>
      </c>
      <c r="I489" s="40">
        <v>-102</v>
      </c>
      <c r="J489" s="7">
        <v>107</v>
      </c>
      <c r="K489" s="8">
        <v>4.943112102621313E-2</v>
      </c>
      <c r="L489" s="9">
        <v>2.3879768611697161E-2</v>
      </c>
      <c r="M489" s="10">
        <v>-102.82805429864251</v>
      </c>
      <c r="N489" s="11">
        <v>2.0700000000000003</v>
      </c>
      <c r="O489" s="12">
        <v>4619.2861939920504</v>
      </c>
      <c r="P489" s="32" t="s">
        <v>75</v>
      </c>
      <c r="Q489" s="81" t="s">
        <v>92</v>
      </c>
      <c r="R489" s="82"/>
      <c r="S489" s="32"/>
      <c r="T489" s="32">
        <v>178.75</v>
      </c>
      <c r="U489" s="32">
        <v>178.75</v>
      </c>
      <c r="V489" s="74" t="s">
        <v>77</v>
      </c>
      <c r="W489" s="15"/>
      <c r="X489" s="15"/>
      <c r="Y489" s="16"/>
      <c r="Z489" s="17"/>
      <c r="AA489" s="18"/>
      <c r="AB489" s="75">
        <v>191.26</v>
      </c>
      <c r="AC489" s="20">
        <v>8.8358128834355973</v>
      </c>
      <c r="AD489" s="21">
        <v>45651</v>
      </c>
      <c r="AE489" s="22">
        <v>157306.72217027252</v>
      </c>
      <c r="AF489" s="23">
        <v>100172.00593333342</v>
      </c>
      <c r="AG489" s="24">
        <v>199980.74593333353</v>
      </c>
      <c r="AH489" s="15">
        <v>0.5</v>
      </c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</row>
    <row r="490" spans="1:68" ht="15" customHeight="1" x14ac:dyDescent="0.25">
      <c r="A490" s="1">
        <f t="shared" si="31"/>
        <v>199</v>
      </c>
      <c r="B490" s="1" t="str">
        <f t="shared" si="28"/>
        <v xml:space="preserve">Spurs </v>
      </c>
      <c r="C490" s="1">
        <f t="shared" si="29"/>
        <v>1</v>
      </c>
      <c r="D490" s="2" t="str">
        <f t="shared" si="30"/>
        <v>2024-12</v>
      </c>
      <c r="E490" s="3" t="s">
        <v>441</v>
      </c>
      <c r="F490" s="4" t="s">
        <v>83</v>
      </c>
      <c r="G490" s="39">
        <v>45651</v>
      </c>
      <c r="H490" s="40">
        <v>-102</v>
      </c>
      <c r="I490" s="40">
        <v>-110</v>
      </c>
      <c r="J490" s="7">
        <v>112</v>
      </c>
      <c r="K490" s="8">
        <v>4.0568285976168773E-2</v>
      </c>
      <c r="L490" s="9">
        <v>1.9135983951023006E-2</v>
      </c>
      <c r="M490" s="10">
        <v>103.734827264239</v>
      </c>
      <c r="N490" s="11">
        <v>2.12</v>
      </c>
      <c r="O490" s="12">
        <v>3625.2835630030477</v>
      </c>
      <c r="P490" s="32" t="s">
        <v>75</v>
      </c>
      <c r="Q490" s="81" t="s">
        <v>92</v>
      </c>
      <c r="R490" s="82"/>
      <c r="S490" s="32"/>
      <c r="T490" s="32">
        <v>170.75</v>
      </c>
      <c r="U490" s="32">
        <v>170.75</v>
      </c>
      <c r="V490" s="74" t="s">
        <v>77</v>
      </c>
      <c r="W490" s="15"/>
      <c r="X490" s="15"/>
      <c r="Y490" s="16"/>
      <c r="Z490" s="17"/>
      <c r="AA490" s="18"/>
      <c r="AB490" s="75">
        <v>191.24</v>
      </c>
      <c r="AC490" s="20">
        <v>6.9270348304308182</v>
      </c>
      <c r="AD490" s="21">
        <v>45651</v>
      </c>
      <c r="AE490" s="22">
        <v>157313.64920510296</v>
      </c>
      <c r="AF490" s="23">
        <v>100363.24593333343</v>
      </c>
      <c r="AG490" s="24">
        <v>200172.00593333354</v>
      </c>
      <c r="AH490" s="15">
        <v>0.5</v>
      </c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</row>
    <row r="491" spans="1:68" ht="15" customHeight="1" x14ac:dyDescent="0.25">
      <c r="A491" s="1">
        <f t="shared" si="31"/>
        <v>199</v>
      </c>
      <c r="B491" s="1" t="str">
        <f t="shared" si="28"/>
        <v xml:space="preserve">Spurs </v>
      </c>
      <c r="C491" s="1">
        <f t="shared" si="29"/>
        <v>1</v>
      </c>
      <c r="D491" s="2" t="str">
        <f t="shared" si="30"/>
        <v>2024-12</v>
      </c>
      <c r="E491" s="3" t="s">
        <v>442</v>
      </c>
      <c r="F491" s="4" t="s">
        <v>83</v>
      </c>
      <c r="G491" s="39">
        <v>45651</v>
      </c>
      <c r="H491" s="40">
        <v>-138</v>
      </c>
      <c r="I491" s="40">
        <v>129</v>
      </c>
      <c r="J491" s="7">
        <v>-121</v>
      </c>
      <c r="K491" s="8">
        <v>4.1828009311953115E-2</v>
      </c>
      <c r="L491" s="9">
        <v>2.2901308265820486E-2</v>
      </c>
      <c r="M491" s="10">
        <v>-132.78151260504205</v>
      </c>
      <c r="N491" s="11">
        <v>1.8264462809917354</v>
      </c>
      <c r="O491" s="12">
        <v>5070.3814085869399</v>
      </c>
      <c r="P491" s="32" t="s">
        <v>75</v>
      </c>
      <c r="Q491" s="81" t="s">
        <v>92</v>
      </c>
      <c r="R491" s="82"/>
      <c r="S491" s="32"/>
      <c r="T491" s="32">
        <v>230.25</v>
      </c>
      <c r="U491" s="32">
        <v>230.25</v>
      </c>
      <c r="V491" s="74" t="s">
        <v>77</v>
      </c>
      <c r="W491" s="15"/>
      <c r="X491" s="15"/>
      <c r="Y491" s="16"/>
      <c r="Z491" s="17"/>
      <c r="AA491" s="18"/>
      <c r="AB491" s="75">
        <v>190.29</v>
      </c>
      <c r="AC491" s="20">
        <v>9.6308991440772047</v>
      </c>
      <c r="AD491" s="21">
        <v>45651</v>
      </c>
      <c r="AE491" s="22">
        <v>157323.28010424704</v>
      </c>
      <c r="AF491" s="23">
        <v>100553.53593333342</v>
      </c>
      <c r="AG491" s="24">
        <v>200363.24593333353</v>
      </c>
      <c r="AH491" s="15">
        <v>0.5</v>
      </c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</row>
    <row r="492" spans="1:68" ht="15" customHeight="1" x14ac:dyDescent="0.25">
      <c r="A492" s="1">
        <f t="shared" si="31"/>
        <v>200</v>
      </c>
      <c r="B492" s="1" t="str">
        <f t="shared" si="28"/>
        <v xml:space="preserve">nets </v>
      </c>
      <c r="C492" s="1">
        <f t="shared" si="29"/>
        <v>0</v>
      </c>
      <c r="D492" s="2" t="str">
        <f t="shared" si="30"/>
        <v>2024-12</v>
      </c>
      <c r="E492" s="3" t="s">
        <v>443</v>
      </c>
      <c r="F492" s="4" t="s">
        <v>83</v>
      </c>
      <c r="G492" s="39">
        <v>45652</v>
      </c>
      <c r="H492" s="40">
        <v>1548</v>
      </c>
      <c r="I492" s="40">
        <v>-1548</v>
      </c>
      <c r="J492" s="7">
        <v>1548</v>
      </c>
      <c r="K492" s="8">
        <v>0</v>
      </c>
      <c r="L492" s="9">
        <v>0</v>
      </c>
      <c r="M492" s="10">
        <v>1548</v>
      </c>
      <c r="N492" s="11">
        <v>16.48</v>
      </c>
      <c r="O492" s="12">
        <v>0</v>
      </c>
      <c r="P492" s="32" t="s">
        <v>75</v>
      </c>
      <c r="Q492" s="81" t="s">
        <v>81</v>
      </c>
      <c r="R492" s="82"/>
      <c r="S492" s="32"/>
      <c r="T492" s="32">
        <v>25</v>
      </c>
      <c r="U492" s="32">
        <v>25</v>
      </c>
      <c r="V492" s="74" t="s">
        <v>82</v>
      </c>
      <c r="W492" s="15"/>
      <c r="X492" s="15"/>
      <c r="Y492" s="16"/>
      <c r="Z492" s="17"/>
      <c r="AA492" s="18"/>
      <c r="AB492" s="75">
        <v>-25</v>
      </c>
      <c r="AC492" s="20">
        <v>0</v>
      </c>
      <c r="AD492" s="21">
        <v>45652</v>
      </c>
      <c r="AE492" s="22">
        <v>158680.32591689378</v>
      </c>
      <c r="AF492" s="23">
        <v>110382.28593333343</v>
      </c>
      <c r="AG492" s="24">
        <v>210407.28593333351</v>
      </c>
      <c r="AH492" s="15">
        <v>0.5</v>
      </c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</row>
    <row r="493" spans="1:68" ht="15" customHeight="1" x14ac:dyDescent="0.25">
      <c r="A493" s="1">
        <f t="shared" si="31"/>
        <v>201</v>
      </c>
      <c r="B493" s="1" t="str">
        <f t="shared" si="28"/>
        <v xml:space="preserve">Pistons </v>
      </c>
      <c r="C493" s="1">
        <f t="shared" si="29"/>
        <v>0</v>
      </c>
      <c r="D493" s="2" t="str">
        <f t="shared" si="30"/>
        <v>2024-12</v>
      </c>
      <c r="E493" s="3" t="s">
        <v>444</v>
      </c>
      <c r="F493" s="4" t="s">
        <v>83</v>
      </c>
      <c r="G493" s="39">
        <v>45654</v>
      </c>
      <c r="H493" s="40">
        <v>-103</v>
      </c>
      <c r="I493" s="40">
        <v>-109</v>
      </c>
      <c r="J493" s="7">
        <v>114</v>
      </c>
      <c r="K493" s="8">
        <v>5.5293443899757114E-2</v>
      </c>
      <c r="L493" s="9">
        <v>2.5838057897082767E-2</v>
      </c>
      <c r="M493" s="10">
        <v>102.78719747294092</v>
      </c>
      <c r="N493" s="11">
        <v>2.1399999999999997</v>
      </c>
      <c r="O493" s="12">
        <v>5012.7211539703485</v>
      </c>
      <c r="P493" s="32" t="s">
        <v>75</v>
      </c>
      <c r="Q493" s="81" t="s">
        <v>76</v>
      </c>
      <c r="R493" s="82"/>
      <c r="S493" s="32"/>
      <c r="T493" s="32">
        <v>336.25</v>
      </c>
      <c r="U493" s="32">
        <v>336.25</v>
      </c>
      <c r="V493" s="74" t="s">
        <v>82</v>
      </c>
      <c r="W493" s="15"/>
      <c r="X493" s="15"/>
      <c r="Y493" s="16"/>
      <c r="Z493" s="17"/>
      <c r="AA493" s="18"/>
      <c r="AB493" s="75">
        <v>-336.25</v>
      </c>
      <c r="AC493" s="20">
        <v>18.59242051129333</v>
      </c>
      <c r="AD493" s="21">
        <v>45654</v>
      </c>
      <c r="AE493" s="22">
        <v>162623.06561990525</v>
      </c>
      <c r="AF493" s="23">
        <v>106361.02593333343</v>
      </c>
      <c r="AG493" s="24">
        <v>206697.27593333347</v>
      </c>
      <c r="AH493" s="15">
        <v>0.5</v>
      </c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</row>
    <row r="494" spans="1:68" ht="15" customHeight="1" x14ac:dyDescent="0.25">
      <c r="A494" s="1">
        <f t="shared" si="31"/>
        <v>201</v>
      </c>
      <c r="B494" s="1" t="str">
        <f t="shared" si="28"/>
        <v xml:space="preserve">Pistons </v>
      </c>
      <c r="C494" s="1">
        <f t="shared" si="29"/>
        <v>0</v>
      </c>
      <c r="D494" s="2" t="str">
        <f t="shared" si="30"/>
        <v>2024-12</v>
      </c>
      <c r="E494" s="3" t="s">
        <v>445</v>
      </c>
      <c r="F494" s="4" t="s">
        <v>83</v>
      </c>
      <c r="G494" s="39">
        <v>45654</v>
      </c>
      <c r="H494" s="40">
        <v>107</v>
      </c>
      <c r="I494" s="40">
        <v>-123</v>
      </c>
      <c r="J494" s="7">
        <v>125</v>
      </c>
      <c r="K494" s="8">
        <v>5.0543330332279313E-2</v>
      </c>
      <c r="L494" s="9">
        <v>2.2463702369901917E-2</v>
      </c>
      <c r="M494" s="10">
        <v>114.1748878923767</v>
      </c>
      <c r="N494" s="11">
        <v>2.25</v>
      </c>
      <c r="O494" s="12">
        <v>4172.0694005826126</v>
      </c>
      <c r="P494" s="32" t="s">
        <v>75</v>
      </c>
      <c r="Q494" s="81" t="s">
        <v>76</v>
      </c>
      <c r="R494" s="82"/>
      <c r="S494" s="32"/>
      <c r="T494" s="32">
        <v>300</v>
      </c>
      <c r="U494" s="32">
        <v>300</v>
      </c>
      <c r="V494" s="74" t="s">
        <v>82</v>
      </c>
      <c r="W494" s="15"/>
      <c r="X494" s="15"/>
      <c r="Y494" s="16"/>
      <c r="Z494" s="17"/>
      <c r="AA494" s="18"/>
      <c r="AB494" s="75">
        <v>-300</v>
      </c>
      <c r="AC494" s="20">
        <v>15.162999099683795</v>
      </c>
      <c r="AD494" s="21">
        <v>45654</v>
      </c>
      <c r="AE494" s="22">
        <v>162638.22861900492</v>
      </c>
      <c r="AF494" s="23">
        <v>106061.02593333343</v>
      </c>
      <c r="AG494" s="24">
        <v>206361.02593333347</v>
      </c>
      <c r="AH494" s="15">
        <v>0.5</v>
      </c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</row>
    <row r="495" spans="1:68" ht="15" customHeight="1" x14ac:dyDescent="0.25">
      <c r="A495" s="1">
        <f t="shared" si="31"/>
        <v>201</v>
      </c>
      <c r="B495" s="1" t="str">
        <f t="shared" si="28"/>
        <v xml:space="preserve">Pistons </v>
      </c>
      <c r="C495" s="1">
        <f t="shared" si="29"/>
        <v>0</v>
      </c>
      <c r="D495" s="2" t="str">
        <f t="shared" si="30"/>
        <v>2024-12</v>
      </c>
      <c r="E495" s="3" t="s">
        <v>446</v>
      </c>
      <c r="F495" s="4" t="s">
        <v>83</v>
      </c>
      <c r="G495" s="39">
        <v>45654</v>
      </c>
      <c r="H495" s="40">
        <v>117</v>
      </c>
      <c r="I495" s="40">
        <v>-134</v>
      </c>
      <c r="J495" s="7">
        <v>138</v>
      </c>
      <c r="K495" s="8">
        <v>6.1244712069819816E-2</v>
      </c>
      <c r="L495" s="9">
        <v>2.573307229824362E-2</v>
      </c>
      <c r="M495" s="10">
        <v>124.26495726495723</v>
      </c>
      <c r="N495" s="11">
        <v>2.38</v>
      </c>
      <c r="O495" s="12">
        <v>4572.5174645285088</v>
      </c>
      <c r="P495" s="32" t="s">
        <v>75</v>
      </c>
      <c r="Q495" s="81" t="s">
        <v>76</v>
      </c>
      <c r="R495" s="82"/>
      <c r="S495" s="32"/>
      <c r="T495" s="32">
        <v>253.75</v>
      </c>
      <c r="U495" s="32">
        <v>253.75</v>
      </c>
      <c r="V495" s="74" t="s">
        <v>82</v>
      </c>
      <c r="W495" s="15"/>
      <c r="X495" s="15"/>
      <c r="Y495" s="16"/>
      <c r="Z495" s="17"/>
      <c r="AA495" s="18"/>
      <c r="AB495" s="75">
        <v>-253.75</v>
      </c>
      <c r="AC495" s="20">
        <v>15.540845687716779</v>
      </c>
      <c r="AD495" s="21">
        <v>45654</v>
      </c>
      <c r="AE495" s="22">
        <v>162653.76946469262</v>
      </c>
      <c r="AF495" s="23">
        <v>105807.27593333343</v>
      </c>
      <c r="AG495" s="24">
        <v>206061.02593333347</v>
      </c>
      <c r="AH495" s="15">
        <v>0.5</v>
      </c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</row>
    <row r="496" spans="1:68" ht="15" customHeight="1" x14ac:dyDescent="0.25">
      <c r="A496" s="1">
        <f t="shared" si="31"/>
        <v>201</v>
      </c>
      <c r="B496" s="1" t="str">
        <f t="shared" si="28"/>
        <v xml:space="preserve">Pistons </v>
      </c>
      <c r="C496" s="1">
        <f t="shared" si="29"/>
        <v>0</v>
      </c>
      <c r="D496" s="2" t="str">
        <f t="shared" si="30"/>
        <v>2024-12</v>
      </c>
      <c r="E496" s="3" t="s">
        <v>447</v>
      </c>
      <c r="F496" s="4" t="s">
        <v>83</v>
      </c>
      <c r="G496" s="39">
        <v>45654</v>
      </c>
      <c r="H496" s="40">
        <v>131</v>
      </c>
      <c r="I496" s="40">
        <v>-151</v>
      </c>
      <c r="J496" s="7">
        <v>155</v>
      </c>
      <c r="K496" s="8">
        <v>6.7087911171871142E-2</v>
      </c>
      <c r="L496" s="9">
        <v>2.6308984773282806E-2</v>
      </c>
      <c r="M496" s="10">
        <v>138.96812749003982</v>
      </c>
      <c r="N496" s="11">
        <v>2.5499999999999998</v>
      </c>
      <c r="O496" s="12">
        <v>4453.9291117226621</v>
      </c>
      <c r="P496" s="32" t="s">
        <v>75</v>
      </c>
      <c r="Q496" s="81" t="s">
        <v>76</v>
      </c>
      <c r="R496" s="82"/>
      <c r="S496" s="32"/>
      <c r="T496" s="32">
        <v>247.25</v>
      </c>
      <c r="U496" s="32">
        <v>247.25</v>
      </c>
      <c r="V496" s="74" t="s">
        <v>82</v>
      </c>
      <c r="W496" s="15"/>
      <c r="X496" s="15"/>
      <c r="Y496" s="16"/>
      <c r="Z496" s="17"/>
      <c r="AA496" s="18"/>
      <c r="AB496" s="75">
        <v>-247.25</v>
      </c>
      <c r="AC496" s="20">
        <v>16.587486037245139</v>
      </c>
      <c r="AD496" s="21">
        <v>45654</v>
      </c>
      <c r="AE496" s="22">
        <v>162670.35695072988</v>
      </c>
      <c r="AF496" s="23">
        <v>105560.02593333343</v>
      </c>
      <c r="AG496" s="24">
        <v>205807.27593333347</v>
      </c>
      <c r="AH496" s="15">
        <v>0.5</v>
      </c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</row>
    <row r="497" spans="1:68" ht="15" customHeight="1" x14ac:dyDescent="0.25">
      <c r="A497" s="1">
        <f t="shared" si="31"/>
        <v>201</v>
      </c>
      <c r="B497" s="1" t="str">
        <f t="shared" si="28"/>
        <v xml:space="preserve">Pistons </v>
      </c>
      <c r="C497" s="1">
        <f t="shared" si="29"/>
        <v>0</v>
      </c>
      <c r="D497" s="2" t="str">
        <f t="shared" si="30"/>
        <v>2024-12</v>
      </c>
      <c r="E497" s="3" t="s">
        <v>448</v>
      </c>
      <c r="F497" s="4" t="s">
        <v>83</v>
      </c>
      <c r="G497" s="39">
        <v>45654</v>
      </c>
      <c r="H497" s="40">
        <v>140</v>
      </c>
      <c r="I497" s="40">
        <v>-161</v>
      </c>
      <c r="J497" s="7">
        <v>165</v>
      </c>
      <c r="K497" s="8">
        <v>6.8350324374420374E-2</v>
      </c>
      <c r="L497" s="9">
        <v>2.5792575235630333E-2</v>
      </c>
      <c r="M497" s="10">
        <v>148.0459770114943</v>
      </c>
      <c r="N497" s="11">
        <v>2.65</v>
      </c>
      <c r="O497" s="12">
        <v>4257.6043790780632</v>
      </c>
      <c r="P497" s="32" t="s">
        <v>75</v>
      </c>
      <c r="Q497" s="81" t="s">
        <v>76</v>
      </c>
      <c r="R497" s="82"/>
      <c r="S497" s="32"/>
      <c r="T497" s="32">
        <v>227.25</v>
      </c>
      <c r="U497" s="32">
        <v>227.25</v>
      </c>
      <c r="V497" s="74" t="s">
        <v>82</v>
      </c>
      <c r="W497" s="15"/>
      <c r="X497" s="15"/>
      <c r="Y497" s="16"/>
      <c r="Z497" s="17"/>
      <c r="AA497" s="18"/>
      <c r="AB497" s="75">
        <v>-227.25</v>
      </c>
      <c r="AC497" s="20">
        <v>15.53261121408703</v>
      </c>
      <c r="AD497" s="21">
        <v>45654</v>
      </c>
      <c r="AE497" s="22">
        <v>162685.88956194397</v>
      </c>
      <c r="AF497" s="23">
        <v>105332.77593333343</v>
      </c>
      <c r="AG497" s="24">
        <v>205560.02593333347</v>
      </c>
      <c r="AH497" s="15">
        <v>0.5</v>
      </c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</row>
    <row r="498" spans="1:68" ht="15" customHeight="1" x14ac:dyDescent="0.25">
      <c r="A498" s="1">
        <f t="shared" si="31"/>
        <v>202</v>
      </c>
      <c r="B498" s="1" t="str">
        <f t="shared" si="28"/>
        <v xml:space="preserve">Twolves </v>
      </c>
      <c r="C498" s="1">
        <f t="shared" si="29"/>
        <v>0</v>
      </c>
      <c r="D498" s="2" t="str">
        <f t="shared" si="30"/>
        <v>2024-12</v>
      </c>
      <c r="E498" s="3" t="s">
        <v>449</v>
      </c>
      <c r="F498" s="4" t="s">
        <v>83</v>
      </c>
      <c r="G498" s="39">
        <v>45655</v>
      </c>
      <c r="H498" s="40">
        <v>-465</v>
      </c>
      <c r="I498" s="40">
        <v>345</v>
      </c>
      <c r="J498" s="7">
        <v>-315</v>
      </c>
      <c r="K498" s="8">
        <v>3.4888397800042582E-2</v>
      </c>
      <c r="L498" s="9">
        <v>2.6481554956658826E-2</v>
      </c>
      <c r="M498" s="10">
        <v>-366.23893805309751</v>
      </c>
      <c r="N498" s="11">
        <v>1.3174603174603174</v>
      </c>
      <c r="O498" s="12">
        <v>10560.241040656769</v>
      </c>
      <c r="P498" s="32" t="s">
        <v>75</v>
      </c>
      <c r="Q498" s="81" t="s">
        <v>81</v>
      </c>
      <c r="R498" s="82"/>
      <c r="S498" s="32"/>
      <c r="T498" s="32">
        <v>1198.25</v>
      </c>
      <c r="U498" s="32">
        <v>1198.25</v>
      </c>
      <c r="V498" s="74" t="s">
        <v>77</v>
      </c>
      <c r="W498" s="15"/>
      <c r="X498" s="15"/>
      <c r="Y498" s="16"/>
      <c r="Z498" s="17"/>
      <c r="AA498" s="18"/>
      <c r="AB498" s="75">
        <v>380.4</v>
      </c>
      <c r="AC498" s="20">
        <v>41.805022663901028</v>
      </c>
      <c r="AD498" s="21">
        <v>45655</v>
      </c>
      <c r="AE498" s="22">
        <v>165338.63462683163</v>
      </c>
      <c r="AF498" s="23">
        <v>92562.195933333438</v>
      </c>
      <c r="AG498" s="24">
        <v>192181.7959333334</v>
      </c>
      <c r="AH498" s="15">
        <v>0.5</v>
      </c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</row>
    <row r="499" spans="1:68" ht="15" customHeight="1" x14ac:dyDescent="0.25">
      <c r="A499" s="1">
        <f t="shared" si="31"/>
        <v>203</v>
      </c>
      <c r="B499" s="1" t="str">
        <f t="shared" si="28"/>
        <v xml:space="preserve">UT </v>
      </c>
      <c r="C499" s="1">
        <f t="shared" si="29"/>
        <v>0</v>
      </c>
      <c r="D499" s="2" t="str">
        <f t="shared" si="30"/>
        <v>2024-12</v>
      </c>
      <c r="E499" s="3" t="s">
        <v>450</v>
      </c>
      <c r="F499" s="4" t="s">
        <v>83</v>
      </c>
      <c r="G499" s="39">
        <v>45655</v>
      </c>
      <c r="H499" s="40">
        <v>100</v>
      </c>
      <c r="I499" s="40">
        <v>-103</v>
      </c>
      <c r="J499" s="7">
        <v>114</v>
      </c>
      <c r="K499" s="8">
        <v>6.2151589242053461E-2</v>
      </c>
      <c r="L499" s="9">
        <v>2.9042798711239937E-2</v>
      </c>
      <c r="M499" s="10">
        <v>101.47783251231532</v>
      </c>
      <c r="N499" s="11">
        <v>2.1399999999999997</v>
      </c>
      <c r="O499" s="12">
        <v>5214.3440385464246</v>
      </c>
      <c r="P499" s="32" t="s">
        <v>143</v>
      </c>
      <c r="Q499" s="81" t="s">
        <v>76</v>
      </c>
      <c r="R499" s="79"/>
      <c r="S499" s="32"/>
      <c r="T499" s="32">
        <v>224.25</v>
      </c>
      <c r="U499" s="32">
        <v>224.25</v>
      </c>
      <c r="V499" s="74" t="s">
        <v>77</v>
      </c>
      <c r="W499" s="15"/>
      <c r="X499" s="15"/>
      <c r="Y499" s="16"/>
      <c r="Z499" s="17"/>
      <c r="AA499" s="18"/>
      <c r="AB499" s="75">
        <v>255.65</v>
      </c>
      <c r="AC499" s="20">
        <v>13.937493887530488</v>
      </c>
      <c r="AD499" s="21">
        <v>45655</v>
      </c>
      <c r="AE499" s="22">
        <v>163420.9790527827</v>
      </c>
      <c r="AF499" s="23">
        <v>91541.255933333421</v>
      </c>
      <c r="AG499" s="24">
        <v>191285.60593333346</v>
      </c>
      <c r="AH499" s="15">
        <v>0.5</v>
      </c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</row>
    <row r="500" spans="1:68" ht="15" customHeight="1" x14ac:dyDescent="0.25">
      <c r="A500" s="1">
        <f t="shared" si="31"/>
        <v>203</v>
      </c>
      <c r="B500" s="1" t="str">
        <f t="shared" si="28"/>
        <v xml:space="preserve">UT </v>
      </c>
      <c r="C500" s="1">
        <f t="shared" si="29"/>
        <v>0</v>
      </c>
      <c r="D500" s="2" t="str">
        <f t="shared" si="30"/>
        <v>2024-12</v>
      </c>
      <c r="E500" s="3" t="s">
        <v>451</v>
      </c>
      <c r="F500" s="4" t="s">
        <v>83</v>
      </c>
      <c r="G500" s="39">
        <v>45655</v>
      </c>
      <c r="H500" s="40">
        <v>-108</v>
      </c>
      <c r="I500" s="40">
        <v>104</v>
      </c>
      <c r="J500" s="7">
        <v>104</v>
      </c>
      <c r="K500" s="8">
        <v>4.933881210310035E-2</v>
      </c>
      <c r="L500" s="9">
        <v>2.4185692207402132E-2</v>
      </c>
      <c r="M500" s="10">
        <v>-105.92307692307689</v>
      </c>
      <c r="N500" s="11">
        <v>2.04</v>
      </c>
      <c r="O500" s="12">
        <v>4543.4702098493235</v>
      </c>
      <c r="P500" s="32" t="s">
        <v>143</v>
      </c>
      <c r="Q500" s="81" t="s">
        <v>76</v>
      </c>
      <c r="R500" s="82"/>
      <c r="S500" s="32"/>
      <c r="T500" s="32">
        <v>245.75</v>
      </c>
      <c r="U500" s="32">
        <v>245.75</v>
      </c>
      <c r="V500" s="74" t="s">
        <v>77</v>
      </c>
      <c r="W500" s="15"/>
      <c r="X500" s="15"/>
      <c r="Y500" s="16"/>
      <c r="Z500" s="17"/>
      <c r="AA500" s="18"/>
      <c r="AB500" s="75">
        <v>255.58</v>
      </c>
      <c r="AC500" s="20">
        <v>12.125013074336911</v>
      </c>
      <c r="AD500" s="21">
        <v>45655</v>
      </c>
      <c r="AE500" s="22">
        <v>163433.10406585704</v>
      </c>
      <c r="AF500" s="23">
        <v>91796.835933333423</v>
      </c>
      <c r="AG500" s="24">
        <v>191541.25593333345</v>
      </c>
      <c r="AH500" s="15">
        <v>0.5</v>
      </c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</row>
    <row r="501" spans="1:68" ht="15" customHeight="1" x14ac:dyDescent="0.25">
      <c r="A501" s="1">
        <f t="shared" si="31"/>
        <v>203</v>
      </c>
      <c r="B501" s="1" t="str">
        <f t="shared" si="28"/>
        <v xml:space="preserve">UT </v>
      </c>
      <c r="C501" s="1">
        <f t="shared" si="29"/>
        <v>0</v>
      </c>
      <c r="D501" s="2" t="str">
        <f t="shared" si="30"/>
        <v>2024-12</v>
      </c>
      <c r="E501" s="3" t="s">
        <v>452</v>
      </c>
      <c r="F501" s="4" t="s">
        <v>83</v>
      </c>
      <c r="G501" s="39">
        <v>45655</v>
      </c>
      <c r="H501" s="40">
        <v>-118</v>
      </c>
      <c r="I501" s="40">
        <v>114</v>
      </c>
      <c r="J501" s="7">
        <v>-104</v>
      </c>
      <c r="K501" s="8">
        <v>5.2723991132560412E-2</v>
      </c>
      <c r="L501" s="9">
        <v>2.6878897440128835E-2</v>
      </c>
      <c r="M501" s="10">
        <v>-115.8348623853211</v>
      </c>
      <c r="N501" s="11">
        <v>1.9615384615384617</v>
      </c>
      <c r="O501" s="12">
        <v>5258.3932320411514</v>
      </c>
      <c r="P501" s="32" t="s">
        <v>143</v>
      </c>
      <c r="Q501" s="81" t="s">
        <v>76</v>
      </c>
      <c r="R501" s="82"/>
      <c r="S501" s="32"/>
      <c r="T501" s="32">
        <v>263.75</v>
      </c>
      <c r="U501" s="32">
        <v>263.75</v>
      </c>
      <c r="V501" s="74" t="s">
        <v>77</v>
      </c>
      <c r="W501" s="15"/>
      <c r="X501" s="15"/>
      <c r="Y501" s="16"/>
      <c r="Z501" s="17"/>
      <c r="AA501" s="18"/>
      <c r="AB501" s="75">
        <v>253.61</v>
      </c>
      <c r="AC501" s="20">
        <v>13.905952661212808</v>
      </c>
      <c r="AD501" s="21">
        <v>45655</v>
      </c>
      <c r="AE501" s="22">
        <v>163447.01001851825</v>
      </c>
      <c r="AF501" s="23">
        <v>92050.445933333423</v>
      </c>
      <c r="AG501" s="24">
        <v>191796.83593333344</v>
      </c>
      <c r="AH501" s="15">
        <v>0.5</v>
      </c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</row>
    <row r="502" spans="1:68" ht="15" customHeight="1" x14ac:dyDescent="0.25">
      <c r="A502" s="1">
        <f t="shared" si="31"/>
        <v>203</v>
      </c>
      <c r="B502" s="1" t="str">
        <f t="shared" si="28"/>
        <v xml:space="preserve">UT </v>
      </c>
      <c r="C502" s="1">
        <f t="shared" si="29"/>
        <v>0</v>
      </c>
      <c r="D502" s="2" t="str">
        <f t="shared" si="30"/>
        <v>2024-12</v>
      </c>
      <c r="E502" s="3" t="s">
        <v>453</v>
      </c>
      <c r="F502" s="4" t="s">
        <v>83</v>
      </c>
      <c r="G502" s="39">
        <v>45655</v>
      </c>
      <c r="H502" s="40">
        <v>-129</v>
      </c>
      <c r="I502" s="40">
        <v>121</v>
      </c>
      <c r="J502" s="7">
        <v>-112</v>
      </c>
      <c r="K502" s="8">
        <v>4.9689048332281889E-2</v>
      </c>
      <c r="L502" s="9">
        <v>2.6250817986865904E-2</v>
      </c>
      <c r="M502" s="10">
        <v>-124.49344978165936</v>
      </c>
      <c r="N502" s="11">
        <v>1.8928571428571428</v>
      </c>
      <c r="O502" s="12">
        <v>5343.9701785219086</v>
      </c>
      <c r="P502" s="32" t="s">
        <v>143</v>
      </c>
      <c r="Q502" s="81" t="s">
        <v>76</v>
      </c>
      <c r="R502" s="82"/>
      <c r="S502" s="32"/>
      <c r="T502" s="32">
        <v>284.25</v>
      </c>
      <c r="U502" s="32">
        <v>284.25</v>
      </c>
      <c r="V502" s="74" t="s">
        <v>77</v>
      </c>
      <c r="W502" s="15"/>
      <c r="X502" s="15"/>
      <c r="Y502" s="16"/>
      <c r="Z502" s="17"/>
      <c r="AA502" s="18"/>
      <c r="AB502" s="75">
        <v>253.79</v>
      </c>
      <c r="AC502" s="20">
        <v>14.124111988451126</v>
      </c>
      <c r="AD502" s="21">
        <v>45655</v>
      </c>
      <c r="AE502" s="22">
        <v>163461.13413050672</v>
      </c>
      <c r="AF502" s="23">
        <v>92304.235933333417</v>
      </c>
      <c r="AG502" s="24">
        <v>192050.44593333342</v>
      </c>
      <c r="AH502" s="15">
        <v>0.5</v>
      </c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</row>
    <row r="503" spans="1:68" ht="15" customHeight="1" x14ac:dyDescent="0.25">
      <c r="A503" s="1">
        <f t="shared" si="31"/>
        <v>203</v>
      </c>
      <c r="B503" s="1" t="str">
        <f t="shared" si="28"/>
        <v xml:space="preserve">UT </v>
      </c>
      <c r="C503" s="1">
        <f t="shared" si="29"/>
        <v>0</v>
      </c>
      <c r="D503" s="2" t="str">
        <f t="shared" si="30"/>
        <v>2024-12</v>
      </c>
      <c r="E503" s="3" t="s">
        <v>454</v>
      </c>
      <c r="F503" s="4" t="s">
        <v>83</v>
      </c>
      <c r="G503" s="39">
        <v>45655</v>
      </c>
      <c r="H503" s="40">
        <v>108</v>
      </c>
      <c r="I503" s="40">
        <v>-114</v>
      </c>
      <c r="J503" s="7">
        <v>120</v>
      </c>
      <c r="K503" s="8">
        <v>4.3624756162440173E-2</v>
      </c>
      <c r="L503" s="9">
        <v>1.9829434619290986E-2</v>
      </c>
      <c r="M503" s="10">
        <v>110.803738317757</v>
      </c>
      <c r="N503" s="11">
        <v>2.2000000000000002</v>
      </c>
      <c r="O503" s="12">
        <v>3495.510583998348</v>
      </c>
      <c r="P503" s="32" t="s">
        <v>143</v>
      </c>
      <c r="Q503" s="81" t="s">
        <v>76</v>
      </c>
      <c r="R503" s="82"/>
      <c r="S503" s="32"/>
      <c r="T503" s="32">
        <v>213.25</v>
      </c>
      <c r="U503" s="32">
        <v>213.25</v>
      </c>
      <c r="V503" s="74" t="s">
        <v>77</v>
      </c>
      <c r="W503" s="15"/>
      <c r="X503" s="15"/>
      <c r="Y503" s="16"/>
      <c r="Z503" s="17"/>
      <c r="AA503" s="18"/>
      <c r="AB503" s="75">
        <v>255.9</v>
      </c>
      <c r="AC503" s="20">
        <v>9.3029792516403678</v>
      </c>
      <c r="AD503" s="21">
        <v>45655</v>
      </c>
      <c r="AE503" s="22">
        <v>163470.43710975835</v>
      </c>
      <c r="AF503" s="23">
        <v>92560.135933333411</v>
      </c>
      <c r="AG503" s="24">
        <v>192304.23593333343</v>
      </c>
      <c r="AH503" s="15">
        <v>0.5</v>
      </c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</row>
    <row r="504" spans="1:68" ht="15" customHeight="1" x14ac:dyDescent="0.25">
      <c r="A504" s="1">
        <f t="shared" si="31"/>
        <v>204</v>
      </c>
      <c r="B504" s="1" t="str">
        <f t="shared" si="28"/>
        <v xml:space="preserve">Knicks </v>
      </c>
      <c r="C504" s="1">
        <f t="shared" si="29"/>
        <v>0</v>
      </c>
      <c r="D504" s="2" t="str">
        <f t="shared" si="30"/>
        <v>2024-12</v>
      </c>
      <c r="E504" s="3" t="s">
        <v>455</v>
      </c>
      <c r="F504" s="4" t="s">
        <v>83</v>
      </c>
      <c r="G504" s="39">
        <v>45656</v>
      </c>
      <c r="H504" s="40">
        <v>134</v>
      </c>
      <c r="I504" s="40">
        <v>-160</v>
      </c>
      <c r="J504" s="7">
        <v>170</v>
      </c>
      <c r="K504" s="8">
        <v>0.10655737704918042</v>
      </c>
      <c r="L504" s="9">
        <v>3.9465695203400153E-2</v>
      </c>
      <c r="M504" s="10">
        <v>144</v>
      </c>
      <c r="N504" s="11">
        <v>2.7</v>
      </c>
      <c r="O504" s="12">
        <v>5954.3486912568378</v>
      </c>
      <c r="P504" s="32" t="s">
        <v>75</v>
      </c>
      <c r="Q504" s="81" t="s">
        <v>76</v>
      </c>
      <c r="R504" s="82"/>
      <c r="S504" s="32"/>
      <c r="T504" s="32">
        <v>150.75</v>
      </c>
      <c r="U504" s="32">
        <v>150.75</v>
      </c>
      <c r="V504" s="74" t="s">
        <v>77</v>
      </c>
      <c r="W504" s="15"/>
      <c r="X504" s="15"/>
      <c r="Y504" s="16"/>
      <c r="Z504" s="17"/>
      <c r="AA504" s="18"/>
      <c r="AB504" s="75">
        <v>256.27999999999997</v>
      </c>
      <c r="AC504" s="20">
        <v>16.063524590163947</v>
      </c>
      <c r="AD504" s="21">
        <v>45656</v>
      </c>
      <c r="AE504" s="22">
        <v>165621.04295176422</v>
      </c>
      <c r="AF504" s="23">
        <v>90245.805933333453</v>
      </c>
      <c r="AG504" s="24">
        <v>189989.52593333341</v>
      </c>
      <c r="AH504" s="15">
        <v>0.5</v>
      </c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</row>
    <row r="505" spans="1:68" ht="15" customHeight="1" x14ac:dyDescent="0.25">
      <c r="A505" s="1">
        <f t="shared" si="31"/>
        <v>205</v>
      </c>
      <c r="B505" s="1" t="str">
        <f t="shared" si="28"/>
        <v xml:space="preserve">Rockets </v>
      </c>
      <c r="C505" s="1">
        <f t="shared" si="29"/>
        <v>0</v>
      </c>
      <c r="D505" s="2" t="str">
        <f t="shared" si="30"/>
        <v>2025-01</v>
      </c>
      <c r="E505" s="3" t="s">
        <v>401</v>
      </c>
      <c r="F505" s="4" t="s">
        <v>83</v>
      </c>
      <c r="G505" s="98">
        <v>45662</v>
      </c>
      <c r="H505" s="40">
        <v>-166</v>
      </c>
      <c r="I505" s="40">
        <v>155</v>
      </c>
      <c r="J505" s="7">
        <v>-155</v>
      </c>
      <c r="K505" s="8">
        <v>1.0295624827431207E-2</v>
      </c>
      <c r="L505" s="9">
        <v>6.2581248951052437E-3</v>
      </c>
      <c r="M505" s="10">
        <v>-159.13533834586468</v>
      </c>
      <c r="N505" s="11">
        <v>1.6451612903225805</v>
      </c>
      <c r="O505" s="12">
        <v>1441.1821306155898</v>
      </c>
      <c r="P505" s="32" t="s">
        <v>75</v>
      </c>
      <c r="Q505" s="80" t="s">
        <v>81</v>
      </c>
      <c r="R505" s="80"/>
      <c r="S505" s="32"/>
      <c r="T505" s="32">
        <v>582.25</v>
      </c>
      <c r="U505" s="32">
        <v>582.25</v>
      </c>
      <c r="V505" s="74" t="s">
        <v>77</v>
      </c>
      <c r="W505" s="15"/>
      <c r="X505" s="15"/>
      <c r="Y505" s="16"/>
      <c r="Z505" s="17"/>
      <c r="AA505" s="18"/>
      <c r="AB505" s="75">
        <v>375.65</v>
      </c>
      <c r="AC505" s="20">
        <v>5.99462755577182</v>
      </c>
      <c r="AD505" s="21">
        <v>45662</v>
      </c>
      <c r="AE505" s="22">
        <v>176022.56530906926</v>
      </c>
      <c r="AF505" s="23">
        <v>80995.075933333457</v>
      </c>
      <c r="AG505" s="24">
        <v>180619.42593333343</v>
      </c>
      <c r="AH505" s="15">
        <v>0.5</v>
      </c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</row>
    <row r="506" spans="1:68" ht="15" customHeight="1" x14ac:dyDescent="0.25">
      <c r="A506" s="1">
        <f t="shared" si="31"/>
        <v>205</v>
      </c>
      <c r="B506" s="1" t="str">
        <f t="shared" si="28"/>
        <v xml:space="preserve">Rockets </v>
      </c>
      <c r="C506" s="1">
        <f t="shared" si="29"/>
        <v>0</v>
      </c>
      <c r="D506" s="2" t="str">
        <f t="shared" si="30"/>
        <v>2025-01</v>
      </c>
      <c r="E506" s="3" t="s">
        <v>456</v>
      </c>
      <c r="F506" s="4" t="s">
        <v>83</v>
      </c>
      <c r="G506" s="39">
        <v>45662</v>
      </c>
      <c r="H506" s="40">
        <v>108</v>
      </c>
      <c r="I506" s="40">
        <v>-137</v>
      </c>
      <c r="J506" s="7">
        <v>150</v>
      </c>
      <c r="K506" s="8">
        <v>0.13514445551383231</v>
      </c>
      <c r="L506" s="9">
        <v>5.4057782205532923E-2</v>
      </c>
      <c r="M506" s="10">
        <v>120.23628691983122</v>
      </c>
      <c r="N506" s="11">
        <v>2.5</v>
      </c>
      <c r="O506" s="12">
        <v>8138.6953446862626</v>
      </c>
      <c r="P506" s="32" t="s">
        <v>75</v>
      </c>
      <c r="Q506" s="81" t="s">
        <v>76</v>
      </c>
      <c r="R506" s="82"/>
      <c r="S506" s="32"/>
      <c r="T506" s="32">
        <v>168.25</v>
      </c>
      <c r="U506" s="32">
        <v>168.25</v>
      </c>
      <c r="V506" s="74" t="s">
        <v>82</v>
      </c>
      <c r="W506" s="15"/>
      <c r="X506" s="15"/>
      <c r="Y506" s="16"/>
      <c r="Z506" s="17"/>
      <c r="AA506" s="18"/>
      <c r="AB506" s="75">
        <v>-168.25</v>
      </c>
      <c r="AC506" s="20">
        <v>22.738054640202286</v>
      </c>
      <c r="AD506" s="21">
        <v>45662</v>
      </c>
      <c r="AE506" s="22">
        <v>176060.88879753891</v>
      </c>
      <c r="AF506" s="23">
        <v>80498.325933333457</v>
      </c>
      <c r="AG506" s="24">
        <v>180666.57593333343</v>
      </c>
      <c r="AH506" s="15">
        <v>0.5</v>
      </c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</row>
    <row r="507" spans="1:68" ht="15" customHeight="1" x14ac:dyDescent="0.25">
      <c r="A507" s="1">
        <f t="shared" si="31"/>
        <v>206</v>
      </c>
      <c r="B507" s="1" t="str">
        <f t="shared" si="28"/>
        <v xml:space="preserve">Thunder </v>
      </c>
      <c r="C507" s="1">
        <f t="shared" si="29"/>
        <v>0</v>
      </c>
      <c r="D507" s="2" t="str">
        <f t="shared" si="30"/>
        <v>2025-01</v>
      </c>
      <c r="E507" s="3" t="s">
        <v>457</v>
      </c>
      <c r="F507" s="4" t="s">
        <v>83</v>
      </c>
      <c r="G507" s="39">
        <v>45662</v>
      </c>
      <c r="H507" s="40">
        <v>-103</v>
      </c>
      <c r="I507" s="40">
        <v>-109</v>
      </c>
      <c r="J507" s="7">
        <v>114</v>
      </c>
      <c r="K507" s="8">
        <v>5.5293443899757114E-2</v>
      </c>
      <c r="L507" s="9">
        <v>2.5838057897082767E-2</v>
      </c>
      <c r="M507" s="10">
        <v>102.78719747294092</v>
      </c>
      <c r="N507" s="11">
        <v>2.1399999999999997</v>
      </c>
      <c r="O507" s="12">
        <v>4288.3930448804485</v>
      </c>
      <c r="P507" s="32" t="s">
        <v>75</v>
      </c>
      <c r="Q507" s="81" t="s">
        <v>76</v>
      </c>
      <c r="R507" s="82"/>
      <c r="S507" s="32"/>
      <c r="T507" s="32">
        <v>332.25</v>
      </c>
      <c r="U507" s="32">
        <v>332.25</v>
      </c>
      <c r="V507" s="74" t="s">
        <v>77</v>
      </c>
      <c r="W507" s="15"/>
      <c r="X507" s="15"/>
      <c r="Y507" s="16"/>
      <c r="Z507" s="17"/>
      <c r="AA507" s="18"/>
      <c r="AB507" s="75">
        <v>378.77</v>
      </c>
      <c r="AC507" s="20">
        <v>18.371246735694299</v>
      </c>
      <c r="AD507" s="21">
        <v>45662</v>
      </c>
      <c r="AE507" s="22">
        <v>174134.90386176575</v>
      </c>
      <c r="AF507" s="23">
        <v>77208.705933333462</v>
      </c>
      <c r="AG507" s="24">
        <v>176829.9359333335</v>
      </c>
      <c r="AH507" s="15">
        <v>0.5</v>
      </c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</row>
    <row r="508" spans="1:68" ht="15" customHeight="1" x14ac:dyDescent="0.25">
      <c r="A508" s="1">
        <f t="shared" si="31"/>
        <v>206</v>
      </c>
      <c r="B508" s="1" t="str">
        <f t="shared" si="28"/>
        <v xml:space="preserve">Thunder </v>
      </c>
      <c r="C508" s="1">
        <f t="shared" si="29"/>
        <v>0</v>
      </c>
      <c r="D508" s="2" t="str">
        <f t="shared" si="30"/>
        <v>2025-01</v>
      </c>
      <c r="E508" s="3" t="s">
        <v>458</v>
      </c>
      <c r="F508" s="4" t="s">
        <v>83</v>
      </c>
      <c r="G508" s="98">
        <v>45662</v>
      </c>
      <c r="H508" s="40">
        <v>-112</v>
      </c>
      <c r="I508" s="40">
        <v>-102</v>
      </c>
      <c r="J508" s="7">
        <v>104</v>
      </c>
      <c r="K508" s="8">
        <v>4.3051889350931238E-2</v>
      </c>
      <c r="L508" s="9">
        <v>2.110386732888786E-2</v>
      </c>
      <c r="M508" s="10">
        <v>-104.62449130595635</v>
      </c>
      <c r="N508" s="11">
        <v>2.04</v>
      </c>
      <c r="O508" s="12">
        <v>3667.8699999344158</v>
      </c>
      <c r="P508" s="32" t="s">
        <v>75</v>
      </c>
      <c r="Q508" s="81" t="s">
        <v>76</v>
      </c>
      <c r="R508" s="82"/>
      <c r="S508" s="32"/>
      <c r="T508" s="32">
        <v>363.75</v>
      </c>
      <c r="U508" s="32">
        <v>363.75</v>
      </c>
      <c r="V508" s="74" t="s">
        <v>77</v>
      </c>
      <c r="W508" s="15"/>
      <c r="X508" s="15"/>
      <c r="Y508" s="16"/>
      <c r="Z508" s="17"/>
      <c r="AA508" s="18"/>
      <c r="AB508" s="75">
        <v>378.3</v>
      </c>
      <c r="AC508" s="20">
        <v>15.660124751401238</v>
      </c>
      <c r="AD508" s="21">
        <v>45662</v>
      </c>
      <c r="AE508" s="22">
        <v>174150.56398651714</v>
      </c>
      <c r="AF508" s="23">
        <v>77587.005933333465</v>
      </c>
      <c r="AG508" s="24">
        <v>177208.70593333349</v>
      </c>
      <c r="AH508" s="15">
        <v>0.5</v>
      </c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</row>
    <row r="509" spans="1:68" ht="15" customHeight="1" x14ac:dyDescent="0.25">
      <c r="A509" s="1">
        <f t="shared" si="31"/>
        <v>206</v>
      </c>
      <c r="B509" s="1" t="str">
        <f t="shared" si="28"/>
        <v xml:space="preserve">Thunder </v>
      </c>
      <c r="C509" s="1">
        <f t="shared" si="29"/>
        <v>0</v>
      </c>
      <c r="D509" s="2" t="str">
        <f t="shared" si="30"/>
        <v>2025-01</v>
      </c>
      <c r="E509" s="3" t="s">
        <v>459</v>
      </c>
      <c r="F509" s="4" t="s">
        <v>83</v>
      </c>
      <c r="G509" s="98">
        <v>45662</v>
      </c>
      <c r="H509" s="40">
        <v>-129</v>
      </c>
      <c r="I509" s="40">
        <v>113</v>
      </c>
      <c r="J509" s="7">
        <v>-106</v>
      </c>
      <c r="K509" s="8">
        <v>5.9981700244308898E-2</v>
      </c>
      <c r="L509" s="9">
        <v>3.0864370028624966E-2</v>
      </c>
      <c r="M509" s="10">
        <v>-119.98689956331877</v>
      </c>
      <c r="N509" s="11">
        <v>1.9433962264150944</v>
      </c>
      <c r="O509" s="12">
        <v>5645.5443953040822</v>
      </c>
      <c r="P509" s="32" t="s">
        <v>75</v>
      </c>
      <c r="Q509" s="81" t="s">
        <v>76</v>
      </c>
      <c r="R509" s="82"/>
      <c r="S509" s="32"/>
      <c r="T509" s="32">
        <v>398.25</v>
      </c>
      <c r="U509" s="32">
        <v>398.25</v>
      </c>
      <c r="V509" s="74" t="s">
        <v>77</v>
      </c>
      <c r="W509" s="15"/>
      <c r="X509" s="15"/>
      <c r="Y509" s="16"/>
      <c r="Z509" s="17"/>
      <c r="AA509" s="18"/>
      <c r="AB509" s="75">
        <v>375.71</v>
      </c>
      <c r="AC509" s="20">
        <v>23.887712122296019</v>
      </c>
      <c r="AD509" s="21">
        <v>45662</v>
      </c>
      <c r="AE509" s="22">
        <v>174174.45169863943</v>
      </c>
      <c r="AF509" s="23">
        <v>77962.715933333471</v>
      </c>
      <c r="AG509" s="24">
        <v>177587.00593333348</v>
      </c>
      <c r="AH509" s="15">
        <v>0.5</v>
      </c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</row>
    <row r="510" spans="1:68" ht="15" customHeight="1" x14ac:dyDescent="0.25">
      <c r="A510" s="1">
        <f t="shared" si="31"/>
        <v>206</v>
      </c>
      <c r="B510" s="1" t="str">
        <f t="shared" si="28"/>
        <v xml:space="preserve">Thunder </v>
      </c>
      <c r="C510" s="1">
        <f t="shared" si="29"/>
        <v>0</v>
      </c>
      <c r="D510" s="2" t="str">
        <f t="shared" si="30"/>
        <v>2025-01</v>
      </c>
      <c r="E510" s="3" t="s">
        <v>460</v>
      </c>
      <c r="F510" s="4" t="s">
        <v>83</v>
      </c>
      <c r="G510" s="98">
        <v>45662</v>
      </c>
      <c r="H510" s="40">
        <v>-138</v>
      </c>
      <c r="I510" s="40">
        <v>120</v>
      </c>
      <c r="J510" s="7">
        <v>-120</v>
      </c>
      <c r="K510" s="8">
        <v>2.769571639586401E-2</v>
      </c>
      <c r="L510" s="9">
        <v>1.5106754397744004E-2</v>
      </c>
      <c r="M510" s="10">
        <v>-127.56302521008399</v>
      </c>
      <c r="N510" s="11">
        <v>1.8333333333333335</v>
      </c>
      <c r="O510" s="12">
        <v>2957.2829457163875</v>
      </c>
      <c r="P510" s="32" t="s">
        <v>75</v>
      </c>
      <c r="Q510" s="81" t="s">
        <v>76</v>
      </c>
      <c r="R510" s="82"/>
      <c r="S510" s="32"/>
      <c r="T510" s="32">
        <v>450.75</v>
      </c>
      <c r="U510" s="32">
        <v>450.75</v>
      </c>
      <c r="V510" s="74" t="s">
        <v>77</v>
      </c>
      <c r="W510" s="15"/>
      <c r="X510" s="15"/>
      <c r="Y510" s="16"/>
      <c r="Z510" s="17"/>
      <c r="AA510" s="18"/>
      <c r="AB510" s="75">
        <v>375.63</v>
      </c>
      <c r="AC510" s="20">
        <v>12.483844165435702</v>
      </c>
      <c r="AD510" s="21">
        <v>45662</v>
      </c>
      <c r="AE510" s="22">
        <v>174186.93554280486</v>
      </c>
      <c r="AF510" s="23">
        <v>78338.345933333476</v>
      </c>
      <c r="AG510" s="24">
        <v>177962.71593333347</v>
      </c>
      <c r="AH510" s="15">
        <v>0.5</v>
      </c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</row>
    <row r="511" spans="1:68" ht="15" customHeight="1" x14ac:dyDescent="0.25">
      <c r="A511" s="1">
        <f t="shared" si="31"/>
        <v>207</v>
      </c>
      <c r="B511" s="1" t="str">
        <f t="shared" si="28"/>
        <v xml:space="preserve">Tarleton </v>
      </c>
      <c r="C511" s="1">
        <f t="shared" si="29"/>
        <v>0</v>
      </c>
      <c r="D511" s="2" t="str">
        <f t="shared" si="30"/>
        <v>2025-01</v>
      </c>
      <c r="E511" s="3" t="s">
        <v>461</v>
      </c>
      <c r="F511" s="4" t="s">
        <v>83</v>
      </c>
      <c r="G511" s="39">
        <v>45668</v>
      </c>
      <c r="H511" s="40">
        <v>105</v>
      </c>
      <c r="I511" s="40">
        <v>-123</v>
      </c>
      <c r="J511" s="7">
        <v>100</v>
      </c>
      <c r="K511" s="8">
        <v>-6.1349047669156942E-2</v>
      </c>
      <c r="L511" s="9">
        <v>-3.0674523834578471E-2</v>
      </c>
      <c r="M511" s="10">
        <v>113.07174887892376</v>
      </c>
      <c r="N511" s="11">
        <v>2</v>
      </c>
      <c r="O511" s="12">
        <v>-6453.1031342277738</v>
      </c>
      <c r="P511" s="32" t="s">
        <v>143</v>
      </c>
      <c r="Q511" s="81" t="s">
        <v>81</v>
      </c>
      <c r="R511" s="82"/>
      <c r="S511" s="32"/>
      <c r="T511" s="32">
        <v>504.75</v>
      </c>
      <c r="U511" s="32">
        <v>504.75</v>
      </c>
      <c r="V511" s="74" t="s">
        <v>82</v>
      </c>
      <c r="W511" s="15"/>
      <c r="X511" s="15"/>
      <c r="Y511" s="16"/>
      <c r="Z511" s="17"/>
      <c r="AA511" s="18"/>
      <c r="AB511" s="75">
        <v>-504.75</v>
      </c>
      <c r="AC511" s="20">
        <v>-30.965931811006968</v>
      </c>
      <c r="AD511" s="21">
        <v>45668</v>
      </c>
      <c r="AE511" s="22">
        <v>176971.61049114182</v>
      </c>
      <c r="AF511" s="23">
        <v>109868.62593333346</v>
      </c>
      <c r="AG511" s="24">
        <v>210373.37593333345</v>
      </c>
      <c r="AH511" s="15">
        <v>0.5</v>
      </c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</row>
    <row r="512" spans="1:68" ht="15" customHeight="1" x14ac:dyDescent="0.25">
      <c r="A512" s="1">
        <f t="shared" si="31"/>
        <v>207</v>
      </c>
      <c r="B512" s="1" t="str">
        <f t="shared" si="28"/>
        <v xml:space="preserve">Tarleton </v>
      </c>
      <c r="C512" s="1">
        <f t="shared" si="29"/>
        <v>0</v>
      </c>
      <c r="D512" s="2" t="str">
        <f t="shared" si="30"/>
        <v>2025-01</v>
      </c>
      <c r="E512" s="3" t="s">
        <v>462</v>
      </c>
      <c r="F512" s="4" t="s">
        <v>83</v>
      </c>
      <c r="G512" s="39">
        <v>45668</v>
      </c>
      <c r="H512" s="40">
        <v>110</v>
      </c>
      <c r="I512" s="40">
        <v>-127</v>
      </c>
      <c r="J512" s="7">
        <v>108</v>
      </c>
      <c r="K512" s="8">
        <v>-4.3629734656674038E-2</v>
      </c>
      <c r="L512" s="9">
        <v>-2.0975833969554825E-2</v>
      </c>
      <c r="M512" s="10">
        <v>117.48898678414098</v>
      </c>
      <c r="N512" s="11">
        <v>2.08</v>
      </c>
      <c r="O512" s="12">
        <v>-4239.1261399222767</v>
      </c>
      <c r="P512" s="32" t="s">
        <v>143</v>
      </c>
      <c r="Q512" s="81" t="s">
        <v>76</v>
      </c>
      <c r="R512" s="82"/>
      <c r="S512" s="32"/>
      <c r="T512" s="32">
        <v>233.75</v>
      </c>
      <c r="U512" s="32">
        <v>233.75</v>
      </c>
      <c r="V512" s="74" t="s">
        <v>82</v>
      </c>
      <c r="W512" s="15"/>
      <c r="X512" s="15"/>
      <c r="Y512" s="16"/>
      <c r="Z512" s="17"/>
      <c r="AA512" s="18"/>
      <c r="AB512" s="75">
        <v>-233.75</v>
      </c>
      <c r="AC512" s="20">
        <v>-10.198450475997557</v>
      </c>
      <c r="AD512" s="21">
        <v>45668</v>
      </c>
      <c r="AE512" s="22">
        <v>176961.41204066583</v>
      </c>
      <c r="AF512" s="23">
        <v>109634.87593333346</v>
      </c>
      <c r="AG512" s="24">
        <v>209868.62593333345</v>
      </c>
      <c r="AH512" s="15">
        <v>0.5</v>
      </c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</row>
    <row r="513" spans="1:73" ht="15" customHeight="1" x14ac:dyDescent="0.25">
      <c r="A513" s="1">
        <f t="shared" si="31"/>
        <v>207</v>
      </c>
      <c r="B513" s="1" t="str">
        <f t="shared" si="28"/>
        <v xml:space="preserve">Tarleton </v>
      </c>
      <c r="C513" s="1">
        <f t="shared" si="29"/>
        <v>0</v>
      </c>
      <c r="D513" s="2" t="str">
        <f t="shared" si="30"/>
        <v>2025-01</v>
      </c>
      <c r="E513" s="3" t="s">
        <v>463</v>
      </c>
      <c r="F513" s="4" t="s">
        <v>83</v>
      </c>
      <c r="G513" s="39">
        <v>45668</v>
      </c>
      <c r="H513" s="40">
        <v>116</v>
      </c>
      <c r="I513" s="40">
        <v>-136</v>
      </c>
      <c r="J513" s="7">
        <v>116</v>
      </c>
      <c r="K513" s="8">
        <v>-3.775294472968916E-2</v>
      </c>
      <c r="L513" s="9">
        <v>-1.7478215152633869E-2</v>
      </c>
      <c r="M513" s="10">
        <v>124.47457627118649</v>
      </c>
      <c r="N513" s="11">
        <v>2.16</v>
      </c>
      <c r="O513" s="12">
        <v>-3411.3508122958538</v>
      </c>
      <c r="P513" s="32" t="s">
        <v>143</v>
      </c>
      <c r="Q513" s="81" t="s">
        <v>76</v>
      </c>
      <c r="R513" s="82"/>
      <c r="S513" s="32"/>
      <c r="T513" s="32">
        <v>217.75</v>
      </c>
      <c r="U513" s="32">
        <v>217.75</v>
      </c>
      <c r="V513" s="74" t="s">
        <v>82</v>
      </c>
      <c r="W513" s="15"/>
      <c r="X513" s="15"/>
      <c r="Y513" s="16"/>
      <c r="Z513" s="17"/>
      <c r="AA513" s="18"/>
      <c r="AB513" s="75">
        <v>-217.75</v>
      </c>
      <c r="AC513" s="20">
        <v>-8.2207037148898152</v>
      </c>
      <c r="AD513" s="21">
        <v>45668</v>
      </c>
      <c r="AE513" s="22">
        <v>176953.19133695096</v>
      </c>
      <c r="AF513" s="23">
        <v>109417.12593333346</v>
      </c>
      <c r="AG513" s="24">
        <v>209634.87593333345</v>
      </c>
      <c r="AH513" s="15">
        <v>0.5</v>
      </c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</row>
    <row r="514" spans="1:73" ht="15" customHeight="1" x14ac:dyDescent="0.25">
      <c r="A514" s="1">
        <f t="shared" si="31"/>
        <v>207</v>
      </c>
      <c r="B514" s="1" t="str">
        <f t="shared" ref="B514:B577" si="32">LEFT(E514, FIND(" ", E514))</f>
        <v xml:space="preserve">Tarleton </v>
      </c>
      <c r="C514" s="1">
        <f t="shared" ref="C514:C577" si="33">IF(Q514="total", 1, 0)</f>
        <v>0</v>
      </c>
      <c r="D514" s="2" t="str">
        <f t="shared" ref="D514:D577" si="34">YEAR(G514)&amp;"-"&amp;IF(MONTH(G514)&lt;10, "0", "")&amp;MONTH(G514)</f>
        <v>2025-01</v>
      </c>
      <c r="E514" s="3" t="s">
        <v>464</v>
      </c>
      <c r="F514" s="4" t="s">
        <v>83</v>
      </c>
      <c r="G514" s="39">
        <v>45668</v>
      </c>
      <c r="H514" s="40">
        <v>123</v>
      </c>
      <c r="I514" s="40">
        <v>-146</v>
      </c>
      <c r="J514" s="7">
        <v>125</v>
      </c>
      <c r="K514" s="8">
        <v>-3.1631617621330141E-2</v>
      </c>
      <c r="L514" s="9">
        <v>-1.4058496720591174E-2</v>
      </c>
      <c r="M514" s="10">
        <v>132.34959349593495</v>
      </c>
      <c r="N514" s="11">
        <v>2.25</v>
      </c>
      <c r="O514" s="12">
        <v>-2649.6809803524575</v>
      </c>
      <c r="P514" s="32" t="s">
        <v>143</v>
      </c>
      <c r="Q514" s="81" t="s">
        <v>76</v>
      </c>
      <c r="R514" s="82"/>
      <c r="S514" s="32"/>
      <c r="T514" s="32">
        <v>201.75</v>
      </c>
      <c r="U514" s="32">
        <v>201.75</v>
      </c>
      <c r="V514" s="74" t="s">
        <v>82</v>
      </c>
      <c r="W514" s="15"/>
      <c r="X514" s="15"/>
      <c r="Y514" s="16"/>
      <c r="Z514" s="17"/>
      <c r="AA514" s="18"/>
      <c r="AB514" s="75">
        <v>-201.75</v>
      </c>
      <c r="AC514" s="20">
        <v>-6.3816788551033561</v>
      </c>
      <c r="AD514" s="21">
        <v>45668</v>
      </c>
      <c r="AE514" s="22">
        <v>176946.80965809585</v>
      </c>
      <c r="AF514" s="23">
        <v>109215.37593333346</v>
      </c>
      <c r="AG514" s="24">
        <v>209417.12593333345</v>
      </c>
      <c r="AH514" s="15">
        <v>0.5</v>
      </c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</row>
    <row r="515" spans="1:73" ht="15" customHeight="1" x14ac:dyDescent="0.25">
      <c r="A515" s="1">
        <f t="shared" si="31"/>
        <v>208</v>
      </c>
      <c r="B515" s="1" t="str">
        <f t="shared" si="32"/>
        <v xml:space="preserve">UT </v>
      </c>
      <c r="C515" s="1">
        <f t="shared" si="33"/>
        <v>1</v>
      </c>
      <c r="D515" s="2" t="str">
        <f t="shared" si="34"/>
        <v>2025-01</v>
      </c>
      <c r="E515" s="3" t="s">
        <v>465</v>
      </c>
      <c r="F515" s="4" t="s">
        <v>83</v>
      </c>
      <c r="G515" s="39">
        <v>45668</v>
      </c>
      <c r="H515" s="40">
        <v>-111</v>
      </c>
      <c r="I515" s="40">
        <v>-120</v>
      </c>
      <c r="J515" s="7">
        <v>110</v>
      </c>
      <c r="K515" s="8">
        <v>3.1001206272617828E-2</v>
      </c>
      <c r="L515" s="9">
        <v>1.476247917743706E-2</v>
      </c>
      <c r="M515" s="10">
        <v>103.68550368550368</v>
      </c>
      <c r="N515" s="11">
        <v>2.1</v>
      </c>
      <c r="O515" s="12">
        <v>2969.9455184157837</v>
      </c>
      <c r="P515" s="32" t="s">
        <v>143</v>
      </c>
      <c r="Q515" s="81" t="s">
        <v>92</v>
      </c>
      <c r="R515" s="82"/>
      <c r="S515" s="32"/>
      <c r="T515" s="32">
        <v>114.75</v>
      </c>
      <c r="U515" s="32">
        <v>114.75</v>
      </c>
      <c r="V515" s="74" t="s">
        <v>82</v>
      </c>
      <c r="W515" s="15"/>
      <c r="X515" s="15"/>
      <c r="Y515" s="16"/>
      <c r="Z515" s="17"/>
      <c r="AA515" s="18"/>
      <c r="AB515" s="75">
        <v>-114.75</v>
      </c>
      <c r="AC515" s="20">
        <v>3.5573884197828956</v>
      </c>
      <c r="AD515" s="21">
        <v>45668</v>
      </c>
      <c r="AE515" s="22">
        <v>176999.17876552485</v>
      </c>
      <c r="AF515" s="23">
        <v>110647.37593333346</v>
      </c>
      <c r="AG515" s="24">
        <v>210762.12593333345</v>
      </c>
      <c r="AH515" s="15">
        <v>0.5</v>
      </c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</row>
    <row r="516" spans="1:73" ht="15" customHeight="1" x14ac:dyDescent="0.25">
      <c r="A516" s="1">
        <f t="shared" ref="A516:A579" si="35">IF(AND(B516=B515, C516=C515, G516=G515), A515, A515+1)</f>
        <v>208</v>
      </c>
      <c r="B516" s="1" t="str">
        <f t="shared" si="32"/>
        <v xml:space="preserve">UT </v>
      </c>
      <c r="C516" s="1">
        <f t="shared" si="33"/>
        <v>1</v>
      </c>
      <c r="D516" s="2" t="str">
        <f t="shared" si="34"/>
        <v>2025-01</v>
      </c>
      <c r="E516" s="3" t="s">
        <v>466</v>
      </c>
      <c r="F516" s="4" t="s">
        <v>83</v>
      </c>
      <c r="G516" s="39">
        <v>45668</v>
      </c>
      <c r="H516" s="40">
        <v>-123</v>
      </c>
      <c r="I516" s="40">
        <v>-108</v>
      </c>
      <c r="J516" s="7">
        <v>-103</v>
      </c>
      <c r="K516" s="8">
        <v>1.5197611167277119E-2</v>
      </c>
      <c r="L516" s="9">
        <v>7.7111032031011995E-3</v>
      </c>
      <c r="M516" s="10">
        <v>-106.22820129546589</v>
      </c>
      <c r="N516" s="11">
        <v>1.970873786407767</v>
      </c>
      <c r="O516" s="12">
        <v>1648.6885101136556</v>
      </c>
      <c r="P516" s="32" t="s">
        <v>143</v>
      </c>
      <c r="Q516" s="81" t="s">
        <v>92</v>
      </c>
      <c r="R516" s="82"/>
      <c r="S516" s="32"/>
      <c r="T516" s="32">
        <v>128.75</v>
      </c>
      <c r="U516" s="32">
        <v>128.75</v>
      </c>
      <c r="V516" s="74" t="s">
        <v>82</v>
      </c>
      <c r="W516" s="15"/>
      <c r="X516" s="15"/>
      <c r="Y516" s="16"/>
      <c r="Z516" s="17"/>
      <c r="AA516" s="18"/>
      <c r="AB516" s="75">
        <v>-128.75</v>
      </c>
      <c r="AC516" s="20">
        <v>1.956692437786929</v>
      </c>
      <c r="AD516" s="21">
        <v>45668</v>
      </c>
      <c r="AE516" s="22">
        <v>177001.13545796263</v>
      </c>
      <c r="AF516" s="23">
        <v>110518.62593333346</v>
      </c>
      <c r="AG516" s="24">
        <v>210647.37593333345</v>
      </c>
      <c r="AH516" s="15">
        <v>0.5</v>
      </c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</row>
    <row r="517" spans="1:73" ht="15" customHeight="1" x14ac:dyDescent="0.25">
      <c r="A517" s="1">
        <f t="shared" si="35"/>
        <v>208</v>
      </c>
      <c r="B517" s="1" t="str">
        <f t="shared" si="32"/>
        <v xml:space="preserve">UT </v>
      </c>
      <c r="C517" s="1">
        <f t="shared" si="33"/>
        <v>1</v>
      </c>
      <c r="D517" s="2" t="str">
        <f t="shared" si="34"/>
        <v>2025-01</v>
      </c>
      <c r="E517" s="3" t="s">
        <v>467</v>
      </c>
      <c r="F517" s="4" t="s">
        <v>83</v>
      </c>
      <c r="G517" s="39">
        <v>45668</v>
      </c>
      <c r="H517" s="40">
        <v>-139</v>
      </c>
      <c r="I517" s="40">
        <v>102</v>
      </c>
      <c r="J517" s="7">
        <v>-115</v>
      </c>
      <c r="K517" s="8">
        <v>9.9205851304983144E-3</v>
      </c>
      <c r="L517" s="9">
        <v>5.3063594884060761E-3</v>
      </c>
      <c r="M517" s="10">
        <v>-117.48117154811717</v>
      </c>
      <c r="N517" s="11">
        <v>1.8695652173913042</v>
      </c>
      <c r="O517" s="12">
        <v>1200.8690713231199</v>
      </c>
      <c r="P517" s="32" t="s">
        <v>143</v>
      </c>
      <c r="Q517" s="81" t="s">
        <v>92</v>
      </c>
      <c r="R517" s="82"/>
      <c r="S517" s="32"/>
      <c r="T517" s="32">
        <v>145.25</v>
      </c>
      <c r="U517" s="32">
        <v>145.25</v>
      </c>
      <c r="V517" s="74" t="s">
        <v>82</v>
      </c>
      <c r="W517" s="15"/>
      <c r="X517" s="15"/>
      <c r="Y517" s="16"/>
      <c r="Z517" s="17"/>
      <c r="AA517" s="18"/>
      <c r="AB517" s="75">
        <v>-145.25</v>
      </c>
      <c r="AC517" s="20">
        <v>1.4409649902048802</v>
      </c>
      <c r="AD517" s="21">
        <v>45668</v>
      </c>
      <c r="AE517" s="22">
        <v>177002.57642295284</v>
      </c>
      <c r="AF517" s="23">
        <v>110373.37593333346</v>
      </c>
      <c r="AG517" s="24">
        <v>210518.62593333345</v>
      </c>
      <c r="AH517" s="15">
        <v>0.5</v>
      </c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</row>
    <row r="518" spans="1:73" ht="15" customHeight="1" x14ac:dyDescent="0.25">
      <c r="A518" s="1">
        <f t="shared" si="35"/>
        <v>209</v>
      </c>
      <c r="B518" s="1" t="str">
        <f t="shared" si="32"/>
        <v xml:space="preserve">Pistons </v>
      </c>
      <c r="C518" s="1">
        <f t="shared" si="33"/>
        <v>0</v>
      </c>
      <c r="D518" s="2" t="str">
        <f t="shared" si="34"/>
        <v>2025-01</v>
      </c>
      <c r="E518" s="3" t="s">
        <v>414</v>
      </c>
      <c r="F518" s="4" t="s">
        <v>83</v>
      </c>
      <c r="G518" s="39">
        <v>45670</v>
      </c>
      <c r="H518" s="40">
        <v>-157</v>
      </c>
      <c r="I518" s="40">
        <v>129</v>
      </c>
      <c r="J518" s="7">
        <v>-114</v>
      </c>
      <c r="K518" s="8">
        <v>9.4686702970587247E-2</v>
      </c>
      <c r="L518" s="9">
        <v>5.0440580087135256E-2</v>
      </c>
      <c r="M518" s="10">
        <v>-139.89494163424121</v>
      </c>
      <c r="N518" s="11">
        <v>1.8771929824561404</v>
      </c>
      <c r="O518" s="12">
        <v>11000.186508250488</v>
      </c>
      <c r="P518" s="32" t="s">
        <v>75</v>
      </c>
      <c r="Q518" s="81" t="s">
        <v>81</v>
      </c>
      <c r="R518" s="82"/>
      <c r="S518" s="32"/>
      <c r="T518" s="32">
        <v>104.25</v>
      </c>
      <c r="U518" s="32">
        <v>104.25</v>
      </c>
      <c r="V518" s="74" t="s">
        <v>77</v>
      </c>
      <c r="W518" s="15"/>
      <c r="X518" s="15"/>
      <c r="Y518" s="16"/>
      <c r="Z518" s="17"/>
      <c r="AA518" s="18"/>
      <c r="AB518" s="75">
        <v>91.45</v>
      </c>
      <c r="AC518" s="20">
        <v>9.871088784683721</v>
      </c>
      <c r="AD518" s="21">
        <v>45670</v>
      </c>
      <c r="AE518" s="22">
        <v>180988.17625085698</v>
      </c>
      <c r="AF518" s="23">
        <v>103906.47593333347</v>
      </c>
      <c r="AG518" s="24">
        <v>203815.0259333335</v>
      </c>
      <c r="AH518" s="15">
        <v>0.5</v>
      </c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</row>
    <row r="519" spans="1:73" ht="15" customHeight="1" x14ac:dyDescent="0.25">
      <c r="A519" s="1">
        <f t="shared" si="35"/>
        <v>210</v>
      </c>
      <c r="B519" s="1" t="str">
        <f t="shared" si="32"/>
        <v xml:space="preserve">Bucks </v>
      </c>
      <c r="C519" s="1">
        <f t="shared" si="33"/>
        <v>0</v>
      </c>
      <c r="D519" s="2" t="str">
        <f t="shared" si="34"/>
        <v>2025-02</v>
      </c>
      <c r="E519" s="3" t="s">
        <v>468</v>
      </c>
      <c r="F519" s="4" t="s">
        <v>83</v>
      </c>
      <c r="G519" s="39">
        <v>45715</v>
      </c>
      <c r="H519" s="40">
        <v>-131</v>
      </c>
      <c r="I519" s="40">
        <v>119</v>
      </c>
      <c r="J519" s="7">
        <v>-121</v>
      </c>
      <c r="K519" s="8">
        <v>1.1776967220295859E-2</v>
      </c>
      <c r="L519" s="9">
        <v>6.4480227767230724E-3</v>
      </c>
      <c r="M519" s="10">
        <v>-124.19480519480523</v>
      </c>
      <c r="N519" s="11">
        <v>1.8264462809917354</v>
      </c>
      <c r="O519" s="12">
        <v>1816.9095797254311</v>
      </c>
      <c r="P519" s="32" t="s">
        <v>75</v>
      </c>
      <c r="Q519" s="81" t="s">
        <v>76</v>
      </c>
      <c r="R519" s="82"/>
      <c r="S519" s="32"/>
      <c r="T519" s="32">
        <v>773.15</v>
      </c>
      <c r="U519" s="32">
        <v>773.15</v>
      </c>
      <c r="V519" s="74" t="s">
        <v>77</v>
      </c>
      <c r="W519" s="15"/>
      <c r="X519" s="15"/>
      <c r="Y519" s="16"/>
      <c r="Z519" s="17"/>
      <c r="AA519" s="18"/>
      <c r="AB519" s="75">
        <v>638.97</v>
      </c>
      <c r="AC519" s="20">
        <v>9.1053622063717423</v>
      </c>
      <c r="AD519" s="21">
        <v>45715</v>
      </c>
      <c r="AE519" s="22">
        <v>199382.63716881265</v>
      </c>
      <c r="AF519" s="23">
        <v>155641.49093333347</v>
      </c>
      <c r="AG519" s="24">
        <v>255002.52093333367</v>
      </c>
      <c r="AH519" s="15">
        <v>0.5</v>
      </c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</row>
    <row r="520" spans="1:73" ht="15" customHeight="1" x14ac:dyDescent="0.25">
      <c r="A520" s="1">
        <f t="shared" si="35"/>
        <v>210</v>
      </c>
      <c r="B520" s="1" t="str">
        <f t="shared" si="32"/>
        <v xml:space="preserve">Bucks </v>
      </c>
      <c r="C520" s="1">
        <f t="shared" si="33"/>
        <v>0</v>
      </c>
      <c r="D520" s="2" t="str">
        <f t="shared" si="34"/>
        <v>2025-02</v>
      </c>
      <c r="E520" s="3" t="s">
        <v>469</v>
      </c>
      <c r="F520" s="4" t="s">
        <v>83</v>
      </c>
      <c r="G520" s="39">
        <v>45715</v>
      </c>
      <c r="H520" s="40">
        <v>-123</v>
      </c>
      <c r="I520" s="40">
        <v>111</v>
      </c>
      <c r="J520" s="7">
        <v>-110</v>
      </c>
      <c r="K520" s="8">
        <v>2.6809449436021943E-2</v>
      </c>
      <c r="L520" s="9">
        <v>1.4043044942678162E-2</v>
      </c>
      <c r="M520" s="10">
        <v>-116.38116591928254</v>
      </c>
      <c r="N520" s="11">
        <v>1.9090909090909092</v>
      </c>
      <c r="O520" s="12">
        <v>3763.3783550052294</v>
      </c>
      <c r="P520" s="32" t="s">
        <v>75</v>
      </c>
      <c r="Q520" s="81" t="s">
        <v>76</v>
      </c>
      <c r="R520" s="82"/>
      <c r="S520" s="32"/>
      <c r="T520" s="32">
        <v>705.18</v>
      </c>
      <c r="U520" s="32">
        <v>705.18</v>
      </c>
      <c r="V520" s="74" t="s">
        <v>77</v>
      </c>
      <c r="W520" s="15"/>
      <c r="X520" s="15"/>
      <c r="Y520" s="16"/>
      <c r="Z520" s="17"/>
      <c r="AA520" s="18"/>
      <c r="AB520" s="75">
        <v>641.07000000000005</v>
      </c>
      <c r="AC520" s="20">
        <v>18.905487553293952</v>
      </c>
      <c r="AD520" s="21">
        <v>45715</v>
      </c>
      <c r="AE520" s="22">
        <v>199418.53416699282</v>
      </c>
      <c r="AF520" s="23">
        <v>155868.47093333348</v>
      </c>
      <c r="AG520" s="24">
        <v>255227.40093333367</v>
      </c>
      <c r="AH520" s="15">
        <v>0.5</v>
      </c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</row>
    <row r="521" spans="1:73" ht="15" customHeight="1" x14ac:dyDescent="0.25">
      <c r="A521" s="1">
        <f t="shared" si="35"/>
        <v>210</v>
      </c>
      <c r="B521" s="1" t="str">
        <f t="shared" si="32"/>
        <v xml:space="preserve">Bucks </v>
      </c>
      <c r="C521" s="1">
        <f t="shared" si="33"/>
        <v>0</v>
      </c>
      <c r="D521" s="2" t="str">
        <f t="shared" si="34"/>
        <v>2025-02</v>
      </c>
      <c r="E521" s="3" t="s">
        <v>468</v>
      </c>
      <c r="F521" s="4" t="s">
        <v>83</v>
      </c>
      <c r="G521" s="39">
        <v>45715</v>
      </c>
      <c r="H521" s="40">
        <v>-131</v>
      </c>
      <c r="I521" s="40">
        <v>119</v>
      </c>
      <c r="J521" s="7">
        <v>-118</v>
      </c>
      <c r="K521" s="8">
        <v>2.3416398548085283E-2</v>
      </c>
      <c r="L521" s="9">
        <v>1.2674931324192951E-2</v>
      </c>
      <c r="M521" s="10">
        <v>-124.19480519480523</v>
      </c>
      <c r="N521" s="11">
        <v>1.847457627118644</v>
      </c>
      <c r="O521" s="12">
        <v>3534.9956738458291</v>
      </c>
      <c r="P521" s="32" t="s">
        <v>75</v>
      </c>
      <c r="Q521" s="81" t="s">
        <v>76</v>
      </c>
      <c r="R521" s="82"/>
      <c r="S521" s="32"/>
      <c r="T521" s="32">
        <v>754.96</v>
      </c>
      <c r="U521" s="32">
        <v>754.96</v>
      </c>
      <c r="V521" s="74" t="s">
        <v>77</v>
      </c>
      <c r="W521" s="15"/>
      <c r="X521" s="15"/>
      <c r="Y521" s="16"/>
      <c r="Z521" s="17"/>
      <c r="AA521" s="18"/>
      <c r="AB521" s="75">
        <v>639.79999999999995</v>
      </c>
      <c r="AC521" s="20">
        <v>17.678444247862465</v>
      </c>
      <c r="AD521" s="21">
        <v>45715</v>
      </c>
      <c r="AE521" s="22">
        <v>199436.21261124068</v>
      </c>
      <c r="AF521" s="23">
        <v>156508.27093333346</v>
      </c>
      <c r="AG521" s="24">
        <v>255868.47093333368</v>
      </c>
      <c r="AH521" s="15">
        <v>0.5</v>
      </c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</row>
    <row r="522" spans="1:73" ht="15" customHeight="1" x14ac:dyDescent="0.25">
      <c r="A522" s="1">
        <f t="shared" si="35"/>
        <v>210</v>
      </c>
      <c r="B522" s="1" t="str">
        <f t="shared" si="32"/>
        <v xml:space="preserve">Bucks </v>
      </c>
      <c r="C522" s="1">
        <f t="shared" si="33"/>
        <v>0</v>
      </c>
      <c r="D522" s="2" t="str">
        <f t="shared" si="34"/>
        <v>2025-02</v>
      </c>
      <c r="E522" s="3" t="s">
        <v>470</v>
      </c>
      <c r="F522" s="4" t="s">
        <v>83</v>
      </c>
      <c r="G522" s="39">
        <v>45715</v>
      </c>
      <c r="H522" s="40">
        <v>-147</v>
      </c>
      <c r="I522" s="40">
        <v>132</v>
      </c>
      <c r="J522" s="7">
        <v>-129</v>
      </c>
      <c r="K522" s="8">
        <v>2.9542366205115144E-2</v>
      </c>
      <c r="L522" s="9">
        <v>1.6641769608994994E-2</v>
      </c>
      <c r="M522" s="10">
        <v>-138.07287449392717</v>
      </c>
      <c r="N522" s="11">
        <v>1.7751937984496124</v>
      </c>
      <c r="O522" s="12">
        <v>4887.7205220869664</v>
      </c>
      <c r="P522" s="32" t="s">
        <v>75</v>
      </c>
      <c r="Q522" s="81" t="s">
        <v>76</v>
      </c>
      <c r="R522" s="82"/>
      <c r="S522" s="32"/>
      <c r="T522" s="32">
        <v>822.71</v>
      </c>
      <c r="U522" s="32">
        <v>822.71</v>
      </c>
      <c r="V522" s="74" t="s">
        <v>77</v>
      </c>
      <c r="W522" s="15"/>
      <c r="X522" s="15"/>
      <c r="Y522" s="16"/>
      <c r="Z522" s="17"/>
      <c r="AA522" s="18"/>
      <c r="AB522" s="75">
        <v>637.76</v>
      </c>
      <c r="AC522" s="20">
        <v>24.304800100610283</v>
      </c>
      <c r="AD522" s="21">
        <v>45715</v>
      </c>
      <c r="AE522" s="22">
        <v>199460.51741134131</v>
      </c>
      <c r="AF522" s="23">
        <v>157146.03093333347</v>
      </c>
      <c r="AG522" s="24">
        <v>256508.27093333367</v>
      </c>
      <c r="AH522" s="15">
        <v>0.5</v>
      </c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</row>
    <row r="523" spans="1:73" ht="15" customHeight="1" x14ac:dyDescent="0.25">
      <c r="A523" s="1">
        <f t="shared" si="35"/>
        <v>211</v>
      </c>
      <c r="B523" s="1" t="str">
        <f t="shared" si="32"/>
        <v xml:space="preserve">Magic </v>
      </c>
      <c r="C523" s="1">
        <f t="shared" si="33"/>
        <v>0</v>
      </c>
      <c r="D523" s="2" t="str">
        <f t="shared" si="34"/>
        <v>2025-02</v>
      </c>
      <c r="E523" s="3" t="s">
        <v>471</v>
      </c>
      <c r="F523" s="4" t="s">
        <v>83</v>
      </c>
      <c r="G523" s="39">
        <v>45715</v>
      </c>
      <c r="H523" s="40">
        <v>113</v>
      </c>
      <c r="I523" s="40">
        <v>-127</v>
      </c>
      <c r="J523" s="7">
        <v>128</v>
      </c>
      <c r="K523" s="8">
        <v>4.0300697473417663E-2</v>
      </c>
      <c r="L523" s="9">
        <v>1.7675744505884938E-2</v>
      </c>
      <c r="M523" s="10">
        <v>119.16740088105726</v>
      </c>
      <c r="N523" s="11">
        <v>2.2800000000000002</v>
      </c>
      <c r="O523" s="12">
        <v>4053.0255745592303</v>
      </c>
      <c r="P523" s="32" t="s">
        <v>75</v>
      </c>
      <c r="Q523" s="81" t="s">
        <v>81</v>
      </c>
      <c r="R523" s="82"/>
      <c r="S523" s="32"/>
      <c r="T523" s="32">
        <v>150.4</v>
      </c>
      <c r="U523" s="32">
        <v>150.4</v>
      </c>
      <c r="V523" s="74" t="s">
        <v>77</v>
      </c>
      <c r="W523" s="15"/>
      <c r="X523" s="15"/>
      <c r="Y523" s="16"/>
      <c r="Z523" s="17"/>
      <c r="AA523" s="18"/>
      <c r="AB523" s="75">
        <v>192.51</v>
      </c>
      <c r="AC523" s="20">
        <v>6.0612249000020171</v>
      </c>
      <c r="AD523" s="21">
        <v>45715</v>
      </c>
      <c r="AE523" s="22">
        <v>199480.42608654383</v>
      </c>
      <c r="AF523" s="23">
        <v>157650.72093333348</v>
      </c>
      <c r="AG523" s="24">
        <v>257458.21093333367</v>
      </c>
      <c r="AH523" s="15">
        <v>0.5</v>
      </c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</row>
    <row r="524" spans="1:73" ht="15" customHeight="1" x14ac:dyDescent="0.25">
      <c r="A524" s="1">
        <f t="shared" si="35"/>
        <v>212</v>
      </c>
      <c r="B524" s="1" t="str">
        <f t="shared" si="32"/>
        <v xml:space="preserve">Oklahoma </v>
      </c>
      <c r="C524" s="1">
        <f t="shared" si="33"/>
        <v>0</v>
      </c>
      <c r="D524" s="2" t="str">
        <f t="shared" si="34"/>
        <v>2025-03</v>
      </c>
      <c r="E524" s="3" t="s">
        <v>472</v>
      </c>
      <c r="F524" s="4" t="s">
        <v>83</v>
      </c>
      <c r="G524" s="39">
        <v>45717</v>
      </c>
      <c r="H524" s="40">
        <v>974</v>
      </c>
      <c r="I524" s="40">
        <v>-974</v>
      </c>
      <c r="J524" s="7">
        <v>1461</v>
      </c>
      <c r="K524" s="8">
        <v>0.45344506517690875</v>
      </c>
      <c r="L524" s="9">
        <v>2.9048370607104981E-2</v>
      </c>
      <c r="M524" s="10">
        <v>974</v>
      </c>
      <c r="N524" s="11">
        <v>15.61</v>
      </c>
      <c r="O524" s="12">
        <v>3994.6241609766244</v>
      </c>
      <c r="P524" s="32" t="s">
        <v>143</v>
      </c>
      <c r="Q524" s="81" t="s">
        <v>81</v>
      </c>
      <c r="R524" s="82"/>
      <c r="S524" s="32"/>
      <c r="T524" s="32">
        <v>25</v>
      </c>
      <c r="U524" s="32">
        <v>25</v>
      </c>
      <c r="V524" s="74" t="s">
        <v>82</v>
      </c>
      <c r="W524" s="15"/>
      <c r="X524" s="15"/>
      <c r="Y524" s="16"/>
      <c r="Z524" s="17"/>
      <c r="AA524" s="18"/>
      <c r="AB524" s="75">
        <v>-25</v>
      </c>
      <c r="AC524" s="20">
        <v>11.336126629422719</v>
      </c>
      <c r="AD524" s="21">
        <v>45717</v>
      </c>
      <c r="AE524" s="22">
        <v>199644.6074201061</v>
      </c>
      <c r="AF524" s="23">
        <v>157388.58093333346</v>
      </c>
      <c r="AG524" s="24">
        <v>257413.58093333367</v>
      </c>
      <c r="AH524" s="15">
        <v>0.5</v>
      </c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</row>
    <row r="525" spans="1:73" ht="15" customHeight="1" x14ac:dyDescent="0.25">
      <c r="A525" s="1">
        <f t="shared" si="35"/>
        <v>213</v>
      </c>
      <c r="B525" s="1" t="str">
        <f t="shared" si="32"/>
        <v xml:space="preserve">Delaware </v>
      </c>
      <c r="C525" s="1">
        <f t="shared" si="33"/>
        <v>1</v>
      </c>
      <c r="D525" s="2" t="str">
        <f t="shared" si="34"/>
        <v>2025-12</v>
      </c>
      <c r="E525" s="3" t="s">
        <v>473</v>
      </c>
      <c r="F525" s="4" t="s">
        <v>474</v>
      </c>
      <c r="G525" s="39">
        <v>45997</v>
      </c>
      <c r="H525" s="40">
        <v>-103</v>
      </c>
      <c r="I525" s="40">
        <v>103</v>
      </c>
      <c r="J525" s="7">
        <v>120</v>
      </c>
      <c r="K525" s="8">
        <v>0.11625615763546812</v>
      </c>
      <c r="L525" s="9">
        <v>5.2843708016121871E-2</v>
      </c>
      <c r="M525" s="10">
        <v>-103.00000000000001</v>
      </c>
      <c r="N525" s="11">
        <v>2.2000000000000002</v>
      </c>
      <c r="O525" s="12">
        <v>18661.820903174659</v>
      </c>
      <c r="P525" s="32" t="s">
        <v>475</v>
      </c>
      <c r="Q525" s="81" t="s">
        <v>92</v>
      </c>
      <c r="R525" s="82" t="s">
        <v>476</v>
      </c>
      <c r="S525" s="32">
        <v>541</v>
      </c>
      <c r="T525" s="32">
        <v>324.59999999999997</v>
      </c>
      <c r="U525" s="32">
        <v>216.4</v>
      </c>
      <c r="V525" s="74" t="s">
        <v>82</v>
      </c>
      <c r="W525" s="15"/>
      <c r="X525" s="15"/>
      <c r="Y525" s="16"/>
      <c r="Z525" s="17"/>
      <c r="AA525" s="18"/>
      <c r="AB525" s="75">
        <v>-324.59999999999997</v>
      </c>
      <c r="AC525" s="20">
        <v>37.73674876847295</v>
      </c>
      <c r="AD525" s="21">
        <v>45997</v>
      </c>
      <c r="AE525" s="22">
        <v>538774.09325821314</v>
      </c>
      <c r="AF525" s="23">
        <v>284931.29593333392</v>
      </c>
      <c r="AG525" s="24">
        <v>385255.89593333408</v>
      </c>
      <c r="AH525" s="15">
        <v>0.5</v>
      </c>
      <c r="AI525" s="25" t="s">
        <v>477</v>
      </c>
      <c r="AJ525" s="25"/>
      <c r="AK525" s="25"/>
      <c r="AL525" s="25"/>
      <c r="AM525" s="25"/>
      <c r="AN525" s="25">
        <v>-116</v>
      </c>
      <c r="AO525" s="25">
        <v>-114</v>
      </c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>
        <v>-118</v>
      </c>
      <c r="BC525" s="25">
        <v>-112</v>
      </c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>
        <v>-115</v>
      </c>
      <c r="BQ525" s="1">
        <v>-115</v>
      </c>
      <c r="BR525" s="1">
        <v>1000</v>
      </c>
      <c r="BS525" s="1">
        <v>1000</v>
      </c>
      <c r="BT525" s="1">
        <v>-105</v>
      </c>
      <c r="BU525" s="1">
        <v>-125</v>
      </c>
    </row>
    <row r="526" spans="1:73" ht="15" customHeight="1" x14ac:dyDescent="0.25">
      <c r="A526" s="1">
        <f t="shared" si="35"/>
        <v>214</v>
      </c>
      <c r="B526" s="1" t="str">
        <f t="shared" si="32"/>
        <v xml:space="preserve">Duke </v>
      </c>
      <c r="C526" s="1">
        <f t="shared" si="33"/>
        <v>0</v>
      </c>
      <c r="D526" s="2" t="str">
        <f t="shared" si="34"/>
        <v>2025-12</v>
      </c>
      <c r="E526" s="3" t="s">
        <v>478</v>
      </c>
      <c r="F526" s="4" t="s">
        <v>474</v>
      </c>
      <c r="G526" s="39">
        <v>45997</v>
      </c>
      <c r="H526" s="40">
        <v>111</v>
      </c>
      <c r="I526" s="40">
        <v>-145</v>
      </c>
      <c r="J526" s="7">
        <v>148</v>
      </c>
      <c r="K526" s="8">
        <v>0.10282239767673994</v>
      </c>
      <c r="L526" s="9">
        <v>4.1460644224491916E-2</v>
      </c>
      <c r="M526" s="10">
        <v>124.87755102040819</v>
      </c>
      <c r="N526" s="11">
        <v>2.48</v>
      </c>
      <c r="O526" s="12">
        <v>13298.207089550066</v>
      </c>
      <c r="P526" s="32" t="s">
        <v>475</v>
      </c>
      <c r="Q526" s="81" t="s">
        <v>81</v>
      </c>
      <c r="R526" s="82" t="s">
        <v>479</v>
      </c>
      <c r="S526" s="32">
        <v>709</v>
      </c>
      <c r="T526" s="32">
        <v>425.4</v>
      </c>
      <c r="U526" s="32">
        <v>283.60000000000002</v>
      </c>
      <c r="V526" s="74" t="s">
        <v>77</v>
      </c>
      <c r="W526" s="15"/>
      <c r="X526" s="15"/>
      <c r="Y526" s="16"/>
      <c r="Z526" s="17"/>
      <c r="AA526" s="18"/>
      <c r="AB526" s="75">
        <v>629.59</v>
      </c>
      <c r="AC526" s="20">
        <v>43.740647971685171</v>
      </c>
      <c r="AD526" s="21">
        <v>45997</v>
      </c>
      <c r="AE526" s="22">
        <v>538081.24527747801</v>
      </c>
      <c r="AF526" s="23">
        <v>283451.75593333389</v>
      </c>
      <c r="AG526" s="24">
        <v>382822.16593333404</v>
      </c>
      <c r="AH526" s="15">
        <v>0.5</v>
      </c>
      <c r="AI526" s="25" t="s">
        <v>480</v>
      </c>
      <c r="AJ526" s="25">
        <v>111</v>
      </c>
      <c r="AK526" s="25">
        <v>2500</v>
      </c>
      <c r="AL526" s="25">
        <v>-147</v>
      </c>
      <c r="AM526" s="25">
        <v>2500</v>
      </c>
      <c r="AN526" s="25">
        <v>109</v>
      </c>
      <c r="AO526" s="25">
        <v>-145</v>
      </c>
      <c r="AP526" s="25"/>
      <c r="AQ526" s="25"/>
      <c r="AR526" s="25"/>
      <c r="AS526" s="25"/>
      <c r="AT526" s="25"/>
      <c r="AU526" s="25"/>
      <c r="AV526" s="25"/>
      <c r="AW526" s="25"/>
      <c r="AX526" s="25">
        <v>109</v>
      </c>
      <c r="AY526" s="25">
        <v>3600</v>
      </c>
      <c r="AZ526" s="25">
        <v>-131</v>
      </c>
      <c r="BA526" s="25">
        <v>54</v>
      </c>
      <c r="BB526" s="25">
        <v>116</v>
      </c>
      <c r="BC526" s="25">
        <v>-148</v>
      </c>
      <c r="BD526" s="25"/>
      <c r="BE526" s="25"/>
      <c r="BF526" s="25"/>
      <c r="BG526" s="25"/>
      <c r="BH526" s="25"/>
      <c r="BI526" s="25"/>
      <c r="BJ526" s="25"/>
      <c r="BK526" s="25"/>
      <c r="BL526" s="25">
        <v>111</v>
      </c>
      <c r="BM526" s="25">
        <v>376</v>
      </c>
      <c r="BN526" s="25">
        <v>-147</v>
      </c>
      <c r="BO526" s="25">
        <v>474</v>
      </c>
      <c r="BP526" s="25">
        <v>105</v>
      </c>
      <c r="BQ526" s="1">
        <v>-135</v>
      </c>
      <c r="BR526" s="1">
        <v>1000</v>
      </c>
      <c r="BS526" s="1">
        <v>1000</v>
      </c>
      <c r="BT526" s="1">
        <v>124</v>
      </c>
      <c r="BU526" s="1">
        <v>-160</v>
      </c>
    </row>
    <row r="527" spans="1:73" ht="15" customHeight="1" x14ac:dyDescent="0.25">
      <c r="A527" s="1">
        <f t="shared" si="35"/>
        <v>215</v>
      </c>
      <c r="B527" s="1" t="str">
        <f t="shared" si="32"/>
        <v xml:space="preserve">Miami </v>
      </c>
      <c r="C527" s="1">
        <f t="shared" si="33"/>
        <v>0</v>
      </c>
      <c r="D527" s="2" t="str">
        <f t="shared" si="34"/>
        <v>2025-12</v>
      </c>
      <c r="E527" s="3" t="s">
        <v>481</v>
      </c>
      <c r="F527" s="4" t="s">
        <v>474</v>
      </c>
      <c r="G527" s="39">
        <v>45997</v>
      </c>
      <c r="H527" s="40">
        <v>-140</v>
      </c>
      <c r="I527" s="40">
        <v>108</v>
      </c>
      <c r="J527" s="7">
        <v>-124</v>
      </c>
      <c r="K527" s="8">
        <v>-9.7162844928099269E-3</v>
      </c>
      <c r="L527" s="9">
        <v>-5.3786574870912096E-3</v>
      </c>
      <c r="M527" s="10">
        <v>-121.33333333333336</v>
      </c>
      <c r="N527" s="11">
        <v>1.8064516129032258</v>
      </c>
      <c r="O527" s="12">
        <v>-2307.3898550200793</v>
      </c>
      <c r="P527" s="32" t="s">
        <v>475</v>
      </c>
      <c r="Q527" s="81" t="s">
        <v>81</v>
      </c>
      <c r="R527" s="82" t="s">
        <v>482</v>
      </c>
      <c r="S527" s="32">
        <v>1206</v>
      </c>
      <c r="T527" s="32">
        <v>723.6</v>
      </c>
      <c r="U527" s="32">
        <v>482.40000000000003</v>
      </c>
      <c r="V527" s="74" t="s">
        <v>82</v>
      </c>
      <c r="W527" s="15"/>
      <c r="X527" s="15"/>
      <c r="Y527" s="16"/>
      <c r="Z527" s="17"/>
      <c r="AA527" s="18"/>
      <c r="AB527" s="75">
        <v>-723.6</v>
      </c>
      <c r="AC527" s="20">
        <v>-7.0307034589972632</v>
      </c>
      <c r="AD527" s="21">
        <v>45997</v>
      </c>
      <c r="AE527" s="22">
        <v>538006.08980023814</v>
      </c>
      <c r="AF527" s="23">
        <v>282303.11593333387</v>
      </c>
      <c r="AG527" s="24">
        <v>383026.71593333402</v>
      </c>
      <c r="AH527" s="15">
        <v>0.5</v>
      </c>
      <c r="AI527" s="25" t="s">
        <v>483</v>
      </c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</row>
    <row r="528" spans="1:73" ht="15" customHeight="1" x14ac:dyDescent="0.25">
      <c r="A528" s="1">
        <f t="shared" si="35"/>
        <v>215</v>
      </c>
      <c r="B528" s="1" t="str">
        <f t="shared" si="32"/>
        <v xml:space="preserve">Miami </v>
      </c>
      <c r="C528" s="1">
        <f t="shared" si="33"/>
        <v>0</v>
      </c>
      <c r="D528" s="2" t="str">
        <f t="shared" si="34"/>
        <v>2025-12</v>
      </c>
      <c r="E528" s="3" t="s">
        <v>484</v>
      </c>
      <c r="F528" s="4" t="s">
        <v>474</v>
      </c>
      <c r="G528" s="39">
        <v>45997</v>
      </c>
      <c r="H528" s="40">
        <v>-156</v>
      </c>
      <c r="I528" s="40">
        <v>125</v>
      </c>
      <c r="J528" s="7">
        <v>-116</v>
      </c>
      <c r="K528" s="8">
        <v>7.6748281542918698E-2</v>
      </c>
      <c r="L528" s="9">
        <v>4.1216669717493382E-2</v>
      </c>
      <c r="M528" s="10">
        <v>-137.109375</v>
      </c>
      <c r="N528" s="11">
        <v>1.8620689655172413</v>
      </c>
      <c r="O528" s="12">
        <v>17080.082531991222</v>
      </c>
      <c r="P528" s="32" t="s">
        <v>475</v>
      </c>
      <c r="Q528" s="81" t="s">
        <v>76</v>
      </c>
      <c r="R528" s="82" t="s">
        <v>485</v>
      </c>
      <c r="S528" s="32">
        <v>755</v>
      </c>
      <c r="T528" s="32">
        <v>453</v>
      </c>
      <c r="U528" s="32">
        <v>302</v>
      </c>
      <c r="V528" s="74" t="s">
        <v>77</v>
      </c>
      <c r="W528" s="15"/>
      <c r="X528" s="15"/>
      <c r="Y528" s="16"/>
      <c r="Z528" s="17"/>
      <c r="AA528" s="18"/>
      <c r="AB528" s="75">
        <v>390.52</v>
      </c>
      <c r="AC528" s="20">
        <v>34.766971538942173</v>
      </c>
      <c r="AD528" s="21">
        <v>45997</v>
      </c>
      <c r="AE528" s="22">
        <v>538356.31787480914</v>
      </c>
      <c r="AF528" s="23">
        <v>284091.85593333392</v>
      </c>
      <c r="AG528" s="24">
        <v>383701.33593333408</v>
      </c>
      <c r="AH528" s="15">
        <v>0.5</v>
      </c>
      <c r="AI528" s="25" t="s">
        <v>486</v>
      </c>
      <c r="AJ528" s="25">
        <v>-156</v>
      </c>
      <c r="AK528" s="25">
        <v>1500</v>
      </c>
      <c r="AL528" s="25">
        <v>125</v>
      </c>
      <c r="AM528" s="25">
        <v>1500</v>
      </c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>
        <v>-145</v>
      </c>
      <c r="BQ528" s="1">
        <v>105</v>
      </c>
      <c r="BT528" s="1">
        <v>-120</v>
      </c>
      <c r="BU528" s="1">
        <v>-110</v>
      </c>
    </row>
    <row r="529" spans="1:73" ht="15" customHeight="1" x14ac:dyDescent="0.25">
      <c r="A529" s="1">
        <f t="shared" si="35"/>
        <v>216</v>
      </c>
      <c r="B529" s="1" t="str">
        <f t="shared" si="32"/>
        <v xml:space="preserve">Michigan </v>
      </c>
      <c r="C529" s="1">
        <f t="shared" si="33"/>
        <v>0</v>
      </c>
      <c r="D529" s="2" t="str">
        <f t="shared" si="34"/>
        <v>2025-12</v>
      </c>
      <c r="E529" s="3" t="s">
        <v>487</v>
      </c>
      <c r="F529" s="4" t="s">
        <v>474</v>
      </c>
      <c r="G529" s="39">
        <v>45997</v>
      </c>
      <c r="H529" s="40">
        <v>-142</v>
      </c>
      <c r="I529" s="40">
        <v>116</v>
      </c>
      <c r="J529" s="7">
        <v>-127</v>
      </c>
      <c r="K529" s="8">
        <v>-8.8968686466295733E-4</v>
      </c>
      <c r="L529" s="9">
        <v>-4.977543251638572E-4</v>
      </c>
      <c r="M529" s="10">
        <v>-126.74380165289263</v>
      </c>
      <c r="N529" s="11">
        <v>1.7874015748031495</v>
      </c>
      <c r="O529" s="12">
        <v>-218.10125699684784</v>
      </c>
      <c r="P529" s="32" t="s">
        <v>475</v>
      </c>
      <c r="Q529" s="81" t="s">
        <v>81</v>
      </c>
      <c r="R529" s="82" t="s">
        <v>488</v>
      </c>
      <c r="S529" s="32">
        <v>1329</v>
      </c>
      <c r="T529" s="32">
        <v>797.4</v>
      </c>
      <c r="U529" s="32">
        <v>531.6</v>
      </c>
      <c r="V529" s="74" t="s">
        <v>82</v>
      </c>
      <c r="W529" s="15"/>
      <c r="X529" s="15"/>
      <c r="Y529" s="16"/>
      <c r="Z529" s="17"/>
      <c r="AA529" s="18"/>
      <c r="AB529" s="75">
        <v>-797.4</v>
      </c>
      <c r="AC529" s="20">
        <v>-0.70943630588224216</v>
      </c>
      <c r="AD529" s="21">
        <v>45997</v>
      </c>
      <c r="AE529" s="22">
        <v>538736.35650944465</v>
      </c>
      <c r="AF529" s="23">
        <v>285255.8959333339</v>
      </c>
      <c r="AG529" s="24">
        <v>386053.2959333341</v>
      </c>
      <c r="AH529" s="15">
        <v>0.5</v>
      </c>
      <c r="AI529" s="25" t="s">
        <v>489</v>
      </c>
      <c r="AJ529" s="25">
        <v>-214</v>
      </c>
      <c r="AK529" s="25">
        <v>2500</v>
      </c>
      <c r="AL529" s="25">
        <v>157</v>
      </c>
      <c r="AM529" s="25">
        <v>2500</v>
      </c>
      <c r="AN529" s="25">
        <v>-217</v>
      </c>
      <c r="AO529" s="25">
        <v>159</v>
      </c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>
        <v>-205</v>
      </c>
      <c r="BC529" s="25">
        <v>158</v>
      </c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>
        <v>-200</v>
      </c>
      <c r="BQ529" s="1">
        <v>160</v>
      </c>
      <c r="BR529" s="1">
        <v>1000</v>
      </c>
      <c r="BS529" s="1">
        <v>1000</v>
      </c>
      <c r="BT529" s="1">
        <v>-195</v>
      </c>
      <c r="BU529" s="1">
        <v>150</v>
      </c>
    </row>
    <row r="530" spans="1:73" ht="15" customHeight="1" x14ac:dyDescent="0.25">
      <c r="A530" s="1">
        <f t="shared" si="35"/>
        <v>217</v>
      </c>
      <c r="B530" s="1" t="str">
        <f t="shared" si="32"/>
        <v xml:space="preserve">Monmouth </v>
      </c>
      <c r="C530" s="1">
        <f t="shared" si="33"/>
        <v>1</v>
      </c>
      <c r="D530" s="2" t="str">
        <f t="shared" si="34"/>
        <v>2025-12</v>
      </c>
      <c r="E530" s="3" t="s">
        <v>490</v>
      </c>
      <c r="F530" s="4" t="s">
        <v>474</v>
      </c>
      <c r="G530" s="39">
        <v>45997</v>
      </c>
      <c r="H530" s="40">
        <v>-110</v>
      </c>
      <c r="I530" s="40">
        <v>-120</v>
      </c>
      <c r="J530" s="7">
        <v>118</v>
      </c>
      <c r="K530" s="8">
        <v>6.7935222672064741E-2</v>
      </c>
      <c r="L530" s="9">
        <v>3.1162946179846218E-2</v>
      </c>
      <c r="M530" s="10">
        <v>104.13223140495865</v>
      </c>
      <c r="N530" s="11">
        <v>2.1799999999999997</v>
      </c>
      <c r="O530" s="12">
        <v>11053.686997463363</v>
      </c>
      <c r="P530" s="32" t="s">
        <v>475</v>
      </c>
      <c r="Q530" s="81" t="s">
        <v>92</v>
      </c>
      <c r="R530" s="82" t="s">
        <v>491</v>
      </c>
      <c r="S530" s="32">
        <v>550</v>
      </c>
      <c r="T530" s="32">
        <v>330</v>
      </c>
      <c r="U530" s="32">
        <v>220</v>
      </c>
      <c r="V530" s="74" t="s">
        <v>82</v>
      </c>
      <c r="W530" s="15"/>
      <c r="X530" s="15"/>
      <c r="Y530" s="16"/>
      <c r="Z530" s="17"/>
      <c r="AA530" s="18"/>
      <c r="AB530" s="75">
        <v>-330</v>
      </c>
      <c r="AC530" s="20">
        <v>22.418623481781363</v>
      </c>
      <c r="AD530" s="21">
        <v>45997</v>
      </c>
      <c r="AE530" s="22">
        <v>538409.72002255986</v>
      </c>
      <c r="AF530" s="23">
        <v>283663.75593333389</v>
      </c>
      <c r="AG530" s="24">
        <v>383993.75593333406</v>
      </c>
      <c r="AH530" s="15">
        <v>0.5</v>
      </c>
      <c r="AI530" s="25" t="s">
        <v>492</v>
      </c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</row>
    <row r="531" spans="1:73" ht="15" customHeight="1" x14ac:dyDescent="0.25">
      <c r="A531" s="1">
        <f t="shared" si="35"/>
        <v>218</v>
      </c>
      <c r="B531" s="1" t="str">
        <f t="shared" si="32"/>
        <v xml:space="preserve">New </v>
      </c>
      <c r="C531" s="1">
        <f t="shared" si="33"/>
        <v>0</v>
      </c>
      <c r="D531" s="2" t="str">
        <f t="shared" si="34"/>
        <v>2025-12</v>
      </c>
      <c r="E531" s="3" t="s">
        <v>493</v>
      </c>
      <c r="F531" s="4" t="s">
        <v>474</v>
      </c>
      <c r="G531" s="39">
        <v>45997</v>
      </c>
      <c r="H531" s="40">
        <v>100</v>
      </c>
      <c r="I531" s="40">
        <v>-132</v>
      </c>
      <c r="J531" s="7">
        <v>110</v>
      </c>
      <c r="K531" s="8">
        <v>-1.7741935483871086E-2</v>
      </c>
      <c r="L531" s="9">
        <v>-8.4485407066052787E-3</v>
      </c>
      <c r="M531" s="10">
        <v>113.7931034482759</v>
      </c>
      <c r="N531" s="11">
        <v>2.1</v>
      </c>
      <c r="O531" s="12">
        <v>-3097.5149672043276</v>
      </c>
      <c r="P531" s="32" t="s">
        <v>475</v>
      </c>
      <c r="Q531" s="81"/>
      <c r="R531" s="82"/>
      <c r="S531" s="32">
        <v>555</v>
      </c>
      <c r="T531" s="32">
        <v>333</v>
      </c>
      <c r="U531" s="32">
        <v>222</v>
      </c>
      <c r="V531" s="74" t="s">
        <v>77</v>
      </c>
      <c r="W531" s="15"/>
      <c r="X531" s="15"/>
      <c r="Y531" s="16"/>
      <c r="Z531" s="17"/>
      <c r="AA531" s="18"/>
      <c r="AB531" s="75">
        <v>366.3</v>
      </c>
      <c r="AC531" s="20">
        <v>-5.9080645161290715</v>
      </c>
      <c r="AD531" s="21">
        <v>45997</v>
      </c>
      <c r="AE531" s="22">
        <v>538350.409810293</v>
      </c>
      <c r="AF531" s="23">
        <v>284458.15593333391</v>
      </c>
      <c r="AG531" s="24">
        <v>384091.8559333341</v>
      </c>
      <c r="AH531" s="15">
        <v>0.5</v>
      </c>
      <c r="AI531" s="25" t="s">
        <v>494</v>
      </c>
      <c r="AJ531" s="25">
        <v>-155</v>
      </c>
      <c r="AK531" s="25">
        <v>3000</v>
      </c>
      <c r="AL531" s="25">
        <v>118</v>
      </c>
      <c r="AM531" s="25">
        <v>3000</v>
      </c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>
        <v>-199</v>
      </c>
      <c r="AY531" s="25">
        <v>761</v>
      </c>
      <c r="AZ531" s="25">
        <v>-107</v>
      </c>
      <c r="BA531" s="25">
        <v>753</v>
      </c>
      <c r="BB531" s="25">
        <v>-165</v>
      </c>
      <c r="BC531" s="25">
        <v>126</v>
      </c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>
        <v>-185</v>
      </c>
      <c r="BQ531" s="1">
        <v>123</v>
      </c>
      <c r="BT531" s="1">
        <v>-190</v>
      </c>
      <c r="BU531" s="1">
        <v>140</v>
      </c>
    </row>
    <row r="532" spans="1:73" ht="15" customHeight="1" x14ac:dyDescent="0.25">
      <c r="A532" s="1">
        <f t="shared" si="35"/>
        <v>218</v>
      </c>
      <c r="B532" s="1" t="str">
        <f t="shared" si="32"/>
        <v xml:space="preserve">New </v>
      </c>
      <c r="C532" s="1">
        <f t="shared" si="33"/>
        <v>0</v>
      </c>
      <c r="D532" s="2" t="str">
        <f t="shared" si="34"/>
        <v>2025-12</v>
      </c>
      <c r="E532" s="3" t="s">
        <v>495</v>
      </c>
      <c r="F532" s="4" t="s">
        <v>474</v>
      </c>
      <c r="G532" s="39">
        <v>45997</v>
      </c>
      <c r="H532" s="40">
        <v>-136</v>
      </c>
      <c r="I532" s="40">
        <v>102</v>
      </c>
      <c r="J532" s="7">
        <v>108</v>
      </c>
      <c r="K532" s="8">
        <v>0.11884711779448641</v>
      </c>
      <c r="L532" s="9">
        <v>5.7138037401195385E-2</v>
      </c>
      <c r="M532" s="10">
        <v>-116.40677966101697</v>
      </c>
      <c r="N532" s="11">
        <v>2.08</v>
      </c>
      <c r="O532" s="12">
        <v>21212.479316298537</v>
      </c>
      <c r="P532" s="32" t="s">
        <v>475</v>
      </c>
      <c r="Q532" s="81" t="s">
        <v>76</v>
      </c>
      <c r="R532" s="82" t="s">
        <v>496</v>
      </c>
      <c r="S532" s="32">
        <v>601</v>
      </c>
      <c r="T532" s="32">
        <v>360.59999999999997</v>
      </c>
      <c r="U532" s="32">
        <v>240.4</v>
      </c>
      <c r="V532" s="74" t="s">
        <v>77</v>
      </c>
      <c r="W532" s="15"/>
      <c r="X532" s="15"/>
      <c r="Y532" s="16"/>
      <c r="Z532" s="17"/>
      <c r="AA532" s="18"/>
      <c r="AB532" s="75">
        <v>389.45</v>
      </c>
      <c r="AC532" s="20">
        <v>42.856270676691793</v>
      </c>
      <c r="AD532" s="21">
        <v>45997</v>
      </c>
      <c r="AE532" s="22">
        <v>538634.83008089231</v>
      </c>
      <c r="AF532" s="23">
        <v>285917.98593333393</v>
      </c>
      <c r="AG532" s="24">
        <v>385528.53593333409</v>
      </c>
      <c r="AH532" s="15">
        <v>0.5</v>
      </c>
      <c r="AI532" s="25" t="s">
        <v>497</v>
      </c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</row>
    <row r="533" spans="1:73" ht="15" customHeight="1" x14ac:dyDescent="0.25">
      <c r="A533" s="1">
        <f t="shared" si="35"/>
        <v>218</v>
      </c>
      <c r="B533" s="1" t="str">
        <f t="shared" si="32"/>
        <v xml:space="preserve">New </v>
      </c>
      <c r="C533" s="1">
        <f t="shared" si="33"/>
        <v>0</v>
      </c>
      <c r="D533" s="2" t="str">
        <f t="shared" si="34"/>
        <v>2025-12</v>
      </c>
      <c r="E533" s="3" t="s">
        <v>495</v>
      </c>
      <c r="F533" s="4" t="s">
        <v>474</v>
      </c>
      <c r="G533" s="39">
        <v>45997</v>
      </c>
      <c r="H533" s="40">
        <v>-136</v>
      </c>
      <c r="I533" s="40">
        <v>102</v>
      </c>
      <c r="J533" s="7">
        <v>120</v>
      </c>
      <c r="K533" s="8">
        <v>0.18339598997493747</v>
      </c>
      <c r="L533" s="9">
        <v>8.3361813624971581E-2</v>
      </c>
      <c r="M533" s="10">
        <v>-116.40677966101697</v>
      </c>
      <c r="N533" s="11">
        <v>2.2000000000000002</v>
      </c>
      <c r="O533" s="12">
        <v>29504.882575106243</v>
      </c>
      <c r="P533" s="32" t="s">
        <v>475</v>
      </c>
      <c r="Q533" s="81" t="s">
        <v>76</v>
      </c>
      <c r="R533" s="82" t="s">
        <v>496</v>
      </c>
      <c r="S533" s="32">
        <v>541</v>
      </c>
      <c r="T533" s="32">
        <v>324.59999999999997</v>
      </c>
      <c r="U533" s="32">
        <v>216.4</v>
      </c>
      <c r="V533" s="74" t="s">
        <v>77</v>
      </c>
      <c r="W533" s="15"/>
      <c r="X533" s="15"/>
      <c r="Y533" s="16"/>
      <c r="Z533" s="17"/>
      <c r="AA533" s="18"/>
      <c r="AB533" s="75">
        <v>389.52</v>
      </c>
      <c r="AC533" s="20">
        <v>59.530338345864699</v>
      </c>
      <c r="AD533" s="21">
        <v>45997</v>
      </c>
      <c r="AE533" s="22">
        <v>538694.36041923822</v>
      </c>
      <c r="AF533" s="23">
        <v>286503.29593333392</v>
      </c>
      <c r="AG533" s="24">
        <v>386113.77593333408</v>
      </c>
      <c r="AH533" s="15">
        <v>0.5</v>
      </c>
      <c r="AI533" s="25" t="s">
        <v>498</v>
      </c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</row>
    <row r="534" spans="1:73" ht="15" customHeight="1" x14ac:dyDescent="0.25">
      <c r="A534" s="1">
        <f t="shared" si="35"/>
        <v>219</v>
      </c>
      <c r="B534" s="1" t="str">
        <f t="shared" si="32"/>
        <v xml:space="preserve">Old </v>
      </c>
      <c r="C534" s="1">
        <f t="shared" si="33"/>
        <v>0</v>
      </c>
      <c r="D534" s="2" t="str">
        <f t="shared" si="34"/>
        <v>2025-12</v>
      </c>
      <c r="E534" s="3" t="s">
        <v>499</v>
      </c>
      <c r="F534" s="4" t="s">
        <v>474</v>
      </c>
      <c r="G534" s="39">
        <v>45997</v>
      </c>
      <c r="H534" s="40">
        <v>-106</v>
      </c>
      <c r="I534" s="40">
        <v>106</v>
      </c>
      <c r="J534" s="7">
        <v>116</v>
      </c>
      <c r="K534" s="8">
        <v>0.11145631067961152</v>
      </c>
      <c r="L534" s="9">
        <v>5.1600143833153478E-2</v>
      </c>
      <c r="M534" s="10">
        <v>-105.99999999999999</v>
      </c>
      <c r="N534" s="11">
        <v>2.16</v>
      </c>
      <c r="O534" s="12">
        <v>18492.681943901363</v>
      </c>
      <c r="P534" s="32" t="s">
        <v>475</v>
      </c>
      <c r="Q534" s="81" t="s">
        <v>76</v>
      </c>
      <c r="R534" s="82" t="s">
        <v>500</v>
      </c>
      <c r="S534" s="32">
        <v>560</v>
      </c>
      <c r="T534" s="32">
        <v>336</v>
      </c>
      <c r="U534" s="32">
        <v>224</v>
      </c>
      <c r="V534" s="74" t="s">
        <v>82</v>
      </c>
      <c r="W534" s="15"/>
      <c r="X534" s="15"/>
      <c r="Y534" s="16"/>
      <c r="Z534" s="17"/>
      <c r="AA534" s="18"/>
      <c r="AB534" s="75">
        <v>-336</v>
      </c>
      <c r="AC534" s="20">
        <v>37.44932038834947</v>
      </c>
      <c r="AD534" s="21">
        <v>45997</v>
      </c>
      <c r="AE534" s="22">
        <v>538811.54257860151</v>
      </c>
      <c r="AF534" s="23">
        <v>284595.29593333392</v>
      </c>
      <c r="AG534" s="24">
        <v>384931.2959333341</v>
      </c>
      <c r="AH534" s="15">
        <v>0.5</v>
      </c>
      <c r="AI534" s="25" t="s">
        <v>501</v>
      </c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</row>
    <row r="535" spans="1:73" ht="15" customHeight="1" x14ac:dyDescent="0.25">
      <c r="A535" s="1">
        <f t="shared" si="35"/>
        <v>220</v>
      </c>
      <c r="B535" s="1" t="str">
        <f t="shared" si="32"/>
        <v xml:space="preserve">Providence </v>
      </c>
      <c r="C535" s="1">
        <f t="shared" si="33"/>
        <v>0</v>
      </c>
      <c r="D535" s="2" t="str">
        <f t="shared" si="34"/>
        <v>2025-12</v>
      </c>
      <c r="E535" s="3" t="s">
        <v>502</v>
      </c>
      <c r="F535" s="4" t="s">
        <v>474</v>
      </c>
      <c r="G535" s="39">
        <v>45997</v>
      </c>
      <c r="H535" s="40">
        <v>-106</v>
      </c>
      <c r="I535" s="40">
        <v>106</v>
      </c>
      <c r="J535" s="7">
        <v>116</v>
      </c>
      <c r="K535" s="8">
        <v>0.11145631067961152</v>
      </c>
      <c r="L535" s="9">
        <v>5.1600143833153478E-2</v>
      </c>
      <c r="M535" s="10">
        <v>-105.99999999999999</v>
      </c>
      <c r="N535" s="11">
        <v>2.16</v>
      </c>
      <c r="O535" s="12">
        <v>18382.458378451072</v>
      </c>
      <c r="P535" s="32" t="s">
        <v>475</v>
      </c>
      <c r="Q535" s="81" t="s">
        <v>76</v>
      </c>
      <c r="R535" s="82" t="s">
        <v>503</v>
      </c>
      <c r="S535" s="32">
        <v>560</v>
      </c>
      <c r="T535" s="32">
        <v>336</v>
      </c>
      <c r="U535" s="32">
        <v>224</v>
      </c>
      <c r="V535" s="74" t="s">
        <v>77</v>
      </c>
      <c r="W535" s="15"/>
      <c r="X535" s="15"/>
      <c r="Y535" s="16"/>
      <c r="Z535" s="17"/>
      <c r="AA535" s="18"/>
      <c r="AB535" s="75">
        <v>389.76</v>
      </c>
      <c r="AC535" s="20">
        <v>37.44932038834947</v>
      </c>
      <c r="AD535" s="21">
        <v>45997</v>
      </c>
      <c r="AE535" s="22">
        <v>538013.1205036972</v>
      </c>
      <c r="AF535" s="23">
        <v>283026.71593333385</v>
      </c>
      <c r="AG535" s="24">
        <v>382636.95593333401</v>
      </c>
      <c r="AH535" s="15">
        <v>0.5</v>
      </c>
      <c r="AI535" s="25" t="s">
        <v>504</v>
      </c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</row>
    <row r="536" spans="1:73" ht="15" customHeight="1" x14ac:dyDescent="0.25">
      <c r="A536" s="1">
        <f t="shared" si="35"/>
        <v>221</v>
      </c>
      <c r="B536" s="1" t="str">
        <f t="shared" si="32"/>
        <v xml:space="preserve">Purdue </v>
      </c>
      <c r="C536" s="1">
        <f t="shared" si="33"/>
        <v>0</v>
      </c>
      <c r="D536" s="2" t="str">
        <f t="shared" si="34"/>
        <v>2025-12</v>
      </c>
      <c r="E536" s="3" t="s">
        <v>505</v>
      </c>
      <c r="F536" s="4" t="s">
        <v>474</v>
      </c>
      <c r="G536" s="39">
        <v>45997</v>
      </c>
      <c r="H536" s="40">
        <v>112</v>
      </c>
      <c r="I536" s="40">
        <v>-142</v>
      </c>
      <c r="J536" s="7">
        <v>133</v>
      </c>
      <c r="K536" s="8">
        <v>3.8339717147908028E-2</v>
      </c>
      <c r="L536" s="9">
        <v>1.6454814226569969E-2</v>
      </c>
      <c r="M536" s="10">
        <v>124.39669421487604</v>
      </c>
      <c r="N536" s="11">
        <v>2.33</v>
      </c>
      <c r="O536" s="12">
        <v>5528.9152037236245</v>
      </c>
      <c r="P536" s="32" t="s">
        <v>506</v>
      </c>
      <c r="Q536" s="81" t="s">
        <v>81</v>
      </c>
      <c r="R536" s="82" t="s">
        <v>507</v>
      </c>
      <c r="S536" s="32">
        <v>875</v>
      </c>
      <c r="T536" s="32">
        <v>525</v>
      </c>
      <c r="U536" s="32">
        <v>350</v>
      </c>
      <c r="V536" s="74" t="s">
        <v>82</v>
      </c>
      <c r="W536" s="15"/>
      <c r="X536" s="15"/>
      <c r="Y536" s="16"/>
      <c r="Z536" s="17"/>
      <c r="AA536" s="18"/>
      <c r="AB536" s="75">
        <v>-525</v>
      </c>
      <c r="AC536" s="20">
        <v>20.128351502651714</v>
      </c>
      <c r="AD536" s="21">
        <v>45997</v>
      </c>
      <c r="AE536" s="22">
        <v>538253.79530738399</v>
      </c>
      <c r="AF536" s="23">
        <v>283069.75593333389</v>
      </c>
      <c r="AG536" s="24">
        <v>383594.75593333406</v>
      </c>
      <c r="AH536" s="15">
        <v>0.5</v>
      </c>
      <c r="AI536" s="25" t="s">
        <v>508</v>
      </c>
      <c r="AJ536" s="25">
        <v>-134</v>
      </c>
      <c r="AK536" s="25">
        <v>2500</v>
      </c>
      <c r="AL536" s="25">
        <v>101</v>
      </c>
      <c r="AM536" s="25">
        <v>2500</v>
      </c>
      <c r="AN536" s="25">
        <v>-116</v>
      </c>
      <c r="AO536" s="25">
        <v>-114</v>
      </c>
      <c r="AP536" s="25"/>
      <c r="AQ536" s="25"/>
      <c r="AR536" s="25"/>
      <c r="AS536" s="25"/>
      <c r="AT536" s="25"/>
      <c r="AU536" s="25"/>
      <c r="AV536" s="25"/>
      <c r="AW536" s="25"/>
      <c r="AX536" s="25">
        <v>101</v>
      </c>
      <c r="AY536" s="25">
        <v>52</v>
      </c>
      <c r="AZ536" s="25">
        <v>-103</v>
      </c>
      <c r="BA536" s="25">
        <v>818</v>
      </c>
      <c r="BB536" s="25">
        <v>-102</v>
      </c>
      <c r="BC536" s="25">
        <v>-125</v>
      </c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>
        <v>-120</v>
      </c>
      <c r="BQ536" s="1">
        <v>-110</v>
      </c>
      <c r="BR536" s="1">
        <v>1000</v>
      </c>
      <c r="BS536" s="1">
        <v>1000</v>
      </c>
      <c r="BT536" s="1">
        <v>-130</v>
      </c>
      <c r="BU536" s="1">
        <v>100</v>
      </c>
    </row>
    <row r="537" spans="1:73" ht="15" customHeight="1" x14ac:dyDescent="0.25">
      <c r="A537" s="1">
        <f t="shared" si="35"/>
        <v>222</v>
      </c>
      <c r="B537" s="1" t="str">
        <f t="shared" si="32"/>
        <v xml:space="preserve">Southern </v>
      </c>
      <c r="C537" s="1">
        <f t="shared" si="33"/>
        <v>0</v>
      </c>
      <c r="D537" s="2" t="str">
        <f t="shared" si="34"/>
        <v>2025-12</v>
      </c>
      <c r="E537" s="3" t="s">
        <v>509</v>
      </c>
      <c r="F537" s="4" t="s">
        <v>474</v>
      </c>
      <c r="G537" s="39">
        <v>45997</v>
      </c>
      <c r="H537" s="40">
        <v>-106</v>
      </c>
      <c r="I537" s="40">
        <v>106</v>
      </c>
      <c r="J537" s="7">
        <v>117</v>
      </c>
      <c r="K537" s="8">
        <v>0.11660194174757256</v>
      </c>
      <c r="L537" s="9">
        <v>5.3733613708558781E-2</v>
      </c>
      <c r="M537" s="10">
        <v>-105.99999999999999</v>
      </c>
      <c r="N537" s="11">
        <v>2.17</v>
      </c>
      <c r="O537" s="12">
        <v>19256.426786819902</v>
      </c>
      <c r="P537" s="32" t="s">
        <v>475</v>
      </c>
      <c r="Q537" s="81" t="s">
        <v>76</v>
      </c>
      <c r="R537" s="82" t="s">
        <v>510</v>
      </c>
      <c r="S537" s="32">
        <v>650</v>
      </c>
      <c r="T537" s="32">
        <v>390</v>
      </c>
      <c r="U537" s="32">
        <v>260</v>
      </c>
      <c r="V537" s="74" t="s">
        <v>82</v>
      </c>
      <c r="W537" s="15"/>
      <c r="X537" s="15"/>
      <c r="Y537" s="16"/>
      <c r="Z537" s="17"/>
      <c r="AA537" s="18"/>
      <c r="AB537" s="75">
        <v>-390</v>
      </c>
      <c r="AC537" s="20">
        <v>45.474757281553302</v>
      </c>
      <c r="AD537" s="21">
        <v>45997</v>
      </c>
      <c r="AE537" s="22">
        <v>538737.06594575057</v>
      </c>
      <c r="AF537" s="23">
        <v>286053.29593333392</v>
      </c>
      <c r="AG537" s="24">
        <v>386443.2959333341</v>
      </c>
      <c r="AH537" s="15">
        <v>0.5</v>
      </c>
      <c r="AI537" s="25" t="s">
        <v>511</v>
      </c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</row>
    <row r="538" spans="1:73" ht="15" customHeight="1" x14ac:dyDescent="0.25">
      <c r="A538" s="1">
        <f t="shared" si="35"/>
        <v>223</v>
      </c>
      <c r="B538" s="1" t="str">
        <f t="shared" si="32"/>
        <v xml:space="preserve">UMBC </v>
      </c>
      <c r="C538" s="1">
        <f t="shared" si="33"/>
        <v>0</v>
      </c>
      <c r="D538" s="2" t="str">
        <f t="shared" si="34"/>
        <v>2025-12</v>
      </c>
      <c r="E538" s="3" t="s">
        <v>512</v>
      </c>
      <c r="F538" s="4" t="s">
        <v>474</v>
      </c>
      <c r="G538" s="39">
        <v>45997</v>
      </c>
      <c r="H538" s="40">
        <v>-150</v>
      </c>
      <c r="I538" s="40">
        <v>150</v>
      </c>
      <c r="J538" s="7">
        <v>-122</v>
      </c>
      <c r="K538" s="8">
        <v>9.1803278688524878E-2</v>
      </c>
      <c r="L538" s="9">
        <v>5.0450450450450601E-2</v>
      </c>
      <c r="M538" s="10">
        <v>-150.00000000000006</v>
      </c>
      <c r="N538" s="11">
        <v>1.819672131147541</v>
      </c>
      <c r="O538" s="12">
        <v>21370.609452266774</v>
      </c>
      <c r="P538" s="32" t="s">
        <v>475</v>
      </c>
      <c r="Q538" s="81" t="s">
        <v>76</v>
      </c>
      <c r="R538" s="82" t="s">
        <v>482</v>
      </c>
      <c r="S538" s="32">
        <v>792</v>
      </c>
      <c r="T538" s="32">
        <v>475.2</v>
      </c>
      <c r="U538" s="32">
        <v>316.8</v>
      </c>
      <c r="V538" s="74" t="s">
        <v>77</v>
      </c>
      <c r="W538" s="15"/>
      <c r="X538" s="15"/>
      <c r="Y538" s="16"/>
      <c r="Z538" s="17"/>
      <c r="AA538" s="18"/>
      <c r="AB538" s="75">
        <v>389.51</v>
      </c>
      <c r="AC538" s="20">
        <v>43.624918032787022</v>
      </c>
      <c r="AD538" s="21">
        <v>45997</v>
      </c>
      <c r="AE538" s="22">
        <v>537935.28674751113</v>
      </c>
      <c r="AF538" s="23">
        <v>282007.53593333386</v>
      </c>
      <c r="AG538" s="24">
        <v>381618.02593333402</v>
      </c>
      <c r="AH538" s="15">
        <v>0.5</v>
      </c>
      <c r="AI538" s="25" t="s">
        <v>513</v>
      </c>
      <c r="AJ538" s="25">
        <v>-143</v>
      </c>
      <c r="AK538" s="25">
        <v>5000</v>
      </c>
      <c r="AL538" s="25">
        <v>113</v>
      </c>
      <c r="AM538" s="25">
        <v>5000</v>
      </c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>
        <v>-168</v>
      </c>
      <c r="AY538" s="25">
        <v>766</v>
      </c>
      <c r="AZ538" s="25">
        <v>-116</v>
      </c>
      <c r="BA538" s="25">
        <v>732</v>
      </c>
      <c r="BB538" s="25">
        <v>-140</v>
      </c>
      <c r="BC538" s="25">
        <v>108</v>
      </c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>
        <v>-137</v>
      </c>
      <c r="BQ538" s="1">
        <v>-101</v>
      </c>
      <c r="BT538" s="1">
        <v>-210</v>
      </c>
      <c r="BU538" s="1">
        <v>155</v>
      </c>
    </row>
    <row r="539" spans="1:73" ht="15" customHeight="1" x14ac:dyDescent="0.25">
      <c r="A539" s="1">
        <f t="shared" si="35"/>
        <v>223</v>
      </c>
      <c r="B539" s="1" t="str">
        <f t="shared" si="32"/>
        <v xml:space="preserve">UMBC </v>
      </c>
      <c r="C539" s="1">
        <f t="shared" si="33"/>
        <v>0</v>
      </c>
      <c r="D539" s="2" t="str">
        <f t="shared" si="34"/>
        <v>2025-12</v>
      </c>
      <c r="E539" s="3" t="s">
        <v>514</v>
      </c>
      <c r="F539" s="4" t="s">
        <v>474</v>
      </c>
      <c r="G539" s="39">
        <v>45997</v>
      </c>
      <c r="H539" s="40">
        <v>157</v>
      </c>
      <c r="I539" s="40">
        <v>-157</v>
      </c>
      <c r="J539" s="7">
        <v>188</v>
      </c>
      <c r="K539" s="8">
        <v>0.1206225680933851</v>
      </c>
      <c r="L539" s="9">
        <v>4.1882836143536495E-2</v>
      </c>
      <c r="M539" s="10">
        <v>157.00000000000003</v>
      </c>
      <c r="N539" s="11">
        <v>2.88</v>
      </c>
      <c r="O539" s="12">
        <v>12254.981387049162</v>
      </c>
      <c r="P539" s="32" t="s">
        <v>475</v>
      </c>
      <c r="Q539" s="81" t="s">
        <v>81</v>
      </c>
      <c r="R539" s="82" t="s">
        <v>482</v>
      </c>
      <c r="S539" s="32">
        <v>558</v>
      </c>
      <c r="T539" s="32">
        <v>334.8</v>
      </c>
      <c r="U539" s="32">
        <v>223.20000000000002</v>
      </c>
      <c r="V539" s="74" t="s">
        <v>77</v>
      </c>
      <c r="W539" s="15"/>
      <c r="X539" s="15"/>
      <c r="Y539" s="16"/>
      <c r="Z539" s="17"/>
      <c r="AA539" s="18"/>
      <c r="AB539" s="75">
        <v>629.41999999999996</v>
      </c>
      <c r="AC539" s="20">
        <v>40.384435797665333</v>
      </c>
      <c r="AD539" s="21">
        <v>45997</v>
      </c>
      <c r="AE539" s="22">
        <v>537975.67118330882</v>
      </c>
      <c r="AF539" s="23">
        <v>282636.95593333384</v>
      </c>
      <c r="AG539" s="24">
        <v>382007.53593333403</v>
      </c>
      <c r="AH539" s="15">
        <v>0.5</v>
      </c>
      <c r="AI539" s="25" t="s">
        <v>515</v>
      </c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</row>
    <row r="540" spans="1:73" ht="15" customHeight="1" x14ac:dyDescent="0.25">
      <c r="A540" s="1">
        <f t="shared" si="35"/>
        <v>224</v>
      </c>
      <c r="B540" s="1" t="str">
        <f t="shared" si="32"/>
        <v xml:space="preserve">UMBC </v>
      </c>
      <c r="C540" s="1">
        <f t="shared" si="33"/>
        <v>1</v>
      </c>
      <c r="D540" s="2" t="str">
        <f t="shared" si="34"/>
        <v>2025-12</v>
      </c>
      <c r="E540" s="3" t="s">
        <v>516</v>
      </c>
      <c r="F540" s="4" t="s">
        <v>474</v>
      </c>
      <c r="G540" s="39">
        <v>45997</v>
      </c>
      <c r="H540" s="40">
        <v>-105</v>
      </c>
      <c r="I540" s="40">
        <v>105</v>
      </c>
      <c r="J540" s="7">
        <v>108</v>
      </c>
      <c r="K540" s="8">
        <v>6.5365853658536699E-2</v>
      </c>
      <c r="L540" s="9">
        <v>3.1425891181988796E-2</v>
      </c>
      <c r="M540" s="10">
        <v>-105</v>
      </c>
      <c r="N540" s="11">
        <v>2.08</v>
      </c>
      <c r="O540" s="12">
        <v>11569.245152454121</v>
      </c>
      <c r="P540" s="32" t="s">
        <v>475</v>
      </c>
      <c r="Q540" s="81" t="s">
        <v>92</v>
      </c>
      <c r="R540" s="82" t="s">
        <v>482</v>
      </c>
      <c r="S540" s="32">
        <v>801</v>
      </c>
      <c r="T540" s="32">
        <v>480.59999999999997</v>
      </c>
      <c r="U540" s="32">
        <v>320.40000000000003</v>
      </c>
      <c r="V540" s="74" t="s">
        <v>77</v>
      </c>
      <c r="W540" s="15"/>
      <c r="X540" s="15"/>
      <c r="Y540" s="16"/>
      <c r="Z540" s="17"/>
      <c r="AA540" s="18"/>
      <c r="AB540" s="75">
        <v>519.04999999999995</v>
      </c>
      <c r="AC540" s="20">
        <v>31.414829268292735</v>
      </c>
      <c r="AD540" s="21">
        <v>45997</v>
      </c>
      <c r="AE540" s="22">
        <v>538037.50462950638</v>
      </c>
      <c r="AF540" s="23">
        <v>282822.16593333386</v>
      </c>
      <c r="AG540" s="24">
        <v>382303.11593333405</v>
      </c>
      <c r="AH540" s="15">
        <v>0.5</v>
      </c>
      <c r="AI540" s="25" t="s">
        <v>517</v>
      </c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</row>
    <row r="541" spans="1:73" ht="15" customHeight="1" x14ac:dyDescent="0.25">
      <c r="A541" s="1">
        <f t="shared" si="35"/>
        <v>224</v>
      </c>
      <c r="B541" s="1" t="str">
        <f t="shared" si="32"/>
        <v xml:space="preserve">UMBC </v>
      </c>
      <c r="C541" s="1">
        <f t="shared" si="33"/>
        <v>1</v>
      </c>
      <c r="D541" s="2" t="str">
        <f t="shared" si="34"/>
        <v>2025-12</v>
      </c>
      <c r="E541" s="3" t="s">
        <v>518</v>
      </c>
      <c r="F541" s="4" t="s">
        <v>474</v>
      </c>
      <c r="G541" s="39">
        <v>45997</v>
      </c>
      <c r="H541" s="40">
        <v>-175</v>
      </c>
      <c r="I541" s="40">
        <v>125</v>
      </c>
      <c r="J541" s="7">
        <v>-120</v>
      </c>
      <c r="K541" s="8">
        <v>7.9439252336448593E-2</v>
      </c>
      <c r="L541" s="9">
        <v>4.3330501274426503E-2</v>
      </c>
      <c r="M541" s="10">
        <v>-143.18181818181816</v>
      </c>
      <c r="N541" s="11">
        <v>1.8333333333333335</v>
      </c>
      <c r="O541" s="12">
        <v>18324.641077196295</v>
      </c>
      <c r="P541" s="32" t="s">
        <v>475</v>
      </c>
      <c r="Q541" s="81" t="s">
        <v>92</v>
      </c>
      <c r="R541" s="82" t="s">
        <v>519</v>
      </c>
      <c r="S541" s="32">
        <v>774</v>
      </c>
      <c r="T541" s="32">
        <v>464.4</v>
      </c>
      <c r="U541" s="32">
        <v>309.60000000000002</v>
      </c>
      <c r="V541" s="74" t="s">
        <v>82</v>
      </c>
      <c r="W541" s="15"/>
      <c r="X541" s="15"/>
      <c r="Y541" s="16"/>
      <c r="Z541" s="17"/>
      <c r="AA541" s="18"/>
      <c r="AB541" s="75">
        <v>-464.4</v>
      </c>
      <c r="AC541" s="20">
        <v>36.891588785046721</v>
      </c>
      <c r="AD541" s="21">
        <v>45997</v>
      </c>
      <c r="AE541" s="22">
        <v>538387.3013990781</v>
      </c>
      <c r="AF541" s="23">
        <v>283993.75593333389</v>
      </c>
      <c r="AG541" s="24">
        <v>384458.15593333408</v>
      </c>
      <c r="AH541" s="15">
        <v>0.5</v>
      </c>
      <c r="AI541" s="25" t="s">
        <v>520</v>
      </c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</row>
    <row r="542" spans="1:73" ht="15" customHeight="1" x14ac:dyDescent="0.25">
      <c r="A542" s="1">
        <f t="shared" si="35"/>
        <v>225</v>
      </c>
      <c r="B542" s="1" t="str">
        <f t="shared" si="32"/>
        <v xml:space="preserve">UNC </v>
      </c>
      <c r="C542" s="1">
        <f t="shared" si="33"/>
        <v>0</v>
      </c>
      <c r="D542" s="2" t="str">
        <f t="shared" si="34"/>
        <v>2025-12</v>
      </c>
      <c r="E542" s="3" t="s">
        <v>521</v>
      </c>
      <c r="F542" s="4" t="s">
        <v>474</v>
      </c>
      <c r="G542" s="39">
        <v>45997</v>
      </c>
      <c r="H542" s="40">
        <v>-280</v>
      </c>
      <c r="I542" s="40">
        <v>200</v>
      </c>
      <c r="J542" s="7">
        <v>-161</v>
      </c>
      <c r="K542" s="8">
        <v>0.11617961511047717</v>
      </c>
      <c r="L542" s="9">
        <v>7.1666352616041484E-2</v>
      </c>
      <c r="M542" s="10">
        <v>-221.05263157894734</v>
      </c>
      <c r="N542" s="11">
        <v>1.6211180124223601</v>
      </c>
      <c r="O542" s="12">
        <v>36238.54026474859</v>
      </c>
      <c r="P542" s="32" t="s">
        <v>475</v>
      </c>
      <c r="Q542" s="81" t="s">
        <v>76</v>
      </c>
      <c r="R542" s="82" t="s">
        <v>522</v>
      </c>
      <c r="S542" s="32">
        <v>1048</v>
      </c>
      <c r="T542" s="32">
        <v>628.79999999999995</v>
      </c>
      <c r="U542" s="32">
        <v>419.20000000000005</v>
      </c>
      <c r="V542" s="74" t="s">
        <v>77</v>
      </c>
      <c r="W542" s="15"/>
      <c r="X542" s="15"/>
      <c r="Y542" s="16"/>
      <c r="Z542" s="17"/>
      <c r="AA542" s="18"/>
      <c r="AB542" s="75">
        <v>390.56</v>
      </c>
      <c r="AC542" s="20">
        <v>73.053741981468036</v>
      </c>
      <c r="AD542" s="21">
        <v>45997</v>
      </c>
      <c r="AE542" s="22">
        <v>539542.75561899797</v>
      </c>
      <c r="AF542" s="23">
        <v>287866.62593333382</v>
      </c>
      <c r="AG542" s="24">
        <v>387476.065933334</v>
      </c>
      <c r="AH542" s="15">
        <v>0.5</v>
      </c>
      <c r="AI542" s="25" t="s">
        <v>523</v>
      </c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</row>
    <row r="543" spans="1:73" ht="15" customHeight="1" x14ac:dyDescent="0.25">
      <c r="A543" s="1">
        <f t="shared" si="35"/>
        <v>225</v>
      </c>
      <c r="B543" s="1" t="str">
        <f t="shared" si="32"/>
        <v xml:space="preserve">UNC </v>
      </c>
      <c r="C543" s="1">
        <f t="shared" si="33"/>
        <v>0</v>
      </c>
      <c r="D543" s="2" t="str">
        <f t="shared" si="34"/>
        <v>2025-12</v>
      </c>
      <c r="E543" s="3" t="s">
        <v>524</v>
      </c>
      <c r="F543" s="4" t="s">
        <v>474</v>
      </c>
      <c r="G543" s="39">
        <v>45997</v>
      </c>
      <c r="H543" s="40">
        <v>-250</v>
      </c>
      <c r="I543" s="40">
        <v>240</v>
      </c>
      <c r="J543" s="7">
        <v>-175</v>
      </c>
      <c r="K543" s="8">
        <v>0.11309523809523817</v>
      </c>
      <c r="L543" s="9">
        <v>7.1969696969697017E-2</v>
      </c>
      <c r="M543" s="10">
        <v>-242.85714285714292</v>
      </c>
      <c r="N543" s="11">
        <v>1.5714285714285714</v>
      </c>
      <c r="O543" s="12">
        <v>38382.634857986202</v>
      </c>
      <c r="P543" s="32" t="s">
        <v>475</v>
      </c>
      <c r="Q543" s="81" t="s">
        <v>76</v>
      </c>
      <c r="R543" s="82" t="s">
        <v>522</v>
      </c>
      <c r="S543" s="32">
        <v>1140</v>
      </c>
      <c r="T543" s="32">
        <v>684</v>
      </c>
      <c r="U543" s="32">
        <v>456</v>
      </c>
      <c r="V543" s="74" t="s">
        <v>77</v>
      </c>
      <c r="W543" s="15"/>
      <c r="X543" s="15"/>
      <c r="Y543" s="16"/>
      <c r="Z543" s="17"/>
      <c r="AA543" s="18"/>
      <c r="AB543" s="75">
        <v>390.86</v>
      </c>
      <c r="AC543" s="20">
        <v>77.357142857142904</v>
      </c>
      <c r="AD543" s="21">
        <v>45997</v>
      </c>
      <c r="AE543" s="22">
        <v>539620.11276185513</v>
      </c>
      <c r="AF543" s="23">
        <v>288257.48593333381</v>
      </c>
      <c r="AG543" s="24">
        <v>387866.625933334</v>
      </c>
      <c r="AH543" s="15">
        <v>0.5</v>
      </c>
      <c r="AI543" s="25" t="s">
        <v>525</v>
      </c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</row>
    <row r="544" spans="1:73" ht="15" customHeight="1" x14ac:dyDescent="0.25">
      <c r="A544" s="1">
        <f t="shared" si="35"/>
        <v>225</v>
      </c>
      <c r="B544" s="1" t="str">
        <f t="shared" si="32"/>
        <v xml:space="preserve">UNC </v>
      </c>
      <c r="C544" s="1">
        <f t="shared" si="33"/>
        <v>0</v>
      </c>
      <c r="D544" s="2" t="str">
        <f t="shared" si="34"/>
        <v>2025-12</v>
      </c>
      <c r="E544" s="3" t="s">
        <v>524</v>
      </c>
      <c r="F544" s="4" t="s">
        <v>474</v>
      </c>
      <c r="G544" s="39">
        <v>45997</v>
      </c>
      <c r="H544" s="40">
        <v>-300</v>
      </c>
      <c r="I544" s="40">
        <v>210</v>
      </c>
      <c r="J544" s="7">
        <v>-172</v>
      </c>
      <c r="K544" s="8">
        <v>0.10578772512677048</v>
      </c>
      <c r="L544" s="9">
        <v>6.6895179124281334E-2</v>
      </c>
      <c r="M544" s="10">
        <v>-232.5</v>
      </c>
      <c r="N544" s="11">
        <v>1.5813953488372094</v>
      </c>
      <c r="O544" s="12">
        <v>35322.673532280773</v>
      </c>
      <c r="P544" s="32" t="s">
        <v>475</v>
      </c>
      <c r="Q544" s="81" t="s">
        <v>76</v>
      </c>
      <c r="R544" s="82" t="s">
        <v>522</v>
      </c>
      <c r="S544" s="32">
        <v>1120</v>
      </c>
      <c r="T544" s="32">
        <v>672</v>
      </c>
      <c r="U544" s="32">
        <v>448</v>
      </c>
      <c r="V544" s="74" t="s">
        <v>77</v>
      </c>
      <c r="W544" s="15"/>
      <c r="X544" s="15"/>
      <c r="Y544" s="16"/>
      <c r="Z544" s="17"/>
      <c r="AA544" s="18"/>
      <c r="AB544" s="75">
        <v>390.7</v>
      </c>
      <c r="AC544" s="20">
        <v>71.089351285189764</v>
      </c>
      <c r="AD544" s="21">
        <v>45997</v>
      </c>
      <c r="AE544" s="22">
        <v>539691.20211314026</v>
      </c>
      <c r="AF544" s="23">
        <v>288648.18593333382</v>
      </c>
      <c r="AG544" s="24">
        <v>388257.48593333398</v>
      </c>
      <c r="AH544" s="15">
        <v>0.5</v>
      </c>
      <c r="AI544" s="25" t="s">
        <v>526</v>
      </c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</row>
    <row r="545" spans="1:73" ht="15" customHeight="1" x14ac:dyDescent="0.25">
      <c r="A545" s="1">
        <f t="shared" si="35"/>
        <v>225</v>
      </c>
      <c r="B545" s="1" t="str">
        <f t="shared" si="32"/>
        <v xml:space="preserve">UNC </v>
      </c>
      <c r="C545" s="1">
        <f t="shared" si="33"/>
        <v>0</v>
      </c>
      <c r="D545" s="2" t="str">
        <f t="shared" si="34"/>
        <v>2025-12</v>
      </c>
      <c r="E545" s="3" t="s">
        <v>524</v>
      </c>
      <c r="F545" s="4" t="s">
        <v>474</v>
      </c>
      <c r="G545" s="39">
        <v>45997</v>
      </c>
      <c r="H545" s="40">
        <v>-310</v>
      </c>
      <c r="I545" s="40">
        <v>220</v>
      </c>
      <c r="J545" s="7">
        <v>-164</v>
      </c>
      <c r="K545" s="8">
        <v>0.13900003479350076</v>
      </c>
      <c r="L545" s="9">
        <v>8.634850646262926E-2</v>
      </c>
      <c r="M545" s="10">
        <v>-241.95121951219517</v>
      </c>
      <c r="N545" s="11">
        <v>1.6097560975609757</v>
      </c>
      <c r="O545" s="12">
        <v>44298.131321074783</v>
      </c>
      <c r="P545" s="32" t="s">
        <v>475</v>
      </c>
      <c r="Q545" s="81" t="s">
        <v>76</v>
      </c>
      <c r="R545" s="82" t="s">
        <v>522</v>
      </c>
      <c r="S545" s="32">
        <v>1065</v>
      </c>
      <c r="T545" s="32">
        <v>639</v>
      </c>
      <c r="U545" s="32">
        <v>426</v>
      </c>
      <c r="V545" s="74" t="s">
        <v>77</v>
      </c>
      <c r="W545" s="15"/>
      <c r="X545" s="15"/>
      <c r="Y545" s="16"/>
      <c r="Z545" s="17"/>
      <c r="AA545" s="18"/>
      <c r="AB545" s="75">
        <v>389.63</v>
      </c>
      <c r="AC545" s="20">
        <v>88.821022233046989</v>
      </c>
      <c r="AD545" s="21">
        <v>45997</v>
      </c>
      <c r="AE545" s="22">
        <v>539780.02313537325</v>
      </c>
      <c r="AF545" s="23">
        <v>289037.81593333383</v>
      </c>
      <c r="AG545" s="24">
        <v>388648.185933334</v>
      </c>
      <c r="AH545" s="15">
        <v>0.5</v>
      </c>
      <c r="AI545" s="25" t="s">
        <v>527</v>
      </c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</row>
    <row r="546" spans="1:73" ht="15" customHeight="1" x14ac:dyDescent="0.25">
      <c r="A546" s="1">
        <f t="shared" si="35"/>
        <v>226</v>
      </c>
      <c r="B546" s="1" t="str">
        <f t="shared" si="32"/>
        <v xml:space="preserve">Philadelphia </v>
      </c>
      <c r="C546" s="1">
        <f t="shared" si="33"/>
        <v>0</v>
      </c>
      <c r="D546" s="2" t="str">
        <f t="shared" si="34"/>
        <v>2025-12</v>
      </c>
      <c r="E546" s="3" t="s">
        <v>528</v>
      </c>
      <c r="F546" s="4" t="s">
        <v>529</v>
      </c>
      <c r="G546" s="39">
        <v>45998</v>
      </c>
      <c r="H546" s="40">
        <v>101</v>
      </c>
      <c r="I546" s="40">
        <v>-120</v>
      </c>
      <c r="J546" s="7">
        <v>130</v>
      </c>
      <c r="K546" s="8">
        <v>9.7137901127493723E-2</v>
      </c>
      <c r="L546" s="9">
        <v>4.2233870055432055E-2</v>
      </c>
      <c r="M546" s="10">
        <v>109.6363636363636</v>
      </c>
      <c r="N546" s="11">
        <v>2.2999999999999998</v>
      </c>
      <c r="O546" s="12">
        <v>15369.276624369035</v>
      </c>
      <c r="P546" s="32" t="s">
        <v>75</v>
      </c>
      <c r="Q546" s="81" t="s">
        <v>81</v>
      </c>
      <c r="R546" s="82" t="s">
        <v>530</v>
      </c>
      <c r="S546" s="32"/>
      <c r="T546" s="32">
        <v>2307</v>
      </c>
      <c r="U546" s="32">
        <v>0</v>
      </c>
      <c r="V546" s="74" t="s">
        <v>82</v>
      </c>
      <c r="W546" s="15"/>
      <c r="X546" s="15"/>
      <c r="Y546" s="16"/>
      <c r="Z546" s="17"/>
      <c r="AA546" s="18"/>
      <c r="AB546" s="75">
        <v>-2307</v>
      </c>
      <c r="AC546" s="20">
        <v>224.09713790112801</v>
      </c>
      <c r="AD546" s="21">
        <v>45998</v>
      </c>
      <c r="AE546" s="22">
        <v>547213.19466364325</v>
      </c>
      <c r="AF546" s="23">
        <v>309068.15593333356</v>
      </c>
      <c r="AG546" s="24">
        <v>411375.15593333374</v>
      </c>
      <c r="AH546" s="15">
        <v>0.5</v>
      </c>
      <c r="AI546" s="25" t="s">
        <v>531</v>
      </c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</row>
    <row r="547" spans="1:73" ht="15" customHeight="1" x14ac:dyDescent="0.25">
      <c r="A547" s="1">
        <f t="shared" si="35"/>
        <v>227</v>
      </c>
      <c r="B547" s="1" t="str">
        <f t="shared" si="32"/>
        <v xml:space="preserve">Utah </v>
      </c>
      <c r="C547" s="1">
        <f t="shared" si="33"/>
        <v>0</v>
      </c>
      <c r="D547" s="2" t="str">
        <f t="shared" si="34"/>
        <v>2025-12</v>
      </c>
      <c r="E547" s="3" t="s">
        <v>532</v>
      </c>
      <c r="F547" s="4" t="s">
        <v>529</v>
      </c>
      <c r="G547" s="39">
        <v>45999</v>
      </c>
      <c r="H547" s="40">
        <v>1953</v>
      </c>
      <c r="I547" s="40">
        <v>-11372</v>
      </c>
      <c r="J547" s="7">
        <v>15000</v>
      </c>
      <c r="K547" s="8">
        <v>6.0722541875296709</v>
      </c>
      <c r="L547" s="9">
        <v>4.0213603890924973E-2</v>
      </c>
      <c r="M547" s="10">
        <v>2035.1042538354252</v>
      </c>
      <c r="N547" s="11">
        <v>151</v>
      </c>
      <c r="O547" s="12">
        <v>8234.2227246805305</v>
      </c>
      <c r="P547" s="32" t="s">
        <v>506</v>
      </c>
      <c r="Q547" s="81" t="s">
        <v>81</v>
      </c>
      <c r="R547" s="82" t="s">
        <v>533</v>
      </c>
      <c r="S547" s="32"/>
      <c r="T547" s="32">
        <v>20</v>
      </c>
      <c r="U547" s="32">
        <v>0</v>
      </c>
      <c r="V547" s="74" t="s">
        <v>82</v>
      </c>
      <c r="W547" s="15"/>
      <c r="X547" s="15"/>
      <c r="Y547" s="16"/>
      <c r="Z547" s="17"/>
      <c r="AA547" s="18"/>
      <c r="AB547" s="75">
        <v>-20</v>
      </c>
      <c r="AC547" s="20">
        <v>121.44508375059343</v>
      </c>
      <c r="AD547" s="21">
        <v>45999</v>
      </c>
      <c r="AE547" s="22">
        <v>547836.05108501599</v>
      </c>
      <c r="AF547" s="23">
        <v>306792.15593333356</v>
      </c>
      <c r="AG547" s="24">
        <v>406812.15593333374</v>
      </c>
      <c r="AH547" s="15">
        <v>0.5</v>
      </c>
      <c r="AI547" s="25" t="s">
        <v>534</v>
      </c>
      <c r="AJ547" s="25"/>
      <c r="AK547" s="25"/>
      <c r="AL547" s="25"/>
      <c r="AM547" s="25"/>
      <c r="AN547" s="25">
        <v>1953</v>
      </c>
      <c r="AO547" s="25">
        <v>-11372</v>
      </c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R547" s="1">
        <v>1000</v>
      </c>
      <c r="BS547" s="1">
        <v>1000</v>
      </c>
    </row>
    <row r="548" spans="1:73" ht="15" customHeight="1" x14ac:dyDescent="0.25">
      <c r="A548" s="1">
        <f t="shared" si="35"/>
        <v>228</v>
      </c>
      <c r="B548" s="1" t="str">
        <f t="shared" si="32"/>
        <v xml:space="preserve">New </v>
      </c>
      <c r="C548" s="1">
        <f t="shared" si="33"/>
        <v>1</v>
      </c>
      <c r="D548" s="2" t="str">
        <f t="shared" si="34"/>
        <v>2025-12</v>
      </c>
      <c r="E548" s="3" t="s">
        <v>535</v>
      </c>
      <c r="F548" s="4" t="s">
        <v>529</v>
      </c>
      <c r="G548" s="39">
        <v>46000</v>
      </c>
      <c r="H548" s="40">
        <v>100</v>
      </c>
      <c r="I548" s="40">
        <v>-105</v>
      </c>
      <c r="J548" s="7">
        <v>110</v>
      </c>
      <c r="K548" s="8">
        <v>3.7349397590361461E-2</v>
      </c>
      <c r="L548" s="9">
        <v>1.7785427423981648E-2</v>
      </c>
      <c r="M548" s="10">
        <v>102.43902439024392</v>
      </c>
      <c r="N548" s="11">
        <v>2.1</v>
      </c>
      <c r="O548" s="12">
        <v>7087.5886713764248</v>
      </c>
      <c r="P548" s="32" t="s">
        <v>75</v>
      </c>
      <c r="Q548" s="81" t="s">
        <v>92</v>
      </c>
      <c r="R548" s="82" t="s">
        <v>536</v>
      </c>
      <c r="S548" s="32"/>
      <c r="T548" s="32">
        <v>934</v>
      </c>
      <c r="U548" s="32">
        <v>0</v>
      </c>
      <c r="V548" s="74" t="s">
        <v>77</v>
      </c>
      <c r="W548" s="15"/>
      <c r="X548" s="15"/>
      <c r="Y548" s="16"/>
      <c r="Z548" s="17"/>
      <c r="AA548" s="18"/>
      <c r="AB548" s="75">
        <v>1027.4000000000001</v>
      </c>
      <c r="AC548" s="20">
        <v>34.884337349397605</v>
      </c>
      <c r="AD548" s="21">
        <v>46000</v>
      </c>
      <c r="AE548" s="22">
        <v>549830.15904919792</v>
      </c>
      <c r="AF548" s="23">
        <v>318509.23593333358</v>
      </c>
      <c r="AG548" s="24">
        <v>417481.83593333373</v>
      </c>
      <c r="AH548" s="15">
        <v>0.5</v>
      </c>
      <c r="AI548" s="25" t="s">
        <v>537</v>
      </c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</row>
    <row r="549" spans="1:73" ht="15" customHeight="1" x14ac:dyDescent="0.25">
      <c r="A549" s="1">
        <f t="shared" si="35"/>
        <v>229</v>
      </c>
      <c r="B549" s="1" t="str">
        <f t="shared" si="32"/>
        <v xml:space="preserve">New </v>
      </c>
      <c r="C549" s="1">
        <f t="shared" si="33"/>
        <v>0</v>
      </c>
      <c r="D549" s="2" t="str">
        <f t="shared" si="34"/>
        <v>2025-12</v>
      </c>
      <c r="E549" s="3" t="s">
        <v>538</v>
      </c>
      <c r="F549" s="4" t="s">
        <v>529</v>
      </c>
      <c r="G549" s="39">
        <v>46001</v>
      </c>
      <c r="H549" s="40">
        <v>-116</v>
      </c>
      <c r="I549" s="40">
        <v>100</v>
      </c>
      <c r="J549" s="7">
        <v>106</v>
      </c>
      <c r="K549" s="8">
        <v>6.6785714285714143E-2</v>
      </c>
      <c r="L549" s="9">
        <v>3.2420249653259292E-2</v>
      </c>
      <c r="M549" s="10">
        <v>-107.40740740740738</v>
      </c>
      <c r="N549" s="11">
        <v>2.06</v>
      </c>
      <c r="O549" s="12">
        <v>13193.643424786596</v>
      </c>
      <c r="P549" s="32" t="s">
        <v>75</v>
      </c>
      <c r="Q549" s="81" t="s">
        <v>76</v>
      </c>
      <c r="R549" s="82" t="s">
        <v>536</v>
      </c>
      <c r="S549" s="32"/>
      <c r="T549" s="32">
        <v>3112</v>
      </c>
      <c r="U549" s="32">
        <v>0</v>
      </c>
      <c r="V549" s="74" t="s">
        <v>77</v>
      </c>
      <c r="W549" s="15"/>
      <c r="X549" s="15"/>
      <c r="Y549" s="16"/>
      <c r="Z549" s="17"/>
      <c r="AA549" s="18"/>
      <c r="AB549" s="75">
        <v>3298.72</v>
      </c>
      <c r="AC549" s="20">
        <v>207.83714285714242</v>
      </c>
      <c r="AD549" s="21">
        <v>46001</v>
      </c>
      <c r="AE549" s="22">
        <v>550451.2103529817</v>
      </c>
      <c r="AF549" s="23">
        <v>322108.70593333355</v>
      </c>
      <c r="AG549" s="24">
        <v>418809.98593333375</v>
      </c>
      <c r="AH549" s="15">
        <v>0.5</v>
      </c>
      <c r="AI549" s="25" t="s">
        <v>539</v>
      </c>
      <c r="AJ549" s="25">
        <v>-119</v>
      </c>
      <c r="AK549" s="25">
        <v>10000</v>
      </c>
      <c r="AL549" s="25">
        <v>100</v>
      </c>
      <c r="AM549" s="25">
        <v>10000</v>
      </c>
      <c r="AN549" s="25">
        <v>-116</v>
      </c>
      <c r="AO549" s="25">
        <v>-103</v>
      </c>
      <c r="AP549" s="25"/>
      <c r="AQ549" s="25"/>
      <c r="AR549" s="25"/>
      <c r="AS549" s="25"/>
      <c r="AT549" s="25">
        <v>-115</v>
      </c>
      <c r="AU549" s="25">
        <v>530</v>
      </c>
      <c r="AV549" s="25">
        <v>-113</v>
      </c>
      <c r="AW549" s="25">
        <v>525</v>
      </c>
      <c r="AX549" s="25">
        <v>-183</v>
      </c>
      <c r="AY549" s="25">
        <v>1</v>
      </c>
      <c r="AZ549" s="25">
        <v>-103</v>
      </c>
      <c r="BA549" s="25">
        <v>637</v>
      </c>
      <c r="BB549" s="25">
        <v>-130</v>
      </c>
      <c r="BC549" s="25">
        <v>-102</v>
      </c>
      <c r="BD549" s="25">
        <v>-125</v>
      </c>
      <c r="BE549" s="25">
        <v>-105</v>
      </c>
      <c r="BF549" s="25">
        <v>-125</v>
      </c>
      <c r="BG549" s="25">
        <v>-105</v>
      </c>
      <c r="BH549" s="25">
        <v>-128</v>
      </c>
      <c r="BI549" s="25">
        <v>1600</v>
      </c>
      <c r="BJ549" s="25">
        <v>-107</v>
      </c>
      <c r="BK549" s="25">
        <v>207</v>
      </c>
      <c r="BL549" s="25"/>
      <c r="BM549" s="25"/>
      <c r="BN549" s="25"/>
      <c r="BO549" s="25"/>
      <c r="BP549" s="25"/>
      <c r="BT549" s="1">
        <v>100</v>
      </c>
      <c r="BU549" s="1">
        <v>-130</v>
      </c>
    </row>
    <row r="550" spans="1:73" ht="15" customHeight="1" x14ac:dyDescent="0.25">
      <c r="A550" s="1">
        <f t="shared" si="35"/>
        <v>230</v>
      </c>
      <c r="B550" s="1" t="str">
        <f t="shared" si="32"/>
        <v xml:space="preserve">Denver </v>
      </c>
      <c r="C550" s="1">
        <f t="shared" si="33"/>
        <v>1</v>
      </c>
      <c r="D550" s="2" t="str">
        <f t="shared" si="34"/>
        <v>2025-12</v>
      </c>
      <c r="E550" s="3" t="s">
        <v>540</v>
      </c>
      <c r="F550" s="4" t="s">
        <v>529</v>
      </c>
      <c r="G550" s="39">
        <v>46002</v>
      </c>
      <c r="H550" s="40">
        <v>103</v>
      </c>
      <c r="I550" s="40">
        <v>128</v>
      </c>
      <c r="J550" s="7">
        <v>120</v>
      </c>
      <c r="K550" s="8">
        <v>0.16380510440835278</v>
      </c>
      <c r="L550" s="9">
        <v>7.4456865640160352E-2</v>
      </c>
      <c r="M550" s="10">
        <v>-112.31527093596061</v>
      </c>
      <c r="N550" s="11">
        <v>2.2000000000000002</v>
      </c>
      <c r="O550" s="12">
        <v>28694.034028319198</v>
      </c>
      <c r="P550" s="32" t="s">
        <v>506</v>
      </c>
      <c r="Q550" s="81" t="s">
        <v>92</v>
      </c>
      <c r="R550" s="82" t="s">
        <v>541</v>
      </c>
      <c r="S550" s="32"/>
      <c r="T550" s="32">
        <v>130</v>
      </c>
      <c r="U550" s="32">
        <v>0</v>
      </c>
      <c r="V550" s="74" t="s">
        <v>77</v>
      </c>
      <c r="W550" s="15"/>
      <c r="X550" s="15"/>
      <c r="Y550" s="16"/>
      <c r="Z550" s="17"/>
      <c r="AA550" s="18"/>
      <c r="AB550" s="75">
        <v>156</v>
      </c>
      <c r="AC550" s="20">
        <v>21.29466357308586</v>
      </c>
      <c r="AD550" s="21">
        <v>46002</v>
      </c>
      <c r="AE550" s="22">
        <v>551496.02599577955</v>
      </c>
      <c r="AF550" s="23">
        <v>320568.30593333358</v>
      </c>
      <c r="AG550" s="24">
        <v>420412.30593333376</v>
      </c>
      <c r="AH550" s="15">
        <v>0.5</v>
      </c>
      <c r="AI550" s="25" t="s">
        <v>542</v>
      </c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</row>
    <row r="551" spans="1:73" ht="15" customHeight="1" x14ac:dyDescent="0.25">
      <c r="A551" s="1">
        <f t="shared" si="35"/>
        <v>231</v>
      </c>
      <c r="B551" s="1" t="str">
        <f t="shared" si="32"/>
        <v xml:space="preserve">North </v>
      </c>
      <c r="C551" s="1">
        <f t="shared" si="33"/>
        <v>1</v>
      </c>
      <c r="D551" s="2" t="str">
        <f t="shared" si="34"/>
        <v>2025-12</v>
      </c>
      <c r="E551" s="3" t="s">
        <v>543</v>
      </c>
      <c r="F551" s="4" t="s">
        <v>529</v>
      </c>
      <c r="G551" s="39">
        <v>46002</v>
      </c>
      <c r="H551" s="40">
        <v>-142</v>
      </c>
      <c r="I551" s="40">
        <v>107</v>
      </c>
      <c r="J551" s="7">
        <v>104</v>
      </c>
      <c r="K551" s="8">
        <v>0.11885211031085584</v>
      </c>
      <c r="L551" s="9">
        <v>5.826083838767443E-2</v>
      </c>
      <c r="M551" s="10">
        <v>-121.4628099173554</v>
      </c>
      <c r="N551" s="11">
        <v>2.04</v>
      </c>
      <c r="O551" s="12">
        <v>23938.740988388436</v>
      </c>
      <c r="P551" s="32" t="s">
        <v>506</v>
      </c>
      <c r="Q551" s="81" t="s">
        <v>92</v>
      </c>
      <c r="R551" s="82" t="s">
        <v>544</v>
      </c>
      <c r="S551" s="32"/>
      <c r="T551" s="32">
        <v>230</v>
      </c>
      <c r="U551" s="32">
        <v>0</v>
      </c>
      <c r="V551" s="74" t="s">
        <v>77</v>
      </c>
      <c r="W551" s="15"/>
      <c r="X551" s="15"/>
      <c r="Y551" s="16"/>
      <c r="Z551" s="17"/>
      <c r="AA551" s="18"/>
      <c r="AB551" s="75">
        <v>239.2</v>
      </c>
      <c r="AC551" s="20">
        <v>27.335985371496843</v>
      </c>
      <c r="AD551" s="21">
        <v>46002</v>
      </c>
      <c r="AE551" s="22">
        <v>551400.64961455611</v>
      </c>
      <c r="AF551" s="23">
        <v>319184.90593333356</v>
      </c>
      <c r="AG551" s="24">
        <v>418945.70593333372</v>
      </c>
      <c r="AH551" s="15">
        <v>0.5</v>
      </c>
      <c r="AI551" s="25" t="s">
        <v>545</v>
      </c>
      <c r="AJ551" s="25"/>
      <c r="AK551" s="25"/>
      <c r="AL551" s="25"/>
      <c r="AM551" s="25"/>
      <c r="AN551" s="25">
        <v>-142</v>
      </c>
      <c r="AO551" s="25">
        <v>107</v>
      </c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>
        <v>-150</v>
      </c>
      <c r="BC551" s="25">
        <v>110</v>
      </c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R551" s="1">
        <v>1000</v>
      </c>
      <c r="BS551" s="1">
        <v>1000</v>
      </c>
    </row>
    <row r="552" spans="1:73" ht="15" customHeight="1" x14ac:dyDescent="0.25">
      <c r="A552" s="1">
        <f t="shared" si="35"/>
        <v>232</v>
      </c>
      <c r="B552" s="1" t="str">
        <f t="shared" si="32"/>
        <v xml:space="preserve">Butler </v>
      </c>
      <c r="C552" s="1">
        <f t="shared" si="33"/>
        <v>0</v>
      </c>
      <c r="D552" s="2" t="str">
        <f t="shared" si="34"/>
        <v>2025-12</v>
      </c>
      <c r="E552" s="3" t="s">
        <v>546</v>
      </c>
      <c r="F552" s="4" t="s">
        <v>529</v>
      </c>
      <c r="G552" s="39">
        <v>46004</v>
      </c>
      <c r="H552" s="40">
        <v>-103</v>
      </c>
      <c r="I552" s="40">
        <v>-123</v>
      </c>
      <c r="J552" s="7">
        <v>133</v>
      </c>
      <c r="K552" s="8">
        <v>0.1163955525887604</v>
      </c>
      <c r="L552" s="9">
        <v>4.9955172784875712E-2</v>
      </c>
      <c r="M552" s="10">
        <v>108.70738821890374</v>
      </c>
      <c r="N552" s="11">
        <v>2.33</v>
      </c>
      <c r="O552" s="12">
        <v>18380.873494278767</v>
      </c>
      <c r="P552" s="32" t="s">
        <v>506</v>
      </c>
      <c r="Q552" s="81" t="s">
        <v>81</v>
      </c>
      <c r="R552" s="82" t="s">
        <v>547</v>
      </c>
      <c r="S552" s="32"/>
      <c r="T552" s="32">
        <v>882</v>
      </c>
      <c r="U552" s="32">
        <v>0</v>
      </c>
      <c r="V552" s="74" t="s">
        <v>77</v>
      </c>
      <c r="W552" s="15"/>
      <c r="X552" s="15"/>
      <c r="Y552" s="16"/>
      <c r="Z552" s="17"/>
      <c r="AA552" s="18"/>
      <c r="AB552" s="75">
        <v>1173.06</v>
      </c>
      <c r="AC552" s="20">
        <v>102.66087738328667</v>
      </c>
      <c r="AD552" s="21">
        <v>46004</v>
      </c>
      <c r="AE552" s="22">
        <v>553749.56285999995</v>
      </c>
      <c r="AF552" s="23">
        <v>321233.12593333365</v>
      </c>
      <c r="AG552" s="24">
        <v>420060.06593333383</v>
      </c>
      <c r="AH552" s="15">
        <v>0.5</v>
      </c>
      <c r="AI552" s="25" t="s">
        <v>548</v>
      </c>
      <c r="AJ552" s="25">
        <v>-103</v>
      </c>
      <c r="AK552" s="25">
        <v>1500</v>
      </c>
      <c r="AL552" s="25">
        <v>-128</v>
      </c>
      <c r="AM552" s="25">
        <v>1500</v>
      </c>
      <c r="AN552" s="25">
        <v>-107</v>
      </c>
      <c r="AO552" s="25">
        <v>-123</v>
      </c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>
        <v>-111</v>
      </c>
      <c r="BC552" s="25">
        <v>-115</v>
      </c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>
        <v>105</v>
      </c>
      <c r="BQ552" s="1">
        <v>-135</v>
      </c>
      <c r="BR552" s="1">
        <v>1000</v>
      </c>
      <c r="BS552" s="1">
        <v>1000</v>
      </c>
      <c r="BT552" s="1">
        <v>-105</v>
      </c>
      <c r="BU552" s="1">
        <v>-125</v>
      </c>
    </row>
    <row r="553" spans="1:73" ht="15" customHeight="1" x14ac:dyDescent="0.25">
      <c r="A553" s="1">
        <f t="shared" si="35"/>
        <v>233</v>
      </c>
      <c r="B553" s="1" t="str">
        <f t="shared" si="32"/>
        <v xml:space="preserve">Cal </v>
      </c>
      <c r="C553" s="1">
        <f t="shared" si="33"/>
        <v>1</v>
      </c>
      <c r="D553" s="2" t="str">
        <f t="shared" si="34"/>
        <v>2025-12</v>
      </c>
      <c r="E553" s="3" t="s">
        <v>549</v>
      </c>
      <c r="F553" s="4" t="s">
        <v>529</v>
      </c>
      <c r="G553" s="39">
        <v>46004</v>
      </c>
      <c r="H553" s="40">
        <v>-115</v>
      </c>
      <c r="I553" s="40">
        <v>-102</v>
      </c>
      <c r="J553" s="7">
        <v>125</v>
      </c>
      <c r="K553" s="8">
        <v>0.15738485385296741</v>
      </c>
      <c r="L553" s="9">
        <v>6.9948823934652182E-2</v>
      </c>
      <c r="M553" s="10">
        <v>-105.92795257637941</v>
      </c>
      <c r="N553" s="11">
        <v>2.25</v>
      </c>
      <c r="O553" s="12">
        <v>28567.805292481611</v>
      </c>
      <c r="P553" s="32" t="s">
        <v>506</v>
      </c>
      <c r="Q553" s="81" t="s">
        <v>92</v>
      </c>
      <c r="R553" s="82" t="s">
        <v>550</v>
      </c>
      <c r="S553" s="32"/>
      <c r="T553" s="32">
        <v>112</v>
      </c>
      <c r="U553" s="32">
        <v>0</v>
      </c>
      <c r="V553" s="74" t="s">
        <v>77</v>
      </c>
      <c r="W553" s="15"/>
      <c r="X553" s="15"/>
      <c r="Y553" s="16"/>
      <c r="Z553" s="17"/>
      <c r="AA553" s="18"/>
      <c r="AB553" s="75">
        <v>140</v>
      </c>
      <c r="AC553" s="20">
        <v>17.62710363153235</v>
      </c>
      <c r="AD553" s="21">
        <v>46004</v>
      </c>
      <c r="AE553" s="22">
        <v>559011.29200468247</v>
      </c>
      <c r="AF553" s="23">
        <v>353928.98593333364</v>
      </c>
      <c r="AG553" s="24">
        <v>453788.98593333381</v>
      </c>
      <c r="AH553" s="15">
        <v>0.5</v>
      </c>
      <c r="AI553" s="25" t="s">
        <v>551</v>
      </c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</row>
    <row r="554" spans="1:73" ht="15" customHeight="1" x14ac:dyDescent="0.25">
      <c r="A554" s="1">
        <f t="shared" si="35"/>
        <v>234</v>
      </c>
      <c r="B554" s="1" t="str">
        <f t="shared" si="32"/>
        <v xml:space="preserve">Central </v>
      </c>
      <c r="C554" s="1">
        <f t="shared" si="33"/>
        <v>0</v>
      </c>
      <c r="D554" s="2" t="str">
        <f t="shared" si="34"/>
        <v>2025-12</v>
      </c>
      <c r="E554" s="3" t="s">
        <v>552</v>
      </c>
      <c r="F554" s="4" t="s">
        <v>529</v>
      </c>
      <c r="G554" s="39">
        <v>46004</v>
      </c>
      <c r="H554" s="40">
        <v>-118</v>
      </c>
      <c r="I554" s="40">
        <v>-112</v>
      </c>
      <c r="J554" s="7">
        <v>130</v>
      </c>
      <c r="K554" s="8">
        <v>0.16395856934779066</v>
      </c>
      <c r="L554" s="9">
        <v>7.1286334499039428E-2</v>
      </c>
      <c r="M554" s="10">
        <v>-102.45740498034074</v>
      </c>
      <c r="N554" s="11">
        <v>2.2999999999999998</v>
      </c>
      <c r="O554" s="12">
        <v>27677.061987069101</v>
      </c>
      <c r="P554" s="32" t="s">
        <v>506</v>
      </c>
      <c r="Q554" s="81" t="s">
        <v>76</v>
      </c>
      <c r="R554" s="82" t="s">
        <v>553</v>
      </c>
      <c r="S554" s="32"/>
      <c r="T554" s="32">
        <v>1769</v>
      </c>
      <c r="U554" s="32">
        <v>0</v>
      </c>
      <c r="V554" s="74" t="s">
        <v>77</v>
      </c>
      <c r="W554" s="15"/>
      <c r="X554" s="15"/>
      <c r="Y554" s="16"/>
      <c r="Z554" s="17"/>
      <c r="AA554" s="18"/>
      <c r="AB554" s="75">
        <v>2299.6999999999998</v>
      </c>
      <c r="AC554" s="20">
        <v>290.04270917624166</v>
      </c>
      <c r="AD554" s="21">
        <v>46004</v>
      </c>
      <c r="AE554" s="22">
        <v>557692.64955618582</v>
      </c>
      <c r="AF554" s="23">
        <v>341193.26593333366</v>
      </c>
      <c r="AG554" s="24">
        <v>438893.56593333383</v>
      </c>
      <c r="AH554" s="15">
        <v>0.5</v>
      </c>
      <c r="AI554" s="25" t="s">
        <v>554</v>
      </c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</row>
    <row r="555" spans="1:73" ht="15" customHeight="1" x14ac:dyDescent="0.25">
      <c r="A555" s="1">
        <f t="shared" si="35"/>
        <v>234</v>
      </c>
      <c r="B555" s="1" t="str">
        <f t="shared" si="32"/>
        <v xml:space="preserve">Central </v>
      </c>
      <c r="C555" s="1">
        <f t="shared" si="33"/>
        <v>0</v>
      </c>
      <c r="D555" s="2" t="str">
        <f t="shared" si="34"/>
        <v>2025-12</v>
      </c>
      <c r="E555" s="3" t="s">
        <v>555</v>
      </c>
      <c r="F555" s="4" t="s">
        <v>529</v>
      </c>
      <c r="G555" s="39">
        <v>46004</v>
      </c>
      <c r="H555" s="40">
        <v>-115</v>
      </c>
      <c r="I555" s="40">
        <v>-112</v>
      </c>
      <c r="J555" s="7">
        <v>120</v>
      </c>
      <c r="K555" s="8">
        <v>0.10680973999174609</v>
      </c>
      <c r="L555" s="9">
        <v>4.854988181443004E-2</v>
      </c>
      <c r="M555" s="10">
        <v>-101.24584717607979</v>
      </c>
      <c r="N555" s="11">
        <v>2.2000000000000002</v>
      </c>
      <c r="O555" s="12">
        <v>19656.786838551918</v>
      </c>
      <c r="P555" s="32" t="s">
        <v>506</v>
      </c>
      <c r="Q555" s="81" t="s">
        <v>76</v>
      </c>
      <c r="R555" s="82" t="s">
        <v>553</v>
      </c>
      <c r="S555" s="32"/>
      <c r="T555" s="32">
        <v>684</v>
      </c>
      <c r="U555" s="32">
        <v>0</v>
      </c>
      <c r="V555" s="74" t="s">
        <v>77</v>
      </c>
      <c r="W555" s="15"/>
      <c r="X555" s="15"/>
      <c r="Y555" s="16"/>
      <c r="Z555" s="17"/>
      <c r="AA555" s="18"/>
      <c r="AB555" s="75">
        <v>820.8</v>
      </c>
      <c r="AC555" s="20">
        <v>73.057862154354325</v>
      </c>
      <c r="AD555" s="21">
        <v>46004</v>
      </c>
      <c r="AE555" s="22">
        <v>557823.06980761664</v>
      </c>
      <c r="AF555" s="23">
        <v>342506.06593333365</v>
      </c>
      <c r="AG555" s="24">
        <v>441685.26593333384</v>
      </c>
      <c r="AH555" s="15">
        <v>0.5</v>
      </c>
      <c r="AI555" s="25" t="s">
        <v>556</v>
      </c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</row>
    <row r="556" spans="1:73" ht="15" customHeight="1" x14ac:dyDescent="0.25">
      <c r="A556" s="1">
        <f t="shared" si="35"/>
        <v>235</v>
      </c>
      <c r="B556" s="1" t="str">
        <f t="shared" si="32"/>
        <v xml:space="preserve">Central </v>
      </c>
      <c r="C556" s="1">
        <f t="shared" si="33"/>
        <v>1</v>
      </c>
      <c r="D556" s="2" t="str">
        <f t="shared" si="34"/>
        <v>2025-12</v>
      </c>
      <c r="E556" s="3" t="s">
        <v>557</v>
      </c>
      <c r="F556" s="4" t="s">
        <v>529</v>
      </c>
      <c r="G556" s="39">
        <v>46004</v>
      </c>
      <c r="H556" s="40">
        <v>-110</v>
      </c>
      <c r="I556" s="40">
        <v>-122</v>
      </c>
      <c r="J556" s="7">
        <v>128</v>
      </c>
      <c r="K556" s="8">
        <v>0.11266187050359711</v>
      </c>
      <c r="L556" s="9">
        <v>4.9413101098068901E-2</v>
      </c>
      <c r="M556" s="10">
        <v>104.91400491400493</v>
      </c>
      <c r="N556" s="11">
        <v>2.2800000000000002</v>
      </c>
      <c r="O556" s="12">
        <v>19474.047303608379</v>
      </c>
      <c r="P556" s="32" t="s">
        <v>506</v>
      </c>
      <c r="Q556" s="81" t="s">
        <v>92</v>
      </c>
      <c r="R556" s="82" t="s">
        <v>553</v>
      </c>
      <c r="S556" s="32"/>
      <c r="T556" s="32">
        <v>384</v>
      </c>
      <c r="U556" s="32">
        <v>0</v>
      </c>
      <c r="V556" s="74" t="s">
        <v>82</v>
      </c>
      <c r="W556" s="15"/>
      <c r="X556" s="15"/>
      <c r="Y556" s="16"/>
      <c r="Z556" s="17"/>
      <c r="AA556" s="18"/>
      <c r="AB556" s="75">
        <v>-384</v>
      </c>
      <c r="AC556" s="20">
        <v>43.262158273381289</v>
      </c>
      <c r="AD556" s="21">
        <v>46004</v>
      </c>
      <c r="AE556" s="22">
        <v>557866.33196589001</v>
      </c>
      <c r="AF556" s="23">
        <v>342122.06593333365</v>
      </c>
      <c r="AG556" s="24">
        <v>442506.06593333383</v>
      </c>
      <c r="AH556" s="15">
        <v>0.5</v>
      </c>
      <c r="AI556" s="25" t="s">
        <v>558</v>
      </c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</row>
    <row r="557" spans="1:73" ht="15" customHeight="1" x14ac:dyDescent="0.25">
      <c r="A557" s="1">
        <f t="shared" si="35"/>
        <v>236</v>
      </c>
      <c r="B557" s="1" t="str">
        <f t="shared" si="32"/>
        <v xml:space="preserve">Chattanooga </v>
      </c>
      <c r="C557" s="1">
        <f t="shared" si="33"/>
        <v>1</v>
      </c>
      <c r="D557" s="2" t="str">
        <f t="shared" si="34"/>
        <v>2025-12</v>
      </c>
      <c r="E557" s="3" t="s">
        <v>559</v>
      </c>
      <c r="F557" s="4" t="s">
        <v>529</v>
      </c>
      <c r="G557" s="39">
        <v>46004</v>
      </c>
      <c r="H557" s="40">
        <v>-123</v>
      </c>
      <c r="I557" s="40">
        <v>-108</v>
      </c>
      <c r="J557" s="7">
        <v>116</v>
      </c>
      <c r="K557" s="8">
        <v>0.11261657405170375</v>
      </c>
      <c r="L557" s="9">
        <v>5.2137302801714691E-2</v>
      </c>
      <c r="M557" s="10">
        <v>-106.22820129546589</v>
      </c>
      <c r="N557" s="11">
        <v>2.16</v>
      </c>
      <c r="O557" s="12">
        <v>21368.004965138833</v>
      </c>
      <c r="P557" s="32" t="s">
        <v>506</v>
      </c>
      <c r="Q557" s="81" t="s">
        <v>92</v>
      </c>
      <c r="R557" s="82" t="s">
        <v>560</v>
      </c>
      <c r="S557" s="32"/>
      <c r="T557" s="32">
        <v>606</v>
      </c>
      <c r="U557" s="32">
        <v>0</v>
      </c>
      <c r="V557" s="74" t="s">
        <v>77</v>
      </c>
      <c r="W557" s="15"/>
      <c r="X557" s="15"/>
      <c r="Y557" s="16"/>
      <c r="Z557" s="17"/>
      <c r="AA557" s="18"/>
      <c r="AB557" s="75">
        <v>702.96</v>
      </c>
      <c r="AC557" s="20">
        <v>68.245643875332476</v>
      </c>
      <c r="AD557" s="21">
        <v>46004</v>
      </c>
      <c r="AE557" s="22">
        <v>557074.15252932638</v>
      </c>
      <c r="AF557" s="23">
        <v>340902.56593333365</v>
      </c>
      <c r="AG557" s="24">
        <v>440199.60593333381</v>
      </c>
      <c r="AH557" s="15">
        <v>0.5</v>
      </c>
      <c r="AI557" s="25" t="s">
        <v>561</v>
      </c>
      <c r="AJ557" s="25"/>
      <c r="AK557" s="25"/>
      <c r="AL557" s="25"/>
      <c r="AM557" s="25"/>
      <c r="AN557" s="25">
        <v>-116</v>
      </c>
      <c r="AO557" s="25">
        <v>-114</v>
      </c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>
        <v>-120</v>
      </c>
      <c r="BC557" s="25">
        <v>-110</v>
      </c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>
        <v>-140</v>
      </c>
      <c r="BQ557" s="1">
        <v>100</v>
      </c>
      <c r="BR557" s="1">
        <v>1000</v>
      </c>
      <c r="BS557" s="1">
        <v>1000</v>
      </c>
      <c r="BT557" s="1">
        <v>-120</v>
      </c>
      <c r="BU557" s="1">
        <v>-110</v>
      </c>
    </row>
    <row r="558" spans="1:73" ht="15" customHeight="1" x14ac:dyDescent="0.25">
      <c r="A558" s="1">
        <f t="shared" si="35"/>
        <v>237</v>
      </c>
      <c r="B558" s="1" t="str">
        <f t="shared" si="32"/>
        <v xml:space="preserve">Dayton </v>
      </c>
      <c r="C558" s="1">
        <f t="shared" si="33"/>
        <v>0</v>
      </c>
      <c r="D558" s="2" t="str">
        <f t="shared" si="34"/>
        <v>2025-12</v>
      </c>
      <c r="E558" s="3" t="s">
        <v>562</v>
      </c>
      <c r="F558" s="4" t="s">
        <v>529</v>
      </c>
      <c r="G558" s="39">
        <v>46004</v>
      </c>
      <c r="H558" s="40">
        <v>-114</v>
      </c>
      <c r="I558" s="40">
        <v>-110</v>
      </c>
      <c r="J558" s="7">
        <v>116</v>
      </c>
      <c r="K558" s="8">
        <v>8.9098567818028537E-2</v>
      </c>
      <c r="L558" s="9">
        <v>4.1249336952790983E-2</v>
      </c>
      <c r="M558" s="10">
        <v>-101.69923534409511</v>
      </c>
      <c r="N558" s="11">
        <v>2.16</v>
      </c>
      <c r="O558" s="12">
        <v>16892.342101614227</v>
      </c>
      <c r="P558" s="32" t="s">
        <v>506</v>
      </c>
      <c r="Q558" s="81" t="s">
        <v>76</v>
      </c>
      <c r="R558" s="82" t="s">
        <v>563</v>
      </c>
      <c r="S558" s="32"/>
      <c r="T558" s="32">
        <v>606</v>
      </c>
      <c r="U558" s="32">
        <v>0</v>
      </c>
      <c r="V558" s="74" t="s">
        <v>82</v>
      </c>
      <c r="W558" s="15"/>
      <c r="X558" s="15"/>
      <c r="Y558" s="16"/>
      <c r="Z558" s="17"/>
      <c r="AA558" s="18"/>
      <c r="AB558" s="75">
        <v>-606</v>
      </c>
      <c r="AC558" s="20">
        <v>53.993732097725292</v>
      </c>
      <c r="AD558" s="21">
        <v>46004</v>
      </c>
      <c r="AE558" s="22">
        <v>557201.06292809069</v>
      </c>
      <c r="AF558" s="23">
        <v>339246.56593333365</v>
      </c>
      <c r="AG558" s="24">
        <v>439852.56593333383</v>
      </c>
      <c r="AH558" s="15">
        <v>0.5</v>
      </c>
      <c r="AI558" s="25" t="s">
        <v>564</v>
      </c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</row>
    <row r="559" spans="1:73" ht="15" customHeight="1" x14ac:dyDescent="0.25">
      <c r="A559" s="1">
        <f t="shared" si="35"/>
        <v>238</v>
      </c>
      <c r="B559" s="1" t="str">
        <f t="shared" si="32"/>
        <v xml:space="preserve">Delaware </v>
      </c>
      <c r="C559" s="1">
        <f t="shared" si="33"/>
        <v>0</v>
      </c>
      <c r="D559" s="2" t="str">
        <f t="shared" si="34"/>
        <v>2025-12</v>
      </c>
      <c r="E559" s="3" t="s">
        <v>565</v>
      </c>
      <c r="F559" s="4" t="s">
        <v>529</v>
      </c>
      <c r="G559" s="39">
        <v>46004</v>
      </c>
      <c r="H559" s="40">
        <v>-152</v>
      </c>
      <c r="I559" s="40">
        <v>115</v>
      </c>
      <c r="J559" s="7">
        <v>112</v>
      </c>
      <c r="K559" s="8">
        <v>0.19698686938493434</v>
      </c>
      <c r="L559" s="9">
        <v>9.2918334615535059E-2</v>
      </c>
      <c r="M559" s="10">
        <v>-129.68253968253964</v>
      </c>
      <c r="N559" s="11">
        <v>2.12</v>
      </c>
      <c r="O559" s="12">
        <v>37015.454903259648</v>
      </c>
      <c r="P559" s="32" t="s">
        <v>506</v>
      </c>
      <c r="Q559" s="81" t="s">
        <v>81</v>
      </c>
      <c r="R559" s="82" t="s">
        <v>566</v>
      </c>
      <c r="S559" s="32"/>
      <c r="T559" s="32">
        <v>157</v>
      </c>
      <c r="U559" s="32">
        <v>0</v>
      </c>
      <c r="V559" s="74" t="s">
        <v>82</v>
      </c>
      <c r="W559" s="15"/>
      <c r="X559" s="15"/>
      <c r="Y559" s="16"/>
      <c r="Z559" s="17"/>
      <c r="AA559" s="18"/>
      <c r="AB559" s="75">
        <v>-157</v>
      </c>
      <c r="AC559" s="20">
        <v>30.92693849343469</v>
      </c>
      <c r="AD559" s="21">
        <v>46004</v>
      </c>
      <c r="AE559" s="22">
        <v>551966.33094337478</v>
      </c>
      <c r="AF559" s="23">
        <v>320757.4459333336</v>
      </c>
      <c r="AG559" s="24">
        <v>420914.44593333377</v>
      </c>
      <c r="AH559" s="15">
        <v>0.5</v>
      </c>
      <c r="AI559" s="25" t="s">
        <v>567</v>
      </c>
      <c r="AJ559" s="25"/>
      <c r="AK559" s="25"/>
      <c r="AL559" s="25"/>
      <c r="AM559" s="25"/>
      <c r="AN559" s="25">
        <v>-152</v>
      </c>
      <c r="AO559" s="25">
        <v>115</v>
      </c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>
        <v>-154</v>
      </c>
      <c r="BC559" s="25">
        <v>120</v>
      </c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>
        <v>115</v>
      </c>
      <c r="BQ559" s="1">
        <v>-145</v>
      </c>
      <c r="BR559" s="1">
        <v>1000</v>
      </c>
      <c r="BS559" s="1">
        <v>1000</v>
      </c>
      <c r="BT559" s="1">
        <v>124</v>
      </c>
      <c r="BU559" s="1">
        <v>-160</v>
      </c>
    </row>
    <row r="560" spans="1:73" ht="15" customHeight="1" x14ac:dyDescent="0.25">
      <c r="A560" s="1">
        <f t="shared" si="35"/>
        <v>239</v>
      </c>
      <c r="B560" s="1" t="str">
        <f t="shared" si="32"/>
        <v xml:space="preserve">Drake </v>
      </c>
      <c r="C560" s="1">
        <f t="shared" si="33"/>
        <v>0</v>
      </c>
      <c r="D560" s="2" t="str">
        <f t="shared" si="34"/>
        <v>2025-12</v>
      </c>
      <c r="E560" s="3" t="s">
        <v>568</v>
      </c>
      <c r="F560" s="4" t="s">
        <v>529</v>
      </c>
      <c r="G560" s="39">
        <v>46004</v>
      </c>
      <c r="H560" s="40">
        <v>-115</v>
      </c>
      <c r="I560" s="40">
        <v>-115</v>
      </c>
      <c r="J560" s="7">
        <v>120</v>
      </c>
      <c r="K560" s="8">
        <v>0.10000000000000003</v>
      </c>
      <c r="L560" s="9">
        <v>4.545454545454547E-2</v>
      </c>
      <c r="M560" s="10">
        <v>100</v>
      </c>
      <c r="N560" s="11">
        <v>2.2000000000000002</v>
      </c>
      <c r="O560" s="12">
        <v>17502.129830555579</v>
      </c>
      <c r="P560" s="32" t="s">
        <v>506</v>
      </c>
      <c r="Q560" s="81" t="s">
        <v>76</v>
      </c>
      <c r="R560" s="82" t="s">
        <v>569</v>
      </c>
      <c r="S560" s="32"/>
      <c r="T560" s="32">
        <v>205</v>
      </c>
      <c r="U560" s="32">
        <v>0</v>
      </c>
      <c r="V560" s="74" t="s">
        <v>82</v>
      </c>
      <c r="W560" s="15"/>
      <c r="X560" s="15"/>
      <c r="Y560" s="16"/>
      <c r="Z560" s="17"/>
      <c r="AA560" s="18"/>
      <c r="AB560" s="75">
        <v>-205</v>
      </c>
      <c r="AC560" s="20">
        <v>20.500000000000007</v>
      </c>
      <c r="AD560" s="21">
        <v>46004</v>
      </c>
      <c r="AE560" s="22">
        <v>552793.6261207154</v>
      </c>
      <c r="AF560" s="23">
        <v>319846.11593333364</v>
      </c>
      <c r="AG560" s="24">
        <v>420051.11593333381</v>
      </c>
      <c r="AH560" s="15">
        <v>0.5</v>
      </c>
      <c r="AI560" s="25" t="s">
        <v>570</v>
      </c>
      <c r="AJ560" s="25"/>
      <c r="AK560" s="25"/>
      <c r="AL560" s="25"/>
      <c r="AM560" s="25"/>
      <c r="AN560" s="25">
        <v>-115</v>
      </c>
      <c r="AO560" s="25">
        <v>-115</v>
      </c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>
        <v>-114</v>
      </c>
      <c r="BC560" s="25">
        <v>-114</v>
      </c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R560" s="1">
        <v>1000</v>
      </c>
      <c r="BS560" s="1">
        <v>1000</v>
      </c>
    </row>
    <row r="561" spans="1:73" ht="15" customHeight="1" x14ac:dyDescent="0.25">
      <c r="A561" s="1">
        <f t="shared" si="35"/>
        <v>239</v>
      </c>
      <c r="B561" s="1" t="str">
        <f t="shared" si="32"/>
        <v xml:space="preserve">Drake </v>
      </c>
      <c r="C561" s="1">
        <f t="shared" si="33"/>
        <v>0</v>
      </c>
      <c r="D561" s="2" t="str">
        <f t="shared" si="34"/>
        <v>2025-12</v>
      </c>
      <c r="E561" s="3" t="s">
        <v>571</v>
      </c>
      <c r="F561" s="4" t="s">
        <v>529</v>
      </c>
      <c r="G561" s="39">
        <v>46004</v>
      </c>
      <c r="H561" s="40">
        <v>350</v>
      </c>
      <c r="I561" s="40">
        <v>-520</v>
      </c>
      <c r="J561" s="7">
        <v>750</v>
      </c>
      <c r="K561" s="8">
        <v>0.78040540540540559</v>
      </c>
      <c r="L561" s="9">
        <v>9.1812400635930075E-2</v>
      </c>
      <c r="M561" s="10">
        <v>377.41935483870964</v>
      </c>
      <c r="N561" s="11">
        <v>8.5</v>
      </c>
      <c r="O561" s="12">
        <v>21826.194511396428</v>
      </c>
      <c r="P561" s="32" t="s">
        <v>506</v>
      </c>
      <c r="Q561" s="81" t="s">
        <v>81</v>
      </c>
      <c r="R561" s="82" t="s">
        <v>569</v>
      </c>
      <c r="S561" s="32"/>
      <c r="T561" s="32">
        <v>156</v>
      </c>
      <c r="U561" s="32">
        <v>0</v>
      </c>
      <c r="V561" s="74" t="s">
        <v>82</v>
      </c>
      <c r="W561" s="15"/>
      <c r="X561" s="15"/>
      <c r="Y561" s="16"/>
      <c r="Z561" s="17"/>
      <c r="AA561" s="18"/>
      <c r="AB561" s="75">
        <v>-156</v>
      </c>
      <c r="AC561" s="20">
        <v>121.74324324324327</v>
      </c>
      <c r="AD561" s="21">
        <v>46004</v>
      </c>
      <c r="AE561" s="22">
        <v>553597.50392436422</v>
      </c>
      <c r="AF561" s="23">
        <v>319360.46593333367</v>
      </c>
      <c r="AG561" s="24">
        <v>419516.46593333385</v>
      </c>
      <c r="AH561" s="15">
        <v>0.5</v>
      </c>
      <c r="AI561" s="25" t="s">
        <v>572</v>
      </c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</row>
    <row r="562" spans="1:73" ht="15" customHeight="1" x14ac:dyDescent="0.25">
      <c r="A562" s="1">
        <f t="shared" si="35"/>
        <v>240</v>
      </c>
      <c r="B562" s="1" t="str">
        <f t="shared" si="32"/>
        <v xml:space="preserve">Florida </v>
      </c>
      <c r="C562" s="1">
        <f t="shared" si="33"/>
        <v>0</v>
      </c>
      <c r="D562" s="2" t="str">
        <f t="shared" si="34"/>
        <v>2025-12</v>
      </c>
      <c r="E562" s="3" t="s">
        <v>573</v>
      </c>
      <c r="F562" s="4" t="s">
        <v>529</v>
      </c>
      <c r="G562" s="39">
        <v>46004</v>
      </c>
      <c r="H562" s="40">
        <v>230</v>
      </c>
      <c r="I562" s="40">
        <v>-299</v>
      </c>
      <c r="J562" s="7">
        <v>310</v>
      </c>
      <c r="K562" s="8">
        <v>0.18055856245940685</v>
      </c>
      <c r="L562" s="9">
        <v>4.4038673770587039E-2</v>
      </c>
      <c r="M562" s="10">
        <v>247.29323308270673</v>
      </c>
      <c r="N562" s="11">
        <v>4.0999999999999996</v>
      </c>
      <c r="O562" s="12">
        <v>12212.103007507578</v>
      </c>
      <c r="P562" s="32" t="s">
        <v>506</v>
      </c>
      <c r="Q562" s="81" t="s">
        <v>81</v>
      </c>
      <c r="R562" s="82" t="s">
        <v>574</v>
      </c>
      <c r="S562" s="32"/>
      <c r="T562" s="32">
        <v>264</v>
      </c>
      <c r="U562" s="32">
        <v>0</v>
      </c>
      <c r="V562" s="74" t="s">
        <v>82</v>
      </c>
      <c r="W562" s="15"/>
      <c r="X562" s="15"/>
      <c r="Y562" s="16"/>
      <c r="Z562" s="17"/>
      <c r="AA562" s="18"/>
      <c r="AB562" s="75">
        <v>-264</v>
      </c>
      <c r="AC562" s="20">
        <v>47.667460489283407</v>
      </c>
      <c r="AD562" s="21">
        <v>46004</v>
      </c>
      <c r="AE562" s="22">
        <v>552494.34515041346</v>
      </c>
      <c r="AF562" s="23">
        <v>319073.84593333362</v>
      </c>
      <c r="AG562" s="24">
        <v>419337.8459333338</v>
      </c>
      <c r="AH562" s="15">
        <v>0.5</v>
      </c>
      <c r="AI562" s="25" t="s">
        <v>575</v>
      </c>
      <c r="AJ562" s="25"/>
      <c r="AK562" s="25"/>
      <c r="AL562" s="25"/>
      <c r="AM562" s="25"/>
      <c r="AN562" s="25">
        <v>136</v>
      </c>
      <c r="AO562" s="25">
        <v>-183</v>
      </c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>
        <v>230</v>
      </c>
      <c r="BC562" s="25">
        <v>-310</v>
      </c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>
        <v>240</v>
      </c>
      <c r="BQ562" s="1">
        <v>-320</v>
      </c>
      <c r="BR562" s="1">
        <v>1000</v>
      </c>
      <c r="BS562" s="1">
        <v>1000</v>
      </c>
      <c r="BT562" s="1">
        <v>210</v>
      </c>
      <c r="BU562" s="1">
        <v>-280</v>
      </c>
    </row>
    <row r="563" spans="1:73" ht="15" customHeight="1" x14ac:dyDescent="0.25">
      <c r="A563" s="1">
        <f t="shared" si="35"/>
        <v>241</v>
      </c>
      <c r="B563" s="1" t="str">
        <f t="shared" si="32"/>
        <v xml:space="preserve">George </v>
      </c>
      <c r="C563" s="1">
        <f t="shared" si="33"/>
        <v>0</v>
      </c>
      <c r="D563" s="2" t="str">
        <f t="shared" si="34"/>
        <v>2025-12</v>
      </c>
      <c r="E563" s="3" t="s">
        <v>576</v>
      </c>
      <c r="F563" s="4" t="s">
        <v>529</v>
      </c>
      <c r="G563" s="39">
        <v>46004</v>
      </c>
      <c r="H563" s="40">
        <v>-114</v>
      </c>
      <c r="I563" s="40">
        <v>-116</v>
      </c>
      <c r="J563" s="36">
        <v>118</v>
      </c>
      <c r="K563" s="8">
        <v>8.5591328264034705E-2</v>
      </c>
      <c r="L563" s="9">
        <v>3.926207718533703E-2</v>
      </c>
      <c r="M563" s="10">
        <v>100.81221572449644</v>
      </c>
      <c r="N563" s="11">
        <v>2.1799999999999997</v>
      </c>
      <c r="O563" s="12">
        <v>15246.394761788473</v>
      </c>
      <c r="P563" s="32" t="s">
        <v>506</v>
      </c>
      <c r="Q563" s="81" t="s">
        <v>76</v>
      </c>
      <c r="R563" s="82" t="s">
        <v>577</v>
      </c>
      <c r="S563" s="32"/>
      <c r="T563" s="32">
        <v>208</v>
      </c>
      <c r="U563" s="32">
        <v>0</v>
      </c>
      <c r="V563" s="74" t="s">
        <v>82</v>
      </c>
      <c r="W563" s="15"/>
      <c r="X563" s="15"/>
      <c r="Y563" s="16"/>
      <c r="Z563" s="17"/>
      <c r="AA563" s="18"/>
      <c r="AB563" s="75">
        <v>-208</v>
      </c>
      <c r="AC563" s="20">
        <v>17.802996278919217</v>
      </c>
      <c r="AD563" s="21">
        <v>46004</v>
      </c>
      <c r="AE563" s="22">
        <v>552734.6568103818</v>
      </c>
      <c r="AF563" s="23">
        <v>320179.11593333364</v>
      </c>
      <c r="AG563" s="24">
        <v>420387.11593333381</v>
      </c>
      <c r="AH563" s="15">
        <v>0.5</v>
      </c>
      <c r="AI563" s="25" t="s">
        <v>578</v>
      </c>
      <c r="AJ563" s="25"/>
      <c r="AK563" s="25"/>
      <c r="AL563" s="25"/>
      <c r="AM563" s="25"/>
      <c r="AN563" s="25">
        <v>-114</v>
      </c>
      <c r="AO563" s="25">
        <v>-116</v>
      </c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>
        <v>-120</v>
      </c>
      <c r="BQ563" s="1">
        <v>-110</v>
      </c>
      <c r="BR563" s="1">
        <v>1000</v>
      </c>
      <c r="BS563" s="1">
        <v>1000</v>
      </c>
      <c r="BT563" s="1">
        <v>-125</v>
      </c>
      <c r="BU563" s="1">
        <v>-105</v>
      </c>
    </row>
    <row r="564" spans="1:73" ht="15" customHeight="1" x14ac:dyDescent="0.25">
      <c r="A564" s="1">
        <f t="shared" si="35"/>
        <v>242</v>
      </c>
      <c r="B564" s="1" t="str">
        <f t="shared" si="32"/>
        <v xml:space="preserve">Georgia </v>
      </c>
      <c r="C564" s="1">
        <f t="shared" si="33"/>
        <v>0</v>
      </c>
      <c r="D564" s="2" t="str">
        <f t="shared" si="34"/>
        <v>2025-12</v>
      </c>
      <c r="E564" s="3" t="s">
        <v>579</v>
      </c>
      <c r="F564" s="4" t="s">
        <v>529</v>
      </c>
      <c r="G564" s="39">
        <v>46004</v>
      </c>
      <c r="H564" s="40">
        <v>290</v>
      </c>
      <c r="I564" s="40">
        <v>-400</v>
      </c>
      <c r="J564" s="36">
        <v>440</v>
      </c>
      <c r="K564" s="8">
        <v>0.31067961165048585</v>
      </c>
      <c r="L564" s="9">
        <v>5.7533261416756631E-2</v>
      </c>
      <c r="M564" s="10">
        <v>311.99999999999994</v>
      </c>
      <c r="N564" s="11">
        <v>5.4</v>
      </c>
      <c r="O564" s="12">
        <v>14805.312124742608</v>
      </c>
      <c r="P564" s="32" t="s">
        <v>506</v>
      </c>
      <c r="Q564" s="81" t="s">
        <v>81</v>
      </c>
      <c r="R564" s="82" t="s">
        <v>580</v>
      </c>
      <c r="S564" s="32"/>
      <c r="T564" s="32">
        <v>159</v>
      </c>
      <c r="U564" s="32">
        <v>0</v>
      </c>
      <c r="V564" s="74" t="s">
        <v>77</v>
      </c>
      <c r="W564" s="15"/>
      <c r="X564" s="15"/>
      <c r="Y564" s="16"/>
      <c r="Z564" s="17"/>
      <c r="AA564" s="18"/>
      <c r="AB564" s="75">
        <v>699.6</v>
      </c>
      <c r="AC564" s="20">
        <v>49.398058252427248</v>
      </c>
      <c r="AD564" s="21">
        <v>46004</v>
      </c>
      <c r="AE564" s="22">
        <v>553646.90198261663</v>
      </c>
      <c r="AF564" s="23">
        <v>320060.06593333365</v>
      </c>
      <c r="AG564" s="24">
        <v>419360.46593333385</v>
      </c>
      <c r="AH564" s="15">
        <v>0.5</v>
      </c>
      <c r="AI564" s="25" t="s">
        <v>581</v>
      </c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</row>
    <row r="565" spans="1:73" ht="15" customHeight="1" x14ac:dyDescent="0.25">
      <c r="A565" s="1">
        <f t="shared" si="35"/>
        <v>242</v>
      </c>
      <c r="B565" s="1" t="str">
        <f t="shared" si="32"/>
        <v xml:space="preserve">Georgia </v>
      </c>
      <c r="C565" s="1">
        <f t="shared" si="33"/>
        <v>0</v>
      </c>
      <c r="D565" s="2" t="str">
        <f t="shared" si="34"/>
        <v>2025-12</v>
      </c>
      <c r="E565" s="3" t="s">
        <v>582</v>
      </c>
      <c r="F565" s="4" t="s">
        <v>529</v>
      </c>
      <c r="G565" s="39">
        <v>46004</v>
      </c>
      <c r="H565" s="40">
        <v>118</v>
      </c>
      <c r="I565" s="40">
        <v>-118</v>
      </c>
      <c r="J565" s="7">
        <v>118</v>
      </c>
      <c r="K565" s="8">
        <v>0</v>
      </c>
      <c r="L565" s="9">
        <v>0</v>
      </c>
      <c r="M565" s="10">
        <v>117.99999999999996</v>
      </c>
      <c r="N565" s="11">
        <v>2.1799999999999997</v>
      </c>
      <c r="O565" s="12">
        <v>0</v>
      </c>
      <c r="P565" s="32" t="s">
        <v>506</v>
      </c>
      <c r="Q565" s="81" t="s">
        <v>76</v>
      </c>
      <c r="R565" s="82" t="s">
        <v>583</v>
      </c>
      <c r="S565" s="32"/>
      <c r="T565" s="32">
        <v>596</v>
      </c>
      <c r="U565" s="32">
        <v>0</v>
      </c>
      <c r="V565" s="74" t="s">
        <v>77</v>
      </c>
      <c r="W565" s="15"/>
      <c r="X565" s="15"/>
      <c r="Y565" s="16"/>
      <c r="Z565" s="17"/>
      <c r="AA565" s="18"/>
      <c r="AB565" s="75">
        <v>703.28</v>
      </c>
      <c r="AC565" s="20">
        <v>0</v>
      </c>
      <c r="AD565" s="21">
        <v>46004</v>
      </c>
      <c r="AE565" s="22">
        <v>554442.61906376004</v>
      </c>
      <c r="AF565" s="23">
        <v>328972.62593333365</v>
      </c>
      <c r="AG565" s="24">
        <v>428269.3459333338</v>
      </c>
      <c r="AH565" s="15">
        <v>0.5</v>
      </c>
      <c r="AI565" s="25" t="s">
        <v>584</v>
      </c>
      <c r="AJ565" s="25">
        <v>-114</v>
      </c>
      <c r="AK565" s="25">
        <v>1500</v>
      </c>
      <c r="AL565" s="25">
        <v>-116</v>
      </c>
      <c r="AM565" s="25">
        <v>1500</v>
      </c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>
        <v>-115</v>
      </c>
      <c r="BQ565" s="1">
        <v>-115</v>
      </c>
      <c r="BT565" s="1">
        <v>-115</v>
      </c>
      <c r="BU565" s="1">
        <v>-115</v>
      </c>
    </row>
    <row r="566" spans="1:73" ht="15" customHeight="1" x14ac:dyDescent="0.25">
      <c r="A566" s="1">
        <f t="shared" si="35"/>
        <v>243</v>
      </c>
      <c r="B566" s="1" t="str">
        <f t="shared" si="32"/>
        <v xml:space="preserve">Grand </v>
      </c>
      <c r="C566" s="1">
        <f t="shared" si="33"/>
        <v>0</v>
      </c>
      <c r="D566" s="2" t="str">
        <f t="shared" si="34"/>
        <v>2025-12</v>
      </c>
      <c r="E566" s="3" t="s">
        <v>585</v>
      </c>
      <c r="F566" s="4" t="s">
        <v>529</v>
      </c>
      <c r="G566" s="39">
        <v>46004</v>
      </c>
      <c r="H566" s="40">
        <v>-113</v>
      </c>
      <c r="I566" s="40">
        <v>-118</v>
      </c>
      <c r="J566" s="7">
        <v>120</v>
      </c>
      <c r="K566" s="8">
        <v>8.8948722070406799E-2</v>
      </c>
      <c r="L566" s="9">
        <v>4.0431237304730361E-2</v>
      </c>
      <c r="M566" s="10">
        <v>102.02971502801006</v>
      </c>
      <c r="N566" s="11">
        <v>2.2000000000000002</v>
      </c>
      <c r="O566" s="12">
        <v>16385.91365162424</v>
      </c>
      <c r="P566" s="32" t="s">
        <v>506</v>
      </c>
      <c r="Q566" s="81" t="s">
        <v>76</v>
      </c>
      <c r="R566" s="82" t="s">
        <v>586</v>
      </c>
      <c r="S566" s="32"/>
      <c r="T566" s="32">
        <v>205</v>
      </c>
      <c r="U566" s="32">
        <v>0</v>
      </c>
      <c r="V566" s="74" t="s">
        <v>82</v>
      </c>
      <c r="W566" s="15"/>
      <c r="X566" s="15"/>
      <c r="Y566" s="16"/>
      <c r="Z566" s="17"/>
      <c r="AA566" s="18"/>
      <c r="AB566" s="75">
        <v>-205</v>
      </c>
      <c r="AC566" s="20">
        <v>18.234488024433393</v>
      </c>
      <c r="AD566" s="21">
        <v>46004</v>
      </c>
      <c r="AE566" s="22">
        <v>557884.56645391439</v>
      </c>
      <c r="AF566" s="23">
        <v>341917.06593333365</v>
      </c>
      <c r="AG566" s="24">
        <v>442122.06593333383</v>
      </c>
      <c r="AH566" s="15">
        <v>0.5</v>
      </c>
      <c r="AI566" s="25" t="s">
        <v>587</v>
      </c>
      <c r="AJ566" s="25"/>
      <c r="AK566" s="25"/>
      <c r="AL566" s="25"/>
      <c r="AM566" s="25"/>
      <c r="AN566" s="25">
        <v>-113</v>
      </c>
      <c r="AO566" s="25">
        <v>-118</v>
      </c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>
        <v>-113</v>
      </c>
      <c r="BC566" s="25">
        <v>-115</v>
      </c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R566" s="1">
        <v>1000</v>
      </c>
      <c r="BS566" s="1">
        <v>1000</v>
      </c>
      <c r="BT566" s="1">
        <v>-115</v>
      </c>
      <c r="BU566" s="1">
        <v>-115</v>
      </c>
    </row>
    <row r="567" spans="1:73" ht="15" customHeight="1" x14ac:dyDescent="0.25">
      <c r="A567" s="1">
        <f t="shared" si="35"/>
        <v>243</v>
      </c>
      <c r="B567" s="1" t="str">
        <f t="shared" si="32"/>
        <v xml:space="preserve">Grand </v>
      </c>
      <c r="C567" s="1">
        <f t="shared" si="33"/>
        <v>0</v>
      </c>
      <c r="D567" s="2" t="str">
        <f t="shared" si="34"/>
        <v>2025-12</v>
      </c>
      <c r="E567" s="3" t="s">
        <v>588</v>
      </c>
      <c r="F567" s="4" t="s">
        <v>529</v>
      </c>
      <c r="G567" s="39">
        <v>46004</v>
      </c>
      <c r="H567" s="40">
        <v>-118</v>
      </c>
      <c r="I567" s="40">
        <v>-112</v>
      </c>
      <c r="J567" s="7">
        <v>116</v>
      </c>
      <c r="K567" s="8">
        <v>9.3108917300534083E-2</v>
      </c>
      <c r="L567" s="9">
        <v>4.3105980231728735E-2</v>
      </c>
      <c r="M567" s="10">
        <v>-102.45740498034074</v>
      </c>
      <c r="N567" s="11">
        <v>2.16</v>
      </c>
      <c r="O567" s="12">
        <v>17717.74667901608</v>
      </c>
      <c r="P567" s="32" t="s">
        <v>506</v>
      </c>
      <c r="Q567" s="81" t="s">
        <v>76</v>
      </c>
      <c r="R567" s="82" t="s">
        <v>586</v>
      </c>
      <c r="S567" s="32"/>
      <c r="T567" s="32">
        <v>212</v>
      </c>
      <c r="U567" s="32">
        <v>0</v>
      </c>
      <c r="V567" s="74" t="s">
        <v>82</v>
      </c>
      <c r="W567" s="15"/>
      <c r="X567" s="15"/>
      <c r="Y567" s="16"/>
      <c r="Z567" s="17"/>
      <c r="AA567" s="18"/>
      <c r="AB567" s="75">
        <v>-212</v>
      </c>
      <c r="AC567" s="20">
        <v>19.739090467713226</v>
      </c>
      <c r="AD567" s="21">
        <v>46004</v>
      </c>
      <c r="AE567" s="22">
        <v>557957.41301715199</v>
      </c>
      <c r="AF567" s="23">
        <v>341262.06593333365</v>
      </c>
      <c r="AG567" s="24">
        <v>441474.06593333383</v>
      </c>
      <c r="AH567" s="15">
        <v>0.5</v>
      </c>
      <c r="AI567" s="25" t="s">
        <v>589</v>
      </c>
      <c r="AJ567" s="25"/>
      <c r="AK567" s="25"/>
      <c r="AL567" s="25"/>
      <c r="AM567" s="25"/>
      <c r="AN567" s="25">
        <v>-118</v>
      </c>
      <c r="AO567" s="25">
        <v>-112</v>
      </c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>
        <v>-118</v>
      </c>
      <c r="BC567" s="25">
        <v>-110</v>
      </c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>
        <v>-120</v>
      </c>
      <c r="BQ567" s="1">
        <v>-110</v>
      </c>
      <c r="BR567" s="1">
        <v>1000</v>
      </c>
      <c r="BS567" s="1">
        <v>1000</v>
      </c>
    </row>
    <row r="568" spans="1:73" ht="15" customHeight="1" x14ac:dyDescent="0.25">
      <c r="A568" s="1">
        <f t="shared" si="35"/>
        <v>244</v>
      </c>
      <c r="B568" s="1" t="str">
        <f t="shared" si="32"/>
        <v xml:space="preserve">Indiana </v>
      </c>
      <c r="C568" s="1">
        <f t="shared" si="33"/>
        <v>0</v>
      </c>
      <c r="D568" s="2" t="str">
        <f t="shared" si="34"/>
        <v>2025-12</v>
      </c>
      <c r="E568" s="3" t="s">
        <v>590</v>
      </c>
      <c r="F568" s="4" t="s">
        <v>529</v>
      </c>
      <c r="G568" s="39">
        <v>46004</v>
      </c>
      <c r="H568" s="40">
        <v>104</v>
      </c>
      <c r="I568" s="40">
        <v>-138</v>
      </c>
      <c r="J568" s="7">
        <v>138</v>
      </c>
      <c r="K568" s="8">
        <v>9.0314136125654462E-2</v>
      </c>
      <c r="L568" s="9">
        <v>3.7947116019182547E-2</v>
      </c>
      <c r="M568" s="10">
        <v>118.28571428571428</v>
      </c>
      <c r="N568" s="11">
        <v>2.38</v>
      </c>
      <c r="O568" s="12">
        <v>14478.640573734747</v>
      </c>
      <c r="P568" s="32" t="s">
        <v>506</v>
      </c>
      <c r="Q568" s="81" t="s">
        <v>76</v>
      </c>
      <c r="R568" s="82" t="s">
        <v>591</v>
      </c>
      <c r="S568" s="32"/>
      <c r="T568" s="32">
        <v>170</v>
      </c>
      <c r="U568" s="32">
        <v>0</v>
      </c>
      <c r="V568" s="74" t="s">
        <v>82</v>
      </c>
      <c r="W568" s="15"/>
      <c r="X568" s="15"/>
      <c r="Y568" s="16"/>
      <c r="Z568" s="17"/>
      <c r="AA568" s="18"/>
      <c r="AB568" s="75">
        <v>-170</v>
      </c>
      <c r="AC568" s="20">
        <v>15.353403141361259</v>
      </c>
      <c r="AD568" s="21">
        <v>46004</v>
      </c>
      <c r="AE568" s="22">
        <v>558161.46316471777</v>
      </c>
      <c r="AF568" s="23">
        <v>342297.2559333336</v>
      </c>
      <c r="AG568" s="24">
        <v>442467.25593333377</v>
      </c>
      <c r="AH568" s="15">
        <v>0.5</v>
      </c>
      <c r="AI568" s="25" t="s">
        <v>592</v>
      </c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</row>
    <row r="569" spans="1:73" ht="15" customHeight="1" x14ac:dyDescent="0.25">
      <c r="A569" s="1">
        <f t="shared" si="35"/>
        <v>245</v>
      </c>
      <c r="B569" s="1" t="str">
        <f t="shared" si="32"/>
        <v xml:space="preserve">Jacksonville </v>
      </c>
      <c r="C569" s="1">
        <f t="shared" si="33"/>
        <v>0</v>
      </c>
      <c r="D569" s="2" t="str">
        <f t="shared" si="34"/>
        <v>2025-12</v>
      </c>
      <c r="E569" s="3" t="s">
        <v>593</v>
      </c>
      <c r="F569" s="4" t="s">
        <v>529</v>
      </c>
      <c r="G569" s="39">
        <v>46004</v>
      </c>
      <c r="H569" s="40">
        <v>136</v>
      </c>
      <c r="I569" s="40">
        <v>-160</v>
      </c>
      <c r="J569" s="7">
        <v>205</v>
      </c>
      <c r="K569" s="8">
        <v>0.24372647427854427</v>
      </c>
      <c r="L569" s="9">
        <v>7.9910319435588295E-2</v>
      </c>
      <c r="M569" s="10">
        <v>145.23076923076928</v>
      </c>
      <c r="N569" s="11">
        <v>3.05</v>
      </c>
      <c r="O569" s="12">
        <v>24946.747274091875</v>
      </c>
      <c r="P569" s="32" t="s">
        <v>506</v>
      </c>
      <c r="Q569" s="81" t="s">
        <v>81</v>
      </c>
      <c r="R569" s="82" t="s">
        <v>594</v>
      </c>
      <c r="S569" s="32"/>
      <c r="T569" s="32">
        <v>299</v>
      </c>
      <c r="U569" s="32">
        <v>0</v>
      </c>
      <c r="V569" s="74" t="s">
        <v>82</v>
      </c>
      <c r="W569" s="15"/>
      <c r="X569" s="15"/>
      <c r="Y569" s="16"/>
      <c r="Z569" s="17"/>
      <c r="AA569" s="18"/>
      <c r="AB569" s="75">
        <v>-299</v>
      </c>
      <c r="AC569" s="20">
        <v>72.874215809284735</v>
      </c>
      <c r="AD569" s="21">
        <v>46004</v>
      </c>
      <c r="AE569" s="22">
        <v>553209.87670056708</v>
      </c>
      <c r="AF569" s="23">
        <v>319358.58593333367</v>
      </c>
      <c r="AG569" s="24">
        <v>419657.58593333384</v>
      </c>
      <c r="AH569" s="15">
        <v>0.5</v>
      </c>
      <c r="AI569" s="25" t="s">
        <v>595</v>
      </c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</row>
    <row r="570" spans="1:73" ht="15" customHeight="1" x14ac:dyDescent="0.25">
      <c r="A570" s="1">
        <f t="shared" si="35"/>
        <v>246</v>
      </c>
      <c r="B570" s="1" t="str">
        <f t="shared" si="32"/>
        <v xml:space="preserve">Kansas </v>
      </c>
      <c r="C570" s="1">
        <f t="shared" si="33"/>
        <v>0</v>
      </c>
      <c r="D570" s="2" t="str">
        <f t="shared" si="34"/>
        <v>2025-12</v>
      </c>
      <c r="E570" s="3" t="s">
        <v>596</v>
      </c>
      <c r="F570" s="4" t="s">
        <v>529</v>
      </c>
      <c r="G570" s="39">
        <v>46004</v>
      </c>
      <c r="H570" s="40">
        <v>-119</v>
      </c>
      <c r="I570" s="40">
        <v>-112</v>
      </c>
      <c r="J570" s="7">
        <v>155</v>
      </c>
      <c r="K570" s="8">
        <v>0.29293753517163745</v>
      </c>
      <c r="L570" s="9">
        <v>0.11487746477319116</v>
      </c>
      <c r="M570" s="10">
        <v>-102.85388127853882</v>
      </c>
      <c r="N570" s="11">
        <v>2.5499999999999998</v>
      </c>
      <c r="O570" s="12">
        <v>41655.30133481526</v>
      </c>
      <c r="P570" s="32" t="s">
        <v>506</v>
      </c>
      <c r="Q570" s="81" t="s">
        <v>76</v>
      </c>
      <c r="R570" s="82" t="s">
        <v>597</v>
      </c>
      <c r="S570" s="32"/>
      <c r="T570" s="32">
        <v>1483</v>
      </c>
      <c r="U570" s="32">
        <v>0</v>
      </c>
      <c r="V570" s="74" t="s">
        <v>77</v>
      </c>
      <c r="W570" s="15"/>
      <c r="X570" s="15"/>
      <c r="Y570" s="16"/>
      <c r="Z570" s="17"/>
      <c r="AA570" s="18"/>
      <c r="AB570" s="75">
        <v>2298.65</v>
      </c>
      <c r="AC570" s="20">
        <v>434.42636465953836</v>
      </c>
      <c r="AD570" s="21">
        <v>46004</v>
      </c>
      <c r="AE570" s="22">
        <v>556565.46972219087</v>
      </c>
      <c r="AF570" s="23">
        <v>343114.24593333364</v>
      </c>
      <c r="AG570" s="24">
        <v>440815.5959333338</v>
      </c>
      <c r="AH570" s="15">
        <v>0.5</v>
      </c>
      <c r="AI570" s="25" t="s">
        <v>598</v>
      </c>
      <c r="AJ570" s="25"/>
      <c r="AK570" s="25"/>
      <c r="AL570" s="25"/>
      <c r="AM570" s="25"/>
      <c r="AN570" s="25">
        <v>-119</v>
      </c>
      <c r="AO570" s="25">
        <v>-112</v>
      </c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>
        <v>-104</v>
      </c>
      <c r="BC570" s="25">
        <v>-128</v>
      </c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>
        <v>-130</v>
      </c>
      <c r="BQ570" s="1">
        <v>100</v>
      </c>
      <c r="BR570" s="1">
        <v>1000</v>
      </c>
      <c r="BS570" s="1">
        <v>1000</v>
      </c>
      <c r="BT570" s="1">
        <v>110</v>
      </c>
      <c r="BU570" s="1">
        <v>-140</v>
      </c>
    </row>
    <row r="571" spans="1:73" ht="15" customHeight="1" x14ac:dyDescent="0.25">
      <c r="A571" s="1">
        <f t="shared" si="35"/>
        <v>247</v>
      </c>
      <c r="B571" s="1" t="str">
        <f t="shared" si="32"/>
        <v xml:space="preserve">Longwood </v>
      </c>
      <c r="C571" s="1">
        <f t="shared" si="33"/>
        <v>0</v>
      </c>
      <c r="D571" s="2" t="str">
        <f t="shared" si="34"/>
        <v>2025-12</v>
      </c>
      <c r="E571" s="3" t="s">
        <v>599</v>
      </c>
      <c r="F571" s="4" t="s">
        <v>529</v>
      </c>
      <c r="G571" s="39">
        <v>46004</v>
      </c>
      <c r="H571" s="40">
        <v>-115</v>
      </c>
      <c r="I571" s="40">
        <v>-111</v>
      </c>
      <c r="J571" s="7">
        <v>100</v>
      </c>
      <c r="K571" s="8">
        <v>8.310824849366405E-3</v>
      </c>
      <c r="L571" s="9">
        <v>4.1554124246832025E-3</v>
      </c>
      <c r="M571" s="10">
        <v>-101.67609469935054</v>
      </c>
      <c r="N571" s="11">
        <v>2</v>
      </c>
      <c r="O571" s="12">
        <v>1742.6078783849539</v>
      </c>
      <c r="P571" s="32" t="s">
        <v>506</v>
      </c>
      <c r="Q571" s="81" t="s">
        <v>81</v>
      </c>
      <c r="R571" s="82" t="s">
        <v>476</v>
      </c>
      <c r="S571" s="32"/>
      <c r="T571" s="32">
        <v>900</v>
      </c>
      <c r="U571" s="32">
        <v>0</v>
      </c>
      <c r="V571" s="74" t="s">
        <v>82</v>
      </c>
      <c r="W571" s="15"/>
      <c r="X571" s="15"/>
      <c r="Y571" s="16"/>
      <c r="Z571" s="17"/>
      <c r="AA571" s="18"/>
      <c r="AB571" s="75">
        <v>-900</v>
      </c>
      <c r="AC571" s="20">
        <v>7.4797423644297645</v>
      </c>
      <c r="AD571" s="21">
        <v>46004</v>
      </c>
      <c r="AE571" s="22">
        <v>553217.35644293146</v>
      </c>
      <c r="AF571" s="23">
        <v>318458.58593333367</v>
      </c>
      <c r="AG571" s="24">
        <v>419358.58593333384</v>
      </c>
      <c r="AH571" s="15">
        <v>0.5</v>
      </c>
      <c r="AI571" s="25" t="s">
        <v>600</v>
      </c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</row>
    <row r="572" spans="1:73" ht="15" customHeight="1" x14ac:dyDescent="0.25">
      <c r="A572" s="1">
        <f t="shared" si="35"/>
        <v>248</v>
      </c>
      <c r="B572" s="1" t="str">
        <f t="shared" si="32"/>
        <v xml:space="preserve">Marquette </v>
      </c>
      <c r="C572" s="1">
        <f t="shared" si="33"/>
        <v>0</v>
      </c>
      <c r="D572" s="2" t="str">
        <f t="shared" si="34"/>
        <v>2025-12</v>
      </c>
      <c r="E572" s="3" t="s">
        <v>601</v>
      </c>
      <c r="F572" s="4" t="s">
        <v>529</v>
      </c>
      <c r="G572" s="39">
        <v>46004</v>
      </c>
      <c r="H572" s="40">
        <v>-102</v>
      </c>
      <c r="I572" s="40">
        <v>-102</v>
      </c>
      <c r="J572" s="7">
        <v>116</v>
      </c>
      <c r="K572" s="8">
        <v>8.0000000000000127E-2</v>
      </c>
      <c r="L572" s="9">
        <v>3.703703703703709E-2</v>
      </c>
      <c r="M572" s="10">
        <v>100</v>
      </c>
      <c r="N572" s="11">
        <v>2.16</v>
      </c>
      <c r="O572" s="12">
        <v>14479.332618390843</v>
      </c>
      <c r="P572" s="32" t="s">
        <v>506</v>
      </c>
      <c r="Q572" s="81" t="s">
        <v>76</v>
      </c>
      <c r="R572" s="82" t="s">
        <v>602</v>
      </c>
      <c r="S572" s="32"/>
      <c r="T572" s="32">
        <v>212</v>
      </c>
      <c r="U572" s="32">
        <v>0</v>
      </c>
      <c r="V572" s="74" t="s">
        <v>77</v>
      </c>
      <c r="W572" s="15"/>
      <c r="X572" s="15"/>
      <c r="Y572" s="16"/>
      <c r="Z572" s="17"/>
      <c r="AA572" s="18"/>
      <c r="AB572" s="75">
        <v>245.92</v>
      </c>
      <c r="AC572" s="20">
        <v>16.960000000000026</v>
      </c>
      <c r="AD572" s="21">
        <v>46004</v>
      </c>
      <c r="AE572" s="22">
        <v>552850.2073971635</v>
      </c>
      <c r="AF572" s="23">
        <v>320146.56593333365</v>
      </c>
      <c r="AG572" s="24">
        <v>419900.64593333384</v>
      </c>
      <c r="AH572" s="15">
        <v>0.5</v>
      </c>
      <c r="AI572" s="25" t="s">
        <v>603</v>
      </c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</row>
    <row r="573" spans="1:73" ht="15" customHeight="1" x14ac:dyDescent="0.25">
      <c r="A573" s="1">
        <f t="shared" si="35"/>
        <v>249</v>
      </c>
      <c r="B573" s="1" t="str">
        <f t="shared" si="32"/>
        <v xml:space="preserve">Mercer </v>
      </c>
      <c r="C573" s="1">
        <f t="shared" si="33"/>
        <v>0</v>
      </c>
      <c r="D573" s="2" t="str">
        <f t="shared" si="34"/>
        <v>2025-12</v>
      </c>
      <c r="E573" s="3" t="s">
        <v>604</v>
      </c>
      <c r="F573" s="4" t="s">
        <v>529</v>
      </c>
      <c r="G573" s="39">
        <v>46004</v>
      </c>
      <c r="H573" s="40">
        <v>-132</v>
      </c>
      <c r="I573" s="40">
        <v>100</v>
      </c>
      <c r="J573" s="7">
        <v>118</v>
      </c>
      <c r="K573" s="8">
        <v>0.16032258064516103</v>
      </c>
      <c r="L573" s="9">
        <v>7.3542468185853693E-2</v>
      </c>
      <c r="M573" s="10">
        <v>-113.79310344827584</v>
      </c>
      <c r="N573" s="11">
        <v>2.1799999999999997</v>
      </c>
      <c r="O573" s="12">
        <v>30078.458745061045</v>
      </c>
      <c r="P573" s="32" t="s">
        <v>506</v>
      </c>
      <c r="Q573" s="81" t="s">
        <v>76</v>
      </c>
      <c r="R573" s="82" t="s">
        <v>605</v>
      </c>
      <c r="S573" s="32"/>
      <c r="T573" s="32">
        <v>1949</v>
      </c>
      <c r="U573" s="32">
        <v>0</v>
      </c>
      <c r="V573" s="74" t="s">
        <v>82</v>
      </c>
      <c r="W573" s="15"/>
      <c r="X573" s="15"/>
      <c r="Y573" s="16"/>
      <c r="Z573" s="17"/>
      <c r="AA573" s="16"/>
      <c r="AB573" s="99">
        <v>-1949</v>
      </c>
      <c r="AC573" s="20">
        <v>312.46870967741887</v>
      </c>
      <c r="AD573" s="21">
        <v>46004</v>
      </c>
      <c r="AE573" s="22">
        <v>556131.04335753131</v>
      </c>
      <c r="AF573" s="23">
        <v>340815.59593333362</v>
      </c>
      <c r="AG573" s="24">
        <v>442764.5959333338</v>
      </c>
      <c r="AH573" s="15">
        <v>0.5</v>
      </c>
      <c r="AI573" s="25" t="s">
        <v>606</v>
      </c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</row>
    <row r="574" spans="1:73" ht="15" customHeight="1" x14ac:dyDescent="0.25">
      <c r="A574" s="1">
        <f t="shared" si="35"/>
        <v>250</v>
      </c>
      <c r="B574" s="1" t="str">
        <f t="shared" si="32"/>
        <v xml:space="preserve">Michigan </v>
      </c>
      <c r="C574" s="1">
        <f t="shared" si="33"/>
        <v>0</v>
      </c>
      <c r="D574" s="2" t="str">
        <f t="shared" si="34"/>
        <v>2025-12</v>
      </c>
      <c r="E574" s="3" t="s">
        <v>487</v>
      </c>
      <c r="F574" s="4" t="s">
        <v>529</v>
      </c>
      <c r="G574" s="39">
        <v>46004</v>
      </c>
      <c r="H574" s="40">
        <v>-506</v>
      </c>
      <c r="I574" s="40">
        <v>388</v>
      </c>
      <c r="J574" s="7">
        <v>-294</v>
      </c>
      <c r="K574" s="8">
        <v>7.6055239348151935E-2</v>
      </c>
      <c r="L574" s="9">
        <v>5.6751879107504233E-2</v>
      </c>
      <c r="M574" s="10">
        <v>-407.47194719471923</v>
      </c>
      <c r="N574" s="11">
        <v>1.3401360544217686</v>
      </c>
      <c r="O574" s="12">
        <v>46907.947938918944</v>
      </c>
      <c r="P574" s="32" t="s">
        <v>506</v>
      </c>
      <c r="Q574" s="81" t="s">
        <v>81</v>
      </c>
      <c r="R574" s="82" t="s">
        <v>607</v>
      </c>
      <c r="S574" s="32"/>
      <c r="T574" s="32">
        <v>2415</v>
      </c>
      <c r="U574" s="32">
        <v>0</v>
      </c>
      <c r="V574" s="74" t="s">
        <v>77</v>
      </c>
      <c r="W574" s="15"/>
      <c r="X574" s="15"/>
      <c r="Y574" s="16"/>
      <c r="Z574" s="17"/>
      <c r="AA574" s="16"/>
      <c r="AB574" s="99">
        <v>821.43</v>
      </c>
      <c r="AC574" s="20">
        <v>183.67340302578691</v>
      </c>
      <c r="AD574" s="21">
        <v>46004</v>
      </c>
      <c r="AE574" s="22">
        <v>552716.85381410283</v>
      </c>
      <c r="AF574" s="23">
        <v>320387.11593333364</v>
      </c>
      <c r="AG574" s="24">
        <v>419565.68593333382</v>
      </c>
      <c r="AH574" s="15">
        <v>0.5</v>
      </c>
      <c r="AI574" s="25" t="s">
        <v>608</v>
      </c>
      <c r="AJ574" s="25">
        <v>-529</v>
      </c>
      <c r="AK574" s="25">
        <v>500</v>
      </c>
      <c r="AL574" s="25">
        <v>388</v>
      </c>
      <c r="AM574" s="25">
        <v>500</v>
      </c>
      <c r="AN574" s="25">
        <v>-506</v>
      </c>
      <c r="AO574" s="25">
        <v>326</v>
      </c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R574" s="1">
        <v>1000</v>
      </c>
      <c r="BS574" s="1">
        <v>1000</v>
      </c>
      <c r="BT574" s="1">
        <v>-950</v>
      </c>
      <c r="BU574" s="1">
        <v>575</v>
      </c>
    </row>
    <row r="575" spans="1:73" ht="15" customHeight="1" x14ac:dyDescent="0.25">
      <c r="A575" s="1">
        <f t="shared" si="35"/>
        <v>251</v>
      </c>
      <c r="B575" s="1" t="str">
        <f t="shared" si="32"/>
        <v xml:space="preserve">Michigan </v>
      </c>
      <c r="C575" s="1">
        <f t="shared" si="33"/>
        <v>1</v>
      </c>
      <c r="D575" s="2" t="str">
        <f t="shared" si="34"/>
        <v>2025-12</v>
      </c>
      <c r="E575" s="3" t="s">
        <v>609</v>
      </c>
      <c r="F575" s="4" t="s">
        <v>529</v>
      </c>
      <c r="G575" s="39">
        <v>46004</v>
      </c>
      <c r="H575" s="40">
        <v>-129</v>
      </c>
      <c r="I575" s="40">
        <v>-103</v>
      </c>
      <c r="J575" s="7">
        <v>135</v>
      </c>
      <c r="K575" s="8">
        <v>0.23637742596536329</v>
      </c>
      <c r="L575" s="9">
        <v>0.10058613870866523</v>
      </c>
      <c r="M575" s="10">
        <v>-111.02302115572134</v>
      </c>
      <c r="N575" s="11">
        <v>2.35</v>
      </c>
      <c r="O575" s="12">
        <v>36903.545423509364</v>
      </c>
      <c r="P575" s="32" t="s">
        <v>506</v>
      </c>
      <c r="Q575" s="81" t="s">
        <v>92</v>
      </c>
      <c r="R575" s="82" t="s">
        <v>607</v>
      </c>
      <c r="S575" s="32"/>
      <c r="T575" s="32">
        <v>364</v>
      </c>
      <c r="U575" s="32">
        <v>0</v>
      </c>
      <c r="V575" s="74" t="s">
        <v>77</v>
      </c>
      <c r="W575" s="15"/>
      <c r="X575" s="15"/>
      <c r="Y575" s="16"/>
      <c r="Z575" s="17"/>
      <c r="AA575" s="16"/>
      <c r="AB575" s="99">
        <v>491.4</v>
      </c>
      <c r="AC575" s="20">
        <v>86.041383051392245</v>
      </c>
      <c r="AD575" s="21">
        <v>46004</v>
      </c>
      <c r="AE575" s="22">
        <v>552128.39154746814</v>
      </c>
      <c r="AF575" s="23">
        <v>322018.84593333362</v>
      </c>
      <c r="AG575" s="24">
        <v>421527.44593333377</v>
      </c>
      <c r="AH575" s="15">
        <v>0.5</v>
      </c>
      <c r="AI575" s="25" t="s">
        <v>610</v>
      </c>
      <c r="AJ575" s="25"/>
      <c r="AK575" s="25"/>
      <c r="AL575" s="25"/>
      <c r="AM575" s="25"/>
      <c r="AN575" s="25">
        <v>-129</v>
      </c>
      <c r="AO575" s="25">
        <v>-103</v>
      </c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>
        <v>110</v>
      </c>
      <c r="BQ575" s="1">
        <v>-150</v>
      </c>
      <c r="BR575" s="1">
        <v>1000</v>
      </c>
      <c r="BS575" s="1">
        <v>1000</v>
      </c>
      <c r="BT575" s="1">
        <v>-120</v>
      </c>
      <c r="BU575" s="1">
        <v>-110</v>
      </c>
    </row>
    <row r="576" spans="1:73" ht="15" customHeight="1" x14ac:dyDescent="0.25">
      <c r="A576" s="1">
        <f t="shared" si="35"/>
        <v>251</v>
      </c>
      <c r="B576" s="1" t="str">
        <f t="shared" si="32"/>
        <v xml:space="preserve">Michigan </v>
      </c>
      <c r="C576" s="1">
        <f t="shared" si="33"/>
        <v>1</v>
      </c>
      <c r="D576" s="2" t="str">
        <f t="shared" si="34"/>
        <v>2025-12</v>
      </c>
      <c r="E576" s="3" t="s">
        <v>611</v>
      </c>
      <c r="F576" s="4" t="s">
        <v>529</v>
      </c>
      <c r="G576" s="39">
        <v>46004</v>
      </c>
      <c r="H576" s="40">
        <v>-111</v>
      </c>
      <c r="I576" s="40">
        <v>111</v>
      </c>
      <c r="J576" s="7">
        <v>106</v>
      </c>
      <c r="K576" s="8">
        <v>8.3696682464454941E-2</v>
      </c>
      <c r="L576" s="9">
        <v>4.0629457507016964E-2</v>
      </c>
      <c r="M576" s="10">
        <v>-111</v>
      </c>
      <c r="N576" s="11">
        <v>2.06</v>
      </c>
      <c r="O576" s="12">
        <v>16544.854062377428</v>
      </c>
      <c r="P576" s="32" t="s">
        <v>506</v>
      </c>
      <c r="Q576" s="81" t="s">
        <v>92</v>
      </c>
      <c r="R576" s="82" t="s">
        <v>607</v>
      </c>
      <c r="S576" s="32"/>
      <c r="T576" s="32">
        <v>464</v>
      </c>
      <c r="U576" s="32">
        <v>0</v>
      </c>
      <c r="V576" s="74" t="s">
        <v>77</v>
      </c>
      <c r="W576" s="15"/>
      <c r="X576" s="15"/>
      <c r="Y576" s="16"/>
      <c r="Z576" s="17"/>
      <c r="AA576" s="16"/>
      <c r="AB576" s="99">
        <v>491.84</v>
      </c>
      <c r="AC576" s="20">
        <v>38.835260663507093</v>
      </c>
      <c r="AD576" s="21">
        <v>46004</v>
      </c>
      <c r="AE576" s="22">
        <v>552533.18041107699</v>
      </c>
      <c r="AF576" s="23">
        <v>319565.68593333365</v>
      </c>
      <c r="AG576" s="24">
        <v>419073.8459333338</v>
      </c>
      <c r="AH576" s="15">
        <v>0.5</v>
      </c>
      <c r="AI576" s="25" t="s">
        <v>612</v>
      </c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</row>
    <row r="577" spans="1:73" ht="15" customHeight="1" x14ac:dyDescent="0.25">
      <c r="A577" s="1">
        <f t="shared" si="35"/>
        <v>251</v>
      </c>
      <c r="B577" s="1" t="str">
        <f t="shared" si="32"/>
        <v xml:space="preserve">Michigan </v>
      </c>
      <c r="C577" s="1">
        <f t="shared" si="33"/>
        <v>1</v>
      </c>
      <c r="D577" s="2" t="str">
        <f t="shared" si="34"/>
        <v>2025-12</v>
      </c>
      <c r="E577" s="3" t="s">
        <v>613</v>
      </c>
      <c r="F577" s="4" t="s">
        <v>529</v>
      </c>
      <c r="G577" s="39">
        <v>46004</v>
      </c>
      <c r="H577" s="40">
        <v>-129</v>
      </c>
      <c r="I577" s="40">
        <v>-107</v>
      </c>
      <c r="J577" s="7">
        <v>114</v>
      </c>
      <c r="K577" s="8">
        <v>0.11597117525289999</v>
      </c>
      <c r="L577" s="9">
        <v>5.419213796864486E-2</v>
      </c>
      <c r="M577" s="10">
        <v>-108.97849242949844</v>
      </c>
      <c r="N577" s="11">
        <v>2.1399999999999997</v>
      </c>
      <c r="O577" s="12">
        <v>22444.596658250604</v>
      </c>
      <c r="P577" s="32" t="s">
        <v>506</v>
      </c>
      <c r="Q577" s="81" t="s">
        <v>92</v>
      </c>
      <c r="R577" s="82" t="s">
        <v>614</v>
      </c>
      <c r="S577" s="32"/>
      <c r="T577" s="32">
        <v>123</v>
      </c>
      <c r="U577" s="32">
        <v>0</v>
      </c>
      <c r="V577" s="74" t="s">
        <v>77</v>
      </c>
      <c r="W577" s="15"/>
      <c r="X577" s="15"/>
      <c r="Y577" s="16"/>
      <c r="Z577" s="17"/>
      <c r="AA577" s="16"/>
      <c r="AB577" s="99">
        <v>140.22</v>
      </c>
      <c r="AC577" s="20">
        <v>14.264454556106699</v>
      </c>
      <c r="AD577" s="21">
        <v>46004</v>
      </c>
      <c r="AE577" s="22">
        <v>557971.67747170816</v>
      </c>
      <c r="AF577" s="23">
        <v>341402.28593333362</v>
      </c>
      <c r="AG577" s="24">
        <v>441262.06593333383</v>
      </c>
      <c r="AH577" s="15">
        <v>0.5</v>
      </c>
      <c r="AI577" s="25" t="s">
        <v>615</v>
      </c>
      <c r="AJ577" s="25"/>
      <c r="AK577" s="25"/>
      <c r="AL577" s="25"/>
      <c r="AM577" s="25"/>
      <c r="AN577" s="25">
        <v>-129</v>
      </c>
      <c r="AO577" s="25">
        <v>-107</v>
      </c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>
        <v>-120</v>
      </c>
      <c r="BC577" s="25">
        <v>-110</v>
      </c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>
        <v>-120</v>
      </c>
      <c r="BQ577" s="1">
        <v>-110</v>
      </c>
      <c r="BR577" s="1">
        <v>1000</v>
      </c>
      <c r="BS577" s="1">
        <v>1000</v>
      </c>
      <c r="BT577" s="1">
        <v>-115</v>
      </c>
      <c r="BU577" s="1">
        <v>-115</v>
      </c>
    </row>
    <row r="578" spans="1:73" ht="15" customHeight="1" x14ac:dyDescent="0.25">
      <c r="A578" s="1">
        <f t="shared" si="35"/>
        <v>251</v>
      </c>
      <c r="B578" s="1" t="str">
        <f t="shared" ref="B578:B641" si="36">LEFT(E578, FIND(" ", E578))</f>
        <v xml:space="preserve">Michigan </v>
      </c>
      <c r="C578" s="1">
        <f t="shared" ref="C578:C641" si="37">IF(Q578="total", 1, 0)</f>
        <v>1</v>
      </c>
      <c r="D578" s="2" t="str">
        <f t="shared" ref="D578:D641" si="38">YEAR(G578)&amp;"-"&amp;IF(MONTH(G578)&lt;10, "0", "")&amp;MONTH(G578)</f>
        <v>2025-12</v>
      </c>
      <c r="E578" s="3" t="s">
        <v>616</v>
      </c>
      <c r="F578" s="4" t="s">
        <v>529</v>
      </c>
      <c r="G578" s="39">
        <v>46004</v>
      </c>
      <c r="H578" s="40">
        <v>-110</v>
      </c>
      <c r="I578" s="40">
        <v>-115</v>
      </c>
      <c r="J578" s="7">
        <v>132</v>
      </c>
      <c r="K578" s="8">
        <v>0.14786610878661108</v>
      </c>
      <c r="L578" s="9">
        <v>6.3735391718366841E-2</v>
      </c>
      <c r="M578" s="10">
        <v>102.11416490486256</v>
      </c>
      <c r="N578" s="11">
        <v>2.3200000000000003</v>
      </c>
      <c r="O578" s="12">
        <v>24774.705293337189</v>
      </c>
      <c r="P578" s="32" t="s">
        <v>506</v>
      </c>
      <c r="Q578" s="81" t="s">
        <v>92</v>
      </c>
      <c r="R578" s="82" t="s">
        <v>614</v>
      </c>
      <c r="S578" s="32"/>
      <c r="T578" s="32">
        <v>106</v>
      </c>
      <c r="U578" s="32">
        <v>0</v>
      </c>
      <c r="V578" s="74" t="s">
        <v>77</v>
      </c>
      <c r="W578" s="15"/>
      <c r="X578" s="15"/>
      <c r="Y578" s="16"/>
      <c r="Z578" s="17"/>
      <c r="AA578" s="16"/>
      <c r="AB578" s="99">
        <v>139.91999999999999</v>
      </c>
      <c r="AC578" s="20">
        <v>15.673807531380774</v>
      </c>
      <c r="AD578" s="21">
        <v>46004</v>
      </c>
      <c r="AE578" s="22">
        <v>558146.1097615764</v>
      </c>
      <c r="AF578" s="23">
        <v>342467.2559333336</v>
      </c>
      <c r="AG578" s="24">
        <v>442327.33593333379</v>
      </c>
      <c r="AH578" s="15">
        <v>0.5</v>
      </c>
      <c r="AI578" s="25" t="s">
        <v>617</v>
      </c>
      <c r="AJ578" s="25">
        <v>-115</v>
      </c>
      <c r="AK578" s="25">
        <v>900</v>
      </c>
      <c r="AL578" s="25">
        <v>-115</v>
      </c>
      <c r="AM578" s="25">
        <v>900</v>
      </c>
      <c r="AN578" s="25">
        <v>-110</v>
      </c>
      <c r="AO578" s="25">
        <v>-125</v>
      </c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>
        <v>-112</v>
      </c>
      <c r="BC578" s="25">
        <v>-118</v>
      </c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>
        <v>-110</v>
      </c>
      <c r="BQ578" s="1">
        <v>-120</v>
      </c>
      <c r="BR578" s="1">
        <v>1000</v>
      </c>
      <c r="BS578" s="1">
        <v>1000</v>
      </c>
    </row>
    <row r="579" spans="1:73" ht="15" customHeight="1" x14ac:dyDescent="0.25">
      <c r="A579" s="1">
        <f t="shared" si="35"/>
        <v>252</v>
      </c>
      <c r="B579" s="1" t="str">
        <f t="shared" si="36"/>
        <v xml:space="preserve">NC </v>
      </c>
      <c r="C579" s="1">
        <f t="shared" si="37"/>
        <v>0</v>
      </c>
      <c r="D579" s="2" t="str">
        <f t="shared" si="38"/>
        <v>2025-12</v>
      </c>
      <c r="E579" s="3" t="s">
        <v>618</v>
      </c>
      <c r="F579" s="4" t="s">
        <v>529</v>
      </c>
      <c r="G579" s="39">
        <v>46004</v>
      </c>
      <c r="H579" s="40">
        <v>350</v>
      </c>
      <c r="I579" s="40">
        <v>-520</v>
      </c>
      <c r="J579" s="7">
        <v>650</v>
      </c>
      <c r="K579" s="8">
        <v>0.57094594594594616</v>
      </c>
      <c r="L579" s="9">
        <v>7.6126126126126153E-2</v>
      </c>
      <c r="M579" s="10">
        <v>377.41935483870964</v>
      </c>
      <c r="N579" s="11">
        <v>7.5</v>
      </c>
      <c r="O579" s="12">
        <v>19291.234314639667</v>
      </c>
      <c r="P579" s="32" t="s">
        <v>506</v>
      </c>
      <c r="Q579" s="81" t="s">
        <v>81</v>
      </c>
      <c r="R579" s="82" t="s">
        <v>619</v>
      </c>
      <c r="S579" s="32"/>
      <c r="T579" s="32">
        <v>353</v>
      </c>
      <c r="U579" s="32">
        <v>0</v>
      </c>
      <c r="V579" s="74" t="s">
        <v>82</v>
      </c>
      <c r="W579" s="15"/>
      <c r="X579" s="15"/>
      <c r="Y579" s="16"/>
      <c r="Z579" s="17"/>
      <c r="AA579" s="16"/>
      <c r="AB579" s="99">
        <v>-353</v>
      </c>
      <c r="AC579" s="20">
        <v>201.54391891891899</v>
      </c>
      <c r="AD579" s="21">
        <v>46004</v>
      </c>
      <c r="AE579" s="22">
        <v>557402.60684700962</v>
      </c>
      <c r="AF579" s="23">
        <v>338893.56593333365</v>
      </c>
      <c r="AG579" s="24">
        <v>439246.56593333383</v>
      </c>
      <c r="AH579" s="15">
        <v>0.5</v>
      </c>
      <c r="AI579" s="25" t="s">
        <v>620</v>
      </c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</row>
    <row r="580" spans="1:73" ht="15" customHeight="1" x14ac:dyDescent="0.25">
      <c r="A580" s="1">
        <f t="shared" ref="A580:A643" si="39">IF(AND(B580=B579, C580=C579, G580=G579), A579, A579+1)</f>
        <v>253</v>
      </c>
      <c r="B580" s="1" t="str">
        <f t="shared" si="36"/>
        <v xml:space="preserve">North </v>
      </c>
      <c r="C580" s="1">
        <f t="shared" si="37"/>
        <v>1</v>
      </c>
      <c r="D580" s="2" t="str">
        <f t="shared" si="38"/>
        <v>2025-12</v>
      </c>
      <c r="E580" s="3" t="s">
        <v>621</v>
      </c>
      <c r="F580" s="4" t="s">
        <v>529</v>
      </c>
      <c r="G580" s="39">
        <v>46004</v>
      </c>
      <c r="H580" s="40">
        <v>-135</v>
      </c>
      <c r="I580" s="40">
        <v>102</v>
      </c>
      <c r="J580" s="7">
        <v>118</v>
      </c>
      <c r="K580" s="8">
        <v>0.1709395312192237</v>
      </c>
      <c r="L580" s="9">
        <v>7.8412628999643907E-2</v>
      </c>
      <c r="M580" s="10">
        <v>-116.04255319148935</v>
      </c>
      <c r="N580" s="11">
        <v>2.1799999999999997</v>
      </c>
      <c r="O580" s="12">
        <v>30374.954117113622</v>
      </c>
      <c r="P580" s="32" t="s">
        <v>506</v>
      </c>
      <c r="Q580" s="81" t="s">
        <v>92</v>
      </c>
      <c r="R580" s="82" t="s">
        <v>622</v>
      </c>
      <c r="S580" s="32"/>
      <c r="T580" s="32">
        <v>596</v>
      </c>
      <c r="U580" s="32">
        <v>0</v>
      </c>
      <c r="V580" s="74" t="s">
        <v>77</v>
      </c>
      <c r="W580" s="15"/>
      <c r="X580" s="15"/>
      <c r="Y580" s="16"/>
      <c r="Z580" s="17"/>
      <c r="AA580" s="16"/>
      <c r="AB580" s="99">
        <v>703.28</v>
      </c>
      <c r="AC580" s="20">
        <v>101.87996060665732</v>
      </c>
      <c r="AD580" s="21">
        <v>46004</v>
      </c>
      <c r="AE580" s="22">
        <v>553410.1536482668</v>
      </c>
      <c r="AF580" s="23">
        <v>320061.46593333367</v>
      </c>
      <c r="AG580" s="24">
        <v>419358.18593333382</v>
      </c>
      <c r="AH580" s="15">
        <v>0.5</v>
      </c>
      <c r="AI580" s="25" t="s">
        <v>623</v>
      </c>
      <c r="AJ580" s="25"/>
      <c r="AK580" s="25"/>
      <c r="AL580" s="25"/>
      <c r="AM580" s="25"/>
      <c r="AN580" s="25">
        <v>-135</v>
      </c>
      <c r="AO580" s="25">
        <v>102</v>
      </c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>
        <v>-122</v>
      </c>
      <c r="BC580" s="25">
        <v>-106</v>
      </c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R580" s="1">
        <v>1000</v>
      </c>
      <c r="BS580" s="1">
        <v>1000</v>
      </c>
      <c r="BT580" s="1">
        <v>-120</v>
      </c>
      <c r="BU580" s="1">
        <v>-110</v>
      </c>
    </row>
    <row r="581" spans="1:73" ht="15" customHeight="1" x14ac:dyDescent="0.25">
      <c r="A581" s="1">
        <f t="shared" si="39"/>
        <v>254</v>
      </c>
      <c r="B581" s="1" t="str">
        <f t="shared" si="36"/>
        <v xml:space="preserve">Ohio </v>
      </c>
      <c r="C581" s="1">
        <f t="shared" si="37"/>
        <v>0</v>
      </c>
      <c r="D581" s="2" t="str">
        <f t="shared" si="38"/>
        <v>2025-12</v>
      </c>
      <c r="E581" s="3" t="s">
        <v>624</v>
      </c>
      <c r="F581" s="4" t="s">
        <v>529</v>
      </c>
      <c r="G581" s="39">
        <v>46004</v>
      </c>
      <c r="H581" s="40">
        <v>-104</v>
      </c>
      <c r="I581" s="40">
        <v>-122</v>
      </c>
      <c r="J581" s="7">
        <v>132</v>
      </c>
      <c r="K581" s="8">
        <v>0.11647823911955972</v>
      </c>
      <c r="L581" s="9">
        <v>5.0206137551534358E-2</v>
      </c>
      <c r="M581" s="10">
        <v>107.79625779625781</v>
      </c>
      <c r="N581" s="11">
        <v>2.3200000000000003</v>
      </c>
      <c r="O581" s="12">
        <v>20000.784897584657</v>
      </c>
      <c r="P581" s="32" t="s">
        <v>506</v>
      </c>
      <c r="Q581" s="81" t="s">
        <v>81</v>
      </c>
      <c r="R581" s="82" t="s">
        <v>625</v>
      </c>
      <c r="S581" s="32"/>
      <c r="T581" s="32">
        <v>177</v>
      </c>
      <c r="U581" s="32">
        <v>0</v>
      </c>
      <c r="V581" s="74" t="s">
        <v>77</v>
      </c>
      <c r="W581" s="15"/>
      <c r="X581" s="15"/>
      <c r="Y581" s="16"/>
      <c r="Z581" s="17"/>
      <c r="AA581" s="16"/>
      <c r="AB581" s="99">
        <v>233.64</v>
      </c>
      <c r="AC581" s="20">
        <v>20.616648324162071</v>
      </c>
      <c r="AD581" s="21">
        <v>46004</v>
      </c>
      <c r="AE581" s="22">
        <v>558946.11192245001</v>
      </c>
      <c r="AF581" s="23">
        <v>353554.98593333364</v>
      </c>
      <c r="AG581" s="24">
        <v>453321.3459333338</v>
      </c>
      <c r="AH581" s="15">
        <v>0.5</v>
      </c>
      <c r="AI581" s="25" t="s">
        <v>626</v>
      </c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</row>
    <row r="582" spans="1:73" ht="15" customHeight="1" x14ac:dyDescent="0.25">
      <c r="A582" s="1">
        <f t="shared" si="39"/>
        <v>254</v>
      </c>
      <c r="B582" s="1" t="str">
        <f t="shared" si="36"/>
        <v xml:space="preserve">Ohio </v>
      </c>
      <c r="C582" s="1">
        <f t="shared" si="37"/>
        <v>0</v>
      </c>
      <c r="D582" s="2" t="str">
        <f t="shared" si="38"/>
        <v>2025-12</v>
      </c>
      <c r="E582" s="3" t="s">
        <v>624</v>
      </c>
      <c r="F582" s="4" t="s">
        <v>529</v>
      </c>
      <c r="G582" s="39">
        <v>46004</v>
      </c>
      <c r="H582" s="40">
        <v>112</v>
      </c>
      <c r="I582" s="40">
        <v>-135</v>
      </c>
      <c r="J582" s="7">
        <v>195</v>
      </c>
      <c r="K582" s="8">
        <v>0.33010360706062924</v>
      </c>
      <c r="L582" s="9">
        <v>0.11189952781716245</v>
      </c>
      <c r="M582" s="10">
        <v>121.78723404255321</v>
      </c>
      <c r="N582" s="11">
        <v>2.95</v>
      </c>
      <c r="O582" s="12">
        <v>38389.778681263189</v>
      </c>
      <c r="P582" s="32" t="s">
        <v>506</v>
      </c>
      <c r="Q582" s="81" t="s">
        <v>81</v>
      </c>
      <c r="R582" s="82" t="s">
        <v>625</v>
      </c>
      <c r="S582" s="32"/>
      <c r="T582" s="32">
        <v>120</v>
      </c>
      <c r="U582" s="32">
        <v>0</v>
      </c>
      <c r="V582" s="74" t="s">
        <v>77</v>
      </c>
      <c r="W582" s="15"/>
      <c r="X582" s="15"/>
      <c r="Y582" s="16"/>
      <c r="Z582" s="17"/>
      <c r="AA582" s="16"/>
      <c r="AB582" s="99">
        <v>234</v>
      </c>
      <c r="AC582" s="20">
        <v>39.612432847275507</v>
      </c>
      <c r="AD582" s="21">
        <v>46004</v>
      </c>
      <c r="AE582" s="22">
        <v>558993.66490105097</v>
      </c>
      <c r="AF582" s="23">
        <v>353788.98593333364</v>
      </c>
      <c r="AG582" s="24">
        <v>453554.98593333381</v>
      </c>
      <c r="AH582" s="15">
        <v>0.5</v>
      </c>
      <c r="AI582" s="25" t="s">
        <v>627</v>
      </c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</row>
    <row r="583" spans="1:73" ht="15" customHeight="1" x14ac:dyDescent="0.25">
      <c r="A583" s="1">
        <f t="shared" si="39"/>
        <v>255</v>
      </c>
      <c r="B583" s="1" t="str">
        <f t="shared" si="36"/>
        <v xml:space="preserve">Oklahoma </v>
      </c>
      <c r="C583" s="1">
        <f t="shared" si="37"/>
        <v>0</v>
      </c>
      <c r="D583" s="2" t="str">
        <f t="shared" si="38"/>
        <v>2025-12</v>
      </c>
      <c r="E583" s="3" t="s">
        <v>628</v>
      </c>
      <c r="F583" s="4" t="s">
        <v>529</v>
      </c>
      <c r="G583" s="39">
        <v>46004</v>
      </c>
      <c r="H583" s="40">
        <v>-104</v>
      </c>
      <c r="I583" s="40">
        <v>-126</v>
      </c>
      <c r="J583" s="7">
        <v>138</v>
      </c>
      <c r="K583" s="8">
        <v>0.13679726873679054</v>
      </c>
      <c r="L583" s="9">
        <v>5.7477844007054857E-2</v>
      </c>
      <c r="M583" s="10">
        <v>109.36010891763108</v>
      </c>
      <c r="N583" s="11">
        <v>2.38</v>
      </c>
      <c r="O583" s="12">
        <v>20844.178802206301</v>
      </c>
      <c r="P583" s="32" t="s">
        <v>506</v>
      </c>
      <c r="Q583" s="81" t="s">
        <v>76</v>
      </c>
      <c r="R583" s="82" t="s">
        <v>629</v>
      </c>
      <c r="S583" s="32"/>
      <c r="T583" s="32">
        <v>398</v>
      </c>
      <c r="U583" s="32">
        <v>0</v>
      </c>
      <c r="V583" s="74" t="s">
        <v>82</v>
      </c>
      <c r="W583" s="15"/>
      <c r="X583" s="15"/>
      <c r="Y583" s="16"/>
      <c r="Z583" s="17"/>
      <c r="AA583" s="16"/>
      <c r="AB583" s="99">
        <v>-398</v>
      </c>
      <c r="AC583" s="20">
        <v>54.445312957242635</v>
      </c>
      <c r="AD583" s="21">
        <v>46004</v>
      </c>
      <c r="AE583" s="22">
        <v>552338.06866488094</v>
      </c>
      <c r="AF583" s="23">
        <v>320150.84593333362</v>
      </c>
      <c r="AG583" s="24">
        <v>420548.8459333338</v>
      </c>
      <c r="AH583" s="15">
        <v>0.5</v>
      </c>
      <c r="AI583" s="25" t="s">
        <v>630</v>
      </c>
      <c r="AJ583" s="25">
        <v>-104</v>
      </c>
      <c r="AK583" s="25">
        <v>1500</v>
      </c>
      <c r="AL583" s="25">
        <v>-129</v>
      </c>
      <c r="AM583" s="25">
        <v>1500</v>
      </c>
      <c r="AN583" s="25">
        <v>-110</v>
      </c>
      <c r="AO583" s="25">
        <v>-126</v>
      </c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>
        <v>110</v>
      </c>
      <c r="BQ583" s="1">
        <v>-150</v>
      </c>
      <c r="BR583" s="1">
        <v>1000</v>
      </c>
      <c r="BS583" s="1">
        <v>1000</v>
      </c>
    </row>
    <row r="584" spans="1:73" ht="15" customHeight="1" x14ac:dyDescent="0.25">
      <c r="A584" s="1">
        <f t="shared" si="39"/>
        <v>255</v>
      </c>
      <c r="B584" s="1" t="str">
        <f t="shared" si="36"/>
        <v xml:space="preserve">Oklahoma </v>
      </c>
      <c r="C584" s="1">
        <f t="shared" si="37"/>
        <v>0</v>
      </c>
      <c r="D584" s="2" t="str">
        <f t="shared" si="38"/>
        <v>2025-12</v>
      </c>
      <c r="E584" s="3" t="s">
        <v>631</v>
      </c>
      <c r="F584" s="4" t="s">
        <v>529</v>
      </c>
      <c r="G584" s="39">
        <v>46004</v>
      </c>
      <c r="H584" s="40">
        <v>-107</v>
      </c>
      <c r="I584" s="40">
        <v>-117</v>
      </c>
      <c r="J584" s="7">
        <v>135</v>
      </c>
      <c r="K584" s="8">
        <v>0.15023082760656006</v>
      </c>
      <c r="L584" s="9">
        <v>6.3928011747472369E-2</v>
      </c>
      <c r="M584" s="10">
        <v>104.30681769240708</v>
      </c>
      <c r="N584" s="11">
        <v>2.35</v>
      </c>
      <c r="O584" s="12">
        <v>23377.633075615198</v>
      </c>
      <c r="P584" s="32" t="s">
        <v>506</v>
      </c>
      <c r="Q584" s="81" t="s">
        <v>76</v>
      </c>
      <c r="R584" s="82" t="s">
        <v>629</v>
      </c>
      <c r="S584" s="32"/>
      <c r="T584" s="32">
        <v>429</v>
      </c>
      <c r="U584" s="32">
        <v>0</v>
      </c>
      <c r="V584" s="74" t="s">
        <v>82</v>
      </c>
      <c r="W584" s="15"/>
      <c r="X584" s="15"/>
      <c r="Y584" s="16"/>
      <c r="Z584" s="17"/>
      <c r="AA584" s="16"/>
      <c r="AB584" s="99">
        <v>-429</v>
      </c>
      <c r="AC584" s="20">
        <v>64.449025043214263</v>
      </c>
      <c r="AD584" s="21">
        <v>46004</v>
      </c>
      <c r="AE584" s="22">
        <v>552402.51768992411</v>
      </c>
      <c r="AF584" s="23">
        <v>319721.84593333362</v>
      </c>
      <c r="AG584" s="24">
        <v>420150.8459333338</v>
      </c>
      <c r="AH584" s="15">
        <v>0.5</v>
      </c>
      <c r="AI584" s="25" t="s">
        <v>632</v>
      </c>
      <c r="AJ584" s="25">
        <v>-107</v>
      </c>
      <c r="AK584" s="25">
        <v>1500</v>
      </c>
      <c r="AL584" s="25">
        <v>-126</v>
      </c>
      <c r="AM584" s="25">
        <v>1500</v>
      </c>
      <c r="AN584" s="25">
        <v>-113</v>
      </c>
      <c r="AO584" s="25">
        <v>-117</v>
      </c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>
        <v>105</v>
      </c>
      <c r="BQ584" s="1">
        <v>-145</v>
      </c>
      <c r="BR584" s="1">
        <v>1000</v>
      </c>
      <c r="BS584" s="1">
        <v>1000</v>
      </c>
    </row>
    <row r="585" spans="1:73" ht="15" customHeight="1" x14ac:dyDescent="0.25">
      <c r="A585" s="1">
        <f t="shared" si="39"/>
        <v>256</v>
      </c>
      <c r="B585" s="1" t="str">
        <f t="shared" si="36"/>
        <v xml:space="preserve">Oklahoma </v>
      </c>
      <c r="C585" s="1">
        <f t="shared" si="37"/>
        <v>1</v>
      </c>
      <c r="D585" s="2" t="str">
        <f t="shared" si="38"/>
        <v>2025-12</v>
      </c>
      <c r="E585" s="3" t="s">
        <v>633</v>
      </c>
      <c r="F585" s="4" t="s">
        <v>529</v>
      </c>
      <c r="G585" s="39">
        <v>46004</v>
      </c>
      <c r="H585" s="40">
        <v>-114</v>
      </c>
      <c r="I585" s="40">
        <v>-114</v>
      </c>
      <c r="J585" s="7">
        <v>123</v>
      </c>
      <c r="K585" s="8">
        <v>0.11499999999999995</v>
      </c>
      <c r="L585" s="9">
        <v>5.1569506726457381E-2</v>
      </c>
      <c r="M585" s="10">
        <v>100</v>
      </c>
      <c r="N585" s="11">
        <v>2.23</v>
      </c>
      <c r="O585" s="12">
        <v>19621.143204200554</v>
      </c>
      <c r="P585" s="32" t="s">
        <v>506</v>
      </c>
      <c r="Q585" s="81" t="s">
        <v>92</v>
      </c>
      <c r="R585" s="82" t="s">
        <v>629</v>
      </c>
      <c r="S585" s="32"/>
      <c r="T585" s="32">
        <v>384</v>
      </c>
      <c r="U585" s="32">
        <v>0</v>
      </c>
      <c r="V585" s="74" t="s">
        <v>82</v>
      </c>
      <c r="W585" s="15"/>
      <c r="X585" s="15"/>
      <c r="Y585" s="16"/>
      <c r="Z585" s="17"/>
      <c r="AA585" s="16"/>
      <c r="AB585" s="99">
        <v>-384</v>
      </c>
      <c r="AC585" s="20">
        <v>44.159999999999982</v>
      </c>
      <c r="AD585" s="21">
        <v>46004</v>
      </c>
      <c r="AE585" s="22">
        <v>552446.67768992414</v>
      </c>
      <c r="AF585" s="23">
        <v>319337.84593333362</v>
      </c>
      <c r="AG585" s="24">
        <v>419721.8459333338</v>
      </c>
      <c r="AH585" s="15">
        <v>0.5</v>
      </c>
      <c r="AI585" s="25" t="s">
        <v>634</v>
      </c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</row>
    <row r="586" spans="1:73" ht="15" customHeight="1" x14ac:dyDescent="0.25">
      <c r="A586" s="1">
        <f t="shared" si="39"/>
        <v>256</v>
      </c>
      <c r="B586" s="1" t="str">
        <f t="shared" si="36"/>
        <v xml:space="preserve">Oklahoma </v>
      </c>
      <c r="C586" s="1">
        <f t="shared" si="37"/>
        <v>1</v>
      </c>
      <c r="D586" s="2" t="str">
        <f t="shared" si="38"/>
        <v>2025-12</v>
      </c>
      <c r="E586" s="3" t="s">
        <v>635</v>
      </c>
      <c r="F586" s="4" t="s">
        <v>529</v>
      </c>
      <c r="G586" s="39">
        <v>46004</v>
      </c>
      <c r="H586" s="40">
        <v>-129</v>
      </c>
      <c r="I586" s="40">
        <v>-107</v>
      </c>
      <c r="J586" s="7">
        <v>120</v>
      </c>
      <c r="K586" s="8">
        <v>0.14726008670858895</v>
      </c>
      <c r="L586" s="9">
        <v>6.6936403049358606E-2</v>
      </c>
      <c r="M586" s="10">
        <v>-108.97849242949844</v>
      </c>
      <c r="N586" s="11">
        <v>2.2000000000000002</v>
      </c>
      <c r="O586" s="12">
        <v>25760.609842896822</v>
      </c>
      <c r="P586" s="32" t="s">
        <v>506</v>
      </c>
      <c r="Q586" s="81" t="s">
        <v>92</v>
      </c>
      <c r="R586" s="82" t="s">
        <v>629</v>
      </c>
      <c r="S586" s="32"/>
      <c r="T586" s="32">
        <v>410</v>
      </c>
      <c r="U586" s="32">
        <v>0</v>
      </c>
      <c r="V586" s="74" t="s">
        <v>77</v>
      </c>
      <c r="W586" s="15"/>
      <c r="X586" s="15"/>
      <c r="Y586" s="16"/>
      <c r="Z586" s="17"/>
      <c r="AA586" s="16"/>
      <c r="AB586" s="99">
        <v>492</v>
      </c>
      <c r="AC586" s="20">
        <v>60.37663555052147</v>
      </c>
      <c r="AD586" s="21">
        <v>46004</v>
      </c>
      <c r="AE586" s="22">
        <v>552950.94716343842</v>
      </c>
      <c r="AF586" s="23">
        <v>320330.56593333365</v>
      </c>
      <c r="AG586" s="24">
        <v>419838.56593333383</v>
      </c>
      <c r="AH586" s="15">
        <v>0.5</v>
      </c>
      <c r="AI586" s="25" t="s">
        <v>636</v>
      </c>
      <c r="AJ586" s="25"/>
      <c r="AK586" s="25"/>
      <c r="AL586" s="25"/>
      <c r="AM586" s="25"/>
      <c r="AN586" s="25">
        <v>-129</v>
      </c>
      <c r="AO586" s="25">
        <v>-107</v>
      </c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>
        <v>-112</v>
      </c>
      <c r="BC586" s="25">
        <v>-118</v>
      </c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>
        <v>105</v>
      </c>
      <c r="BQ586" s="1">
        <v>-145</v>
      </c>
      <c r="BR586" s="1">
        <v>1000</v>
      </c>
      <c r="BS586" s="1">
        <v>1000</v>
      </c>
    </row>
    <row r="587" spans="1:73" ht="15" customHeight="1" x14ac:dyDescent="0.25">
      <c r="A587" s="1">
        <f t="shared" si="39"/>
        <v>257</v>
      </c>
      <c r="B587" s="1" t="str">
        <f t="shared" si="36"/>
        <v xml:space="preserve">Oregon </v>
      </c>
      <c r="C587" s="1">
        <f t="shared" si="37"/>
        <v>0</v>
      </c>
      <c r="D587" s="2" t="str">
        <f t="shared" si="38"/>
        <v>2025-12</v>
      </c>
      <c r="E587" s="3" t="s">
        <v>637</v>
      </c>
      <c r="F587" s="4" t="s">
        <v>529</v>
      </c>
      <c r="G587" s="39">
        <v>46004</v>
      </c>
      <c r="H587" s="40">
        <v>-122</v>
      </c>
      <c r="I587" s="40">
        <v>-113</v>
      </c>
      <c r="J587" s="7">
        <v>117</v>
      </c>
      <c r="K587" s="8">
        <v>0.10412006578947346</v>
      </c>
      <c r="L587" s="9">
        <v>4.7981597138006205E-2</v>
      </c>
      <c r="M587" s="10">
        <v>-103.58765845491504</v>
      </c>
      <c r="N587" s="11">
        <v>2.17</v>
      </c>
      <c r="O587" s="12">
        <v>19189.572670700938</v>
      </c>
      <c r="P587" s="32" t="s">
        <v>506</v>
      </c>
      <c r="Q587" s="81" t="s">
        <v>76</v>
      </c>
      <c r="R587" s="82" t="s">
        <v>638</v>
      </c>
      <c r="S587" s="32"/>
      <c r="T587" s="32">
        <v>1965</v>
      </c>
      <c r="U587" s="32">
        <v>0</v>
      </c>
      <c r="V587" s="74" t="s">
        <v>77</v>
      </c>
      <c r="W587" s="15"/>
      <c r="X587" s="15"/>
      <c r="Y587" s="16"/>
      <c r="Z587" s="17"/>
      <c r="AA587" s="16"/>
      <c r="AB587" s="99">
        <v>2299.0500000000002</v>
      </c>
      <c r="AC587" s="20">
        <v>204.59592927631533</v>
      </c>
      <c r="AD587" s="21">
        <v>46004</v>
      </c>
      <c r="AE587" s="22">
        <v>554903.57411096734</v>
      </c>
      <c r="AF587" s="23">
        <v>333566.54593333363</v>
      </c>
      <c r="AG587" s="24">
        <v>431267.49593333382</v>
      </c>
      <c r="AH587" s="15">
        <v>0.5</v>
      </c>
      <c r="AI587" s="25" t="s">
        <v>639</v>
      </c>
      <c r="AJ587" s="25"/>
      <c r="AK587" s="25"/>
      <c r="AL587" s="25"/>
      <c r="AM587" s="25"/>
      <c r="AN587" s="25">
        <v>-122</v>
      </c>
      <c r="AO587" s="25">
        <v>-113</v>
      </c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>
        <v>-118</v>
      </c>
      <c r="BC587" s="25">
        <v>-112</v>
      </c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>
        <v>105</v>
      </c>
      <c r="BQ587" s="1">
        <v>-145</v>
      </c>
      <c r="BR587" s="1">
        <v>1000</v>
      </c>
      <c r="BS587" s="1">
        <v>1000</v>
      </c>
      <c r="BT587" s="1">
        <v>-115</v>
      </c>
      <c r="BU587" s="1">
        <v>-115</v>
      </c>
    </row>
    <row r="588" spans="1:73" ht="15" customHeight="1" x14ac:dyDescent="0.25">
      <c r="A588" s="1">
        <f t="shared" si="39"/>
        <v>257</v>
      </c>
      <c r="B588" s="1" t="str">
        <f t="shared" si="36"/>
        <v xml:space="preserve">Oregon </v>
      </c>
      <c r="C588" s="1">
        <f t="shared" si="37"/>
        <v>0</v>
      </c>
      <c r="D588" s="2" t="str">
        <f t="shared" si="38"/>
        <v>2025-12</v>
      </c>
      <c r="E588" s="3" t="s">
        <v>640</v>
      </c>
      <c r="F588" s="4" t="s">
        <v>529</v>
      </c>
      <c r="G588" s="39">
        <v>46004</v>
      </c>
      <c r="H588" s="40">
        <v>-116</v>
      </c>
      <c r="I588" s="40">
        <v>-119</v>
      </c>
      <c r="J588" s="7">
        <v>125</v>
      </c>
      <c r="K588" s="8">
        <v>0.1183963371683493</v>
      </c>
      <c r="L588" s="9">
        <v>5.2620594297044132E-2</v>
      </c>
      <c r="M588" s="10">
        <v>101.1809163911195</v>
      </c>
      <c r="N588" s="11">
        <v>2.25</v>
      </c>
      <c r="O588" s="12">
        <v>20533.076382895837</v>
      </c>
      <c r="P588" s="32" t="s">
        <v>506</v>
      </c>
      <c r="Q588" s="81" t="s">
        <v>76</v>
      </c>
      <c r="R588" s="82" t="s">
        <v>638</v>
      </c>
      <c r="S588" s="32"/>
      <c r="T588" s="32">
        <v>1840</v>
      </c>
      <c r="U588" s="32">
        <v>0</v>
      </c>
      <c r="V588" s="74" t="s">
        <v>77</v>
      </c>
      <c r="W588" s="15"/>
      <c r="X588" s="15"/>
      <c r="Y588" s="16"/>
      <c r="Z588" s="17"/>
      <c r="AA588" s="16"/>
      <c r="AB588" s="99">
        <v>2300</v>
      </c>
      <c r="AC588" s="20">
        <v>217.84926038976272</v>
      </c>
      <c r="AD588" s="21">
        <v>46004</v>
      </c>
      <c r="AE588" s="22">
        <v>555121.42337135714</v>
      </c>
      <c r="AF588" s="23">
        <v>335866.54593333363</v>
      </c>
      <c r="AG588" s="24">
        <v>433566.54593333381</v>
      </c>
      <c r="AH588" s="15">
        <v>0.5</v>
      </c>
      <c r="AI588" s="25" t="s">
        <v>641</v>
      </c>
      <c r="AJ588" s="25"/>
      <c r="AK588" s="25"/>
      <c r="AL588" s="25"/>
      <c r="AM588" s="25"/>
      <c r="AN588" s="25">
        <v>-116</v>
      </c>
      <c r="AO588" s="25">
        <v>-119</v>
      </c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>
        <v>-112</v>
      </c>
      <c r="BC588" s="25">
        <v>-118</v>
      </c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>
        <v>100</v>
      </c>
      <c r="BQ588" s="1">
        <v>-140</v>
      </c>
      <c r="BR588" s="1">
        <v>1000</v>
      </c>
      <c r="BS588" s="1">
        <v>1000</v>
      </c>
      <c r="BT588" s="1">
        <v>-110</v>
      </c>
      <c r="BU588" s="1">
        <v>-120</v>
      </c>
    </row>
    <row r="589" spans="1:73" ht="15" customHeight="1" x14ac:dyDescent="0.25">
      <c r="A589" s="1">
        <f t="shared" si="39"/>
        <v>257</v>
      </c>
      <c r="B589" s="1" t="str">
        <f t="shared" si="36"/>
        <v xml:space="preserve">Oregon </v>
      </c>
      <c r="C589" s="1">
        <f t="shared" si="37"/>
        <v>0</v>
      </c>
      <c r="D589" s="2" t="str">
        <f t="shared" si="38"/>
        <v>2025-12</v>
      </c>
      <c r="E589" s="3" t="s">
        <v>642</v>
      </c>
      <c r="F589" s="4" t="s">
        <v>529</v>
      </c>
      <c r="G589" s="39">
        <v>46004</v>
      </c>
      <c r="H589" s="40">
        <v>-123</v>
      </c>
      <c r="I589" s="40">
        <v>-108</v>
      </c>
      <c r="J589" s="7">
        <v>118</v>
      </c>
      <c r="K589" s="8">
        <v>0.12291857936699697</v>
      </c>
      <c r="L589" s="9">
        <v>5.638466943440229E-2</v>
      </c>
      <c r="M589" s="10">
        <v>-106.22820129546589</v>
      </c>
      <c r="N589" s="11">
        <v>2.1799999999999997</v>
      </c>
      <c r="O589" s="12">
        <v>22701.735855815823</v>
      </c>
      <c r="P589" s="32" t="s">
        <v>506</v>
      </c>
      <c r="Q589" s="81" t="s">
        <v>76</v>
      </c>
      <c r="R589" s="82" t="s">
        <v>638</v>
      </c>
      <c r="S589" s="32"/>
      <c r="T589" s="32">
        <v>1949</v>
      </c>
      <c r="U589" s="32">
        <v>0</v>
      </c>
      <c r="V589" s="74" t="s">
        <v>77</v>
      </c>
      <c r="W589" s="15"/>
      <c r="X589" s="15"/>
      <c r="Y589" s="16"/>
      <c r="Z589" s="17"/>
      <c r="AA589" s="16"/>
      <c r="AB589" s="99">
        <v>2299.8200000000002</v>
      </c>
      <c r="AC589" s="20">
        <v>239.5683111862771</v>
      </c>
      <c r="AD589" s="21">
        <v>46004</v>
      </c>
      <c r="AE589" s="22">
        <v>555360.99168254342</v>
      </c>
      <c r="AF589" s="23">
        <v>338166.36593333364</v>
      </c>
      <c r="AG589" s="24">
        <v>435866.54593333381</v>
      </c>
      <c r="AH589" s="15">
        <v>0.5</v>
      </c>
      <c r="AI589" s="25" t="s">
        <v>643</v>
      </c>
      <c r="AJ589" s="25"/>
      <c r="AK589" s="25"/>
      <c r="AL589" s="25"/>
      <c r="AM589" s="25"/>
      <c r="AN589" s="25">
        <v>-128</v>
      </c>
      <c r="AO589" s="25">
        <v>-112</v>
      </c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>
        <v>-118</v>
      </c>
      <c r="BC589" s="25">
        <v>-112</v>
      </c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>
        <v>-110</v>
      </c>
      <c r="BQ589" s="1">
        <v>-130</v>
      </c>
      <c r="BR589" s="1">
        <v>1000</v>
      </c>
      <c r="BS589" s="1">
        <v>1000</v>
      </c>
      <c r="BT589" s="1">
        <v>-115</v>
      </c>
      <c r="BU589" s="1">
        <v>-115</v>
      </c>
    </row>
    <row r="590" spans="1:73" ht="15" customHeight="1" x14ac:dyDescent="0.25">
      <c r="A590" s="1">
        <f t="shared" si="39"/>
        <v>257</v>
      </c>
      <c r="B590" s="1" t="str">
        <f t="shared" si="36"/>
        <v xml:space="preserve">Oregon </v>
      </c>
      <c r="C590" s="1">
        <f t="shared" si="37"/>
        <v>0</v>
      </c>
      <c r="D590" s="2" t="str">
        <f t="shared" si="38"/>
        <v>2025-12</v>
      </c>
      <c r="E590" s="3" t="s">
        <v>644</v>
      </c>
      <c r="F590" s="4" t="s">
        <v>529</v>
      </c>
      <c r="G590" s="39">
        <v>46004</v>
      </c>
      <c r="H590" s="40">
        <v>-122</v>
      </c>
      <c r="I590" s="40">
        <v>-113</v>
      </c>
      <c r="J590" s="7">
        <v>123</v>
      </c>
      <c r="K590" s="8">
        <v>0.13464873120300724</v>
      </c>
      <c r="L590" s="9">
        <v>6.0380596952021193E-2</v>
      </c>
      <c r="M590" s="10">
        <v>-103.58765845491504</v>
      </c>
      <c r="N590" s="11">
        <v>2.23</v>
      </c>
      <c r="O590" s="12">
        <v>23983.148466973973</v>
      </c>
      <c r="P590" s="32" t="s">
        <v>506</v>
      </c>
      <c r="Q590" s="81" t="s">
        <v>76</v>
      </c>
      <c r="R590" s="82" t="s">
        <v>638</v>
      </c>
      <c r="S590" s="32"/>
      <c r="T590" s="32">
        <v>1869</v>
      </c>
      <c r="U590" s="32">
        <v>0</v>
      </c>
      <c r="V590" s="74" t="s">
        <v>77</v>
      </c>
      <c r="W590" s="15"/>
      <c r="X590" s="15"/>
      <c r="Y590" s="16"/>
      <c r="Z590" s="17"/>
      <c r="AA590" s="16"/>
      <c r="AB590" s="99">
        <v>2298.87</v>
      </c>
      <c r="AC590" s="20">
        <v>251.65847861842053</v>
      </c>
      <c r="AD590" s="21">
        <v>46004</v>
      </c>
      <c r="AE590" s="22">
        <v>555612.65016116179</v>
      </c>
      <c r="AF590" s="23">
        <v>340465.23593333364</v>
      </c>
      <c r="AG590" s="24">
        <v>438166.36593333381</v>
      </c>
      <c r="AH590" s="15">
        <v>0.5</v>
      </c>
      <c r="AI590" s="25" t="s">
        <v>645</v>
      </c>
      <c r="AJ590" s="25"/>
      <c r="AK590" s="25"/>
      <c r="AL590" s="25"/>
      <c r="AM590" s="25"/>
      <c r="AN590" s="25">
        <v>-122</v>
      </c>
      <c r="AO590" s="25">
        <v>-113</v>
      </c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>
        <v>-114</v>
      </c>
      <c r="BC590" s="25">
        <v>-114</v>
      </c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>
        <v>100</v>
      </c>
      <c r="BQ590" s="1">
        <v>-140</v>
      </c>
      <c r="BR590" s="1">
        <v>1000</v>
      </c>
      <c r="BS590" s="1">
        <v>1000</v>
      </c>
      <c r="BT590" s="1">
        <v>-115</v>
      </c>
      <c r="BU590" s="1">
        <v>-115</v>
      </c>
    </row>
    <row r="591" spans="1:73" ht="15" customHeight="1" x14ac:dyDescent="0.25">
      <c r="A591" s="1">
        <f t="shared" si="39"/>
        <v>257</v>
      </c>
      <c r="B591" s="1" t="str">
        <f t="shared" si="36"/>
        <v xml:space="preserve">Oregon </v>
      </c>
      <c r="C591" s="1">
        <f t="shared" si="37"/>
        <v>0</v>
      </c>
      <c r="D591" s="2" t="str">
        <f t="shared" si="38"/>
        <v>2025-12</v>
      </c>
      <c r="E591" s="3" t="s">
        <v>646</v>
      </c>
      <c r="F591" s="4" t="s">
        <v>529</v>
      </c>
      <c r="G591" s="39">
        <v>46004</v>
      </c>
      <c r="H591" s="40">
        <v>-130</v>
      </c>
      <c r="I591" s="40">
        <v>-110</v>
      </c>
      <c r="J591" s="7">
        <v>112</v>
      </c>
      <c r="K591" s="8">
        <v>0.10030418250950569</v>
      </c>
      <c r="L591" s="9">
        <v>4.7313293636559284E-2</v>
      </c>
      <c r="M591" s="10">
        <v>-107.90513833992092</v>
      </c>
      <c r="N591" s="11">
        <v>2.12</v>
      </c>
      <c r="O591" s="12">
        <v>19723.439917031068</v>
      </c>
      <c r="P591" s="32" t="s">
        <v>506</v>
      </c>
      <c r="Q591" s="81" t="s">
        <v>76</v>
      </c>
      <c r="R591" s="82" t="s">
        <v>638</v>
      </c>
      <c r="S591" s="32"/>
      <c r="T591" s="32">
        <v>2053</v>
      </c>
      <c r="U591" s="32">
        <v>0</v>
      </c>
      <c r="V591" s="74" t="s">
        <v>77</v>
      </c>
      <c r="W591" s="15"/>
      <c r="X591" s="15"/>
      <c r="Y591" s="16"/>
      <c r="Z591" s="17"/>
      <c r="AA591" s="16"/>
      <c r="AB591" s="99">
        <v>2299.36</v>
      </c>
      <c r="AC591" s="20">
        <v>205.92448669201519</v>
      </c>
      <c r="AD591" s="21">
        <v>46004</v>
      </c>
      <c r="AE591" s="22">
        <v>555818.57464785385</v>
      </c>
      <c r="AF591" s="23">
        <v>342764.59593333362</v>
      </c>
      <c r="AG591" s="24">
        <v>440465.23593333381</v>
      </c>
      <c r="AH591" s="15">
        <v>0.5</v>
      </c>
      <c r="AI591" s="25" t="s">
        <v>647</v>
      </c>
      <c r="AJ591" s="25"/>
      <c r="AK591" s="25"/>
      <c r="AL591" s="25"/>
      <c r="AM591" s="25"/>
      <c r="AN591" s="25">
        <v>-130</v>
      </c>
      <c r="AO591" s="25">
        <v>-110</v>
      </c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>
        <v>-120</v>
      </c>
      <c r="BC591" s="25">
        <v>-110</v>
      </c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>
        <v>-140</v>
      </c>
      <c r="BQ591" s="1">
        <v>100</v>
      </c>
      <c r="BR591" s="1">
        <v>1000</v>
      </c>
      <c r="BS591" s="1">
        <v>1000</v>
      </c>
      <c r="BT591" s="1">
        <v>-120</v>
      </c>
      <c r="BU591" s="1">
        <v>-110</v>
      </c>
    </row>
    <row r="592" spans="1:73" ht="15" customHeight="1" x14ac:dyDescent="0.25">
      <c r="A592" s="1">
        <f t="shared" si="39"/>
        <v>258</v>
      </c>
      <c r="B592" s="1" t="str">
        <f t="shared" si="36"/>
        <v xml:space="preserve">Penn </v>
      </c>
      <c r="C592" s="1">
        <f t="shared" si="37"/>
        <v>0</v>
      </c>
      <c r="D592" s="2" t="str">
        <f t="shared" si="38"/>
        <v>2025-12</v>
      </c>
      <c r="E592" s="3" t="s">
        <v>648</v>
      </c>
      <c r="F592" s="4" t="s">
        <v>529</v>
      </c>
      <c r="G592" s="39">
        <v>46004</v>
      </c>
      <c r="H592" s="40">
        <v>-113</v>
      </c>
      <c r="I592" s="40">
        <v>-122</v>
      </c>
      <c r="J592" s="7">
        <v>130</v>
      </c>
      <c r="K592" s="8">
        <v>0.12973449248120261</v>
      </c>
      <c r="L592" s="9">
        <v>5.6406301078783749E-2</v>
      </c>
      <c r="M592" s="10">
        <v>103.5876584549151</v>
      </c>
      <c r="N592" s="11">
        <v>2.2999999999999998</v>
      </c>
      <c r="O592" s="12">
        <v>20985.467586130853</v>
      </c>
      <c r="P592" s="32" t="s">
        <v>506</v>
      </c>
      <c r="Q592" s="81" t="s">
        <v>76</v>
      </c>
      <c r="R592" s="82" t="s">
        <v>479</v>
      </c>
      <c r="S592" s="32"/>
      <c r="T592" s="32">
        <v>180</v>
      </c>
      <c r="U592" s="32">
        <v>0</v>
      </c>
      <c r="V592" s="74" t="s">
        <v>77</v>
      </c>
      <c r="W592" s="15"/>
      <c r="X592" s="15"/>
      <c r="Y592" s="16"/>
      <c r="Z592" s="17"/>
      <c r="AA592" s="16"/>
      <c r="AB592" s="99">
        <v>234</v>
      </c>
      <c r="AC592" s="20">
        <v>23.352208646616472</v>
      </c>
      <c r="AD592" s="21">
        <v>46004</v>
      </c>
      <c r="AE592" s="22">
        <v>551519.37820442615</v>
      </c>
      <c r="AF592" s="23">
        <v>320802.30593333358</v>
      </c>
      <c r="AG592" s="24">
        <v>420568.30593333376</v>
      </c>
      <c r="AH592" s="15">
        <v>0.5</v>
      </c>
      <c r="AI592" s="25" t="s">
        <v>649</v>
      </c>
      <c r="AJ592" s="25"/>
      <c r="AK592" s="25"/>
      <c r="AL592" s="25"/>
      <c r="AM592" s="25"/>
      <c r="AN592" s="25">
        <v>-113</v>
      </c>
      <c r="AO592" s="25">
        <v>-122</v>
      </c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>
        <v>-108</v>
      </c>
      <c r="BC592" s="25">
        <v>-122</v>
      </c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R592" s="1">
        <v>1000</v>
      </c>
      <c r="BS592" s="1">
        <v>1000</v>
      </c>
    </row>
    <row r="593" spans="1:73" ht="15" customHeight="1" x14ac:dyDescent="0.25">
      <c r="A593" s="1">
        <f t="shared" si="39"/>
        <v>258</v>
      </c>
      <c r="B593" s="1" t="str">
        <f t="shared" si="36"/>
        <v xml:space="preserve">Penn </v>
      </c>
      <c r="C593" s="1">
        <f t="shared" si="37"/>
        <v>0</v>
      </c>
      <c r="D593" s="2" t="str">
        <f t="shared" si="38"/>
        <v>2025-12</v>
      </c>
      <c r="E593" s="3" t="s">
        <v>650</v>
      </c>
      <c r="F593" s="4" t="s">
        <v>529</v>
      </c>
      <c r="G593" s="39">
        <v>46004</v>
      </c>
      <c r="H593" s="40">
        <v>-105</v>
      </c>
      <c r="I593" s="40">
        <v>-113</v>
      </c>
      <c r="J593" s="7">
        <v>133</v>
      </c>
      <c r="K593" s="8">
        <v>0.14452998023281363</v>
      </c>
      <c r="L593" s="9">
        <v>6.2030034434683967E-2</v>
      </c>
      <c r="M593" s="10">
        <v>103.57701766152468</v>
      </c>
      <c r="N593" s="11">
        <v>2.33</v>
      </c>
      <c r="O593" s="12">
        <v>22864.116149799669</v>
      </c>
      <c r="P593" s="32" t="s">
        <v>506</v>
      </c>
      <c r="Q593" s="81" t="s">
        <v>76</v>
      </c>
      <c r="R593" s="82" t="s">
        <v>479</v>
      </c>
      <c r="S593" s="32"/>
      <c r="T593" s="32">
        <v>308</v>
      </c>
      <c r="U593" s="32">
        <v>0</v>
      </c>
      <c r="V593" s="74" t="s">
        <v>77</v>
      </c>
      <c r="W593" s="15"/>
      <c r="X593" s="15"/>
      <c r="Y593" s="16"/>
      <c r="Z593" s="17"/>
      <c r="AA593" s="16"/>
      <c r="AB593" s="99">
        <v>409.64</v>
      </c>
      <c r="AC593" s="20">
        <v>44.515233911706602</v>
      </c>
      <c r="AD593" s="21">
        <v>46004</v>
      </c>
      <c r="AE593" s="22">
        <v>551563.89343833784</v>
      </c>
      <c r="AF593" s="23">
        <v>321211.9459333336</v>
      </c>
      <c r="AG593" s="24">
        <v>420802.30593333376</v>
      </c>
      <c r="AH593" s="15">
        <v>0.5</v>
      </c>
      <c r="AI593" s="25" t="s">
        <v>651</v>
      </c>
      <c r="AJ593" s="25">
        <v>-105</v>
      </c>
      <c r="AK593" s="25">
        <v>1500</v>
      </c>
      <c r="AL593" s="25">
        <v>-128</v>
      </c>
      <c r="AM593" s="25">
        <v>1500</v>
      </c>
      <c r="AN593" s="25">
        <v>-117</v>
      </c>
      <c r="AO593" s="25">
        <v>-113</v>
      </c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>
        <v>100</v>
      </c>
      <c r="BQ593" s="1">
        <v>-140</v>
      </c>
      <c r="BR593" s="1">
        <v>1000</v>
      </c>
      <c r="BS593" s="1">
        <v>1000</v>
      </c>
    </row>
    <row r="594" spans="1:73" ht="15" customHeight="1" x14ac:dyDescent="0.25">
      <c r="A594" s="1">
        <f t="shared" si="39"/>
        <v>259</v>
      </c>
      <c r="B594" s="1" t="str">
        <f t="shared" si="36"/>
        <v xml:space="preserve">Providence </v>
      </c>
      <c r="C594" s="1">
        <f t="shared" si="37"/>
        <v>0</v>
      </c>
      <c r="D594" s="2" t="str">
        <f t="shared" si="38"/>
        <v>2025-12</v>
      </c>
      <c r="E594" s="3" t="s">
        <v>652</v>
      </c>
      <c r="F594" s="4" t="s">
        <v>529</v>
      </c>
      <c r="G594" s="39">
        <v>46004</v>
      </c>
      <c r="H594" s="40">
        <v>202</v>
      </c>
      <c r="I594" s="40">
        <v>-282</v>
      </c>
      <c r="J594" s="7">
        <v>320</v>
      </c>
      <c r="K594" s="8">
        <v>0.30054148698161559</v>
      </c>
      <c r="L594" s="9">
        <v>7.1557496900384654E-2</v>
      </c>
      <c r="M594" s="10">
        <v>222.94240837696333</v>
      </c>
      <c r="N594" s="11">
        <v>4.2</v>
      </c>
      <c r="O594" s="12">
        <v>19731.44629706637</v>
      </c>
      <c r="P594" s="32" t="s">
        <v>506</v>
      </c>
      <c r="Q594" s="81" t="s">
        <v>81</v>
      </c>
      <c r="R594" s="82" t="s">
        <v>653</v>
      </c>
      <c r="S594" s="32"/>
      <c r="T594" s="32">
        <v>128</v>
      </c>
      <c r="U594" s="32">
        <v>0</v>
      </c>
      <c r="V594" s="74" t="s">
        <v>82</v>
      </c>
      <c r="W594" s="15"/>
      <c r="X594" s="15"/>
      <c r="Y594" s="16"/>
      <c r="Z594" s="17"/>
      <c r="AA594" s="16"/>
      <c r="AB594" s="99">
        <v>-128</v>
      </c>
      <c r="AC594" s="20">
        <v>38.469310333646796</v>
      </c>
      <c r="AD594" s="21">
        <v>46004</v>
      </c>
      <c r="AE594" s="22">
        <v>552773.1261207154</v>
      </c>
      <c r="AF594" s="23">
        <v>320051.11593333364</v>
      </c>
      <c r="AG594" s="24">
        <v>420179.11593333381</v>
      </c>
      <c r="AH594" s="15">
        <v>0.5</v>
      </c>
      <c r="AI594" s="25" t="s">
        <v>654</v>
      </c>
      <c r="AJ594" s="25">
        <v>202</v>
      </c>
      <c r="AK594" s="25">
        <v>1500</v>
      </c>
      <c r="AL594" s="25">
        <v>-282</v>
      </c>
      <c r="AM594" s="25">
        <v>1500</v>
      </c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>
        <v>215</v>
      </c>
      <c r="BC594" s="25">
        <v>-320</v>
      </c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>
        <v>200</v>
      </c>
      <c r="BQ594" s="1">
        <v>-260</v>
      </c>
      <c r="BT594" s="1">
        <v>250</v>
      </c>
      <c r="BU594" s="1">
        <v>-345</v>
      </c>
    </row>
    <row r="595" spans="1:73" ht="15" customHeight="1" x14ac:dyDescent="0.25">
      <c r="A595" s="1">
        <f t="shared" si="39"/>
        <v>259</v>
      </c>
      <c r="B595" s="1" t="str">
        <f t="shared" si="36"/>
        <v xml:space="preserve">Providence </v>
      </c>
      <c r="C595" s="1">
        <f t="shared" si="37"/>
        <v>0</v>
      </c>
      <c r="D595" s="2" t="str">
        <f t="shared" si="38"/>
        <v>2025-12</v>
      </c>
      <c r="E595" s="3" t="s">
        <v>652</v>
      </c>
      <c r="F595" s="4" t="s">
        <v>529</v>
      </c>
      <c r="G595" s="39">
        <v>46004</v>
      </c>
      <c r="H595" s="40">
        <v>176</v>
      </c>
      <c r="I595" s="40">
        <v>-191</v>
      </c>
      <c r="J595" s="7">
        <v>215</v>
      </c>
      <c r="K595" s="8">
        <v>0.12037987679671457</v>
      </c>
      <c r="L595" s="9">
        <v>3.821583390371891E-2</v>
      </c>
      <c r="M595" s="10">
        <v>181.15463917525773</v>
      </c>
      <c r="N595" s="11">
        <v>3.15</v>
      </c>
      <c r="O595" s="12">
        <v>11759.755236302801</v>
      </c>
      <c r="P595" s="32" t="s">
        <v>506</v>
      </c>
      <c r="Q595" s="81" t="s">
        <v>81</v>
      </c>
      <c r="R595" s="82" t="s">
        <v>653</v>
      </c>
      <c r="S595" s="32"/>
      <c r="T595" s="32">
        <v>545</v>
      </c>
      <c r="U595" s="32">
        <v>0</v>
      </c>
      <c r="V595" s="74" t="s">
        <v>82</v>
      </c>
      <c r="W595" s="15"/>
      <c r="X595" s="15"/>
      <c r="Y595" s="16"/>
      <c r="Z595" s="17"/>
      <c r="AA595" s="16"/>
      <c r="AB595" s="99">
        <v>-545</v>
      </c>
      <c r="AC595" s="20">
        <v>65.607032854209436</v>
      </c>
      <c r="AD595" s="21">
        <v>46004</v>
      </c>
      <c r="AE595" s="22">
        <v>553475.76068112103</v>
      </c>
      <c r="AF595" s="23">
        <v>319516.46593333367</v>
      </c>
      <c r="AG595" s="24">
        <v>420061.46593333385</v>
      </c>
      <c r="AH595" s="15">
        <v>0.5</v>
      </c>
      <c r="AI595" s="25" t="s">
        <v>655</v>
      </c>
      <c r="AJ595" s="25"/>
      <c r="AK595" s="25"/>
      <c r="AL595" s="25"/>
      <c r="AM595" s="25"/>
      <c r="AN595" s="25">
        <v>142</v>
      </c>
      <c r="AO595" s="25">
        <v>-191</v>
      </c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>
        <v>176</v>
      </c>
      <c r="BC595" s="25">
        <v>-230</v>
      </c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>
        <v>185</v>
      </c>
      <c r="BQ595" s="1">
        <v>-240</v>
      </c>
      <c r="BR595" s="1">
        <v>1000</v>
      </c>
      <c r="BS595" s="1">
        <v>1000</v>
      </c>
      <c r="BT595" s="1">
        <v>165</v>
      </c>
      <c r="BU595" s="1">
        <v>-215</v>
      </c>
    </row>
    <row r="596" spans="1:73" ht="15" customHeight="1" x14ac:dyDescent="0.25">
      <c r="A596" s="1">
        <f t="shared" si="39"/>
        <v>260</v>
      </c>
      <c r="B596" s="1" t="str">
        <f t="shared" si="36"/>
        <v xml:space="preserve">Purdue </v>
      </c>
      <c r="C596" s="1">
        <f t="shared" si="37"/>
        <v>0</v>
      </c>
      <c r="D596" s="2" t="str">
        <f t="shared" si="38"/>
        <v>2025-12</v>
      </c>
      <c r="E596" s="3" t="s">
        <v>656</v>
      </c>
      <c r="F596" s="4" t="s">
        <v>529</v>
      </c>
      <c r="G596" s="39">
        <v>46004</v>
      </c>
      <c r="H596" s="40">
        <v>-111</v>
      </c>
      <c r="I596" s="40">
        <v>-119</v>
      </c>
      <c r="J596" s="7">
        <v>130</v>
      </c>
      <c r="K596" s="8">
        <v>0.13138330163098469</v>
      </c>
      <c r="L596" s="9">
        <v>5.7123174622167261E-2</v>
      </c>
      <c r="M596" s="10">
        <v>103.29096219507176</v>
      </c>
      <c r="N596" s="11">
        <v>2.2999999999999998</v>
      </c>
      <c r="O596" s="12">
        <v>21145.56562144405</v>
      </c>
      <c r="P596" s="32" t="s">
        <v>506</v>
      </c>
      <c r="Q596" s="81" t="s">
        <v>76</v>
      </c>
      <c r="R596" s="82" t="s">
        <v>657</v>
      </c>
      <c r="S596" s="32"/>
      <c r="T596" s="32">
        <v>692</v>
      </c>
      <c r="U596" s="32">
        <v>0</v>
      </c>
      <c r="V596" s="74" t="s">
        <v>77</v>
      </c>
      <c r="W596" s="15"/>
      <c r="X596" s="15"/>
      <c r="Y596" s="16"/>
      <c r="Z596" s="17"/>
      <c r="AA596" s="16"/>
      <c r="AB596" s="99">
        <v>899.6</v>
      </c>
      <c r="AC596" s="20">
        <v>90.917244728641407</v>
      </c>
      <c r="AD596" s="21">
        <v>46004</v>
      </c>
      <c r="AE596" s="22">
        <v>553308.27368766011</v>
      </c>
      <c r="AF596" s="23">
        <v>319358.18593333365</v>
      </c>
      <c r="AG596" s="24">
        <v>418458.58593333384</v>
      </c>
      <c r="AH596" s="15">
        <v>0.5</v>
      </c>
      <c r="AI596" s="25" t="s">
        <v>658</v>
      </c>
      <c r="AJ596" s="25"/>
      <c r="AK596" s="25"/>
      <c r="AL596" s="25"/>
      <c r="AM596" s="25"/>
      <c r="AN596" s="25">
        <v>-111</v>
      </c>
      <c r="AO596" s="25">
        <v>-119</v>
      </c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>
        <v>-120</v>
      </c>
      <c r="BQ596" s="1">
        <v>-110</v>
      </c>
      <c r="BR596" s="1">
        <v>1000</v>
      </c>
      <c r="BS596" s="1">
        <v>1000</v>
      </c>
      <c r="BT596" s="1">
        <v>-115</v>
      </c>
      <c r="BU596" s="1">
        <v>-115</v>
      </c>
    </row>
    <row r="597" spans="1:73" ht="15" customHeight="1" x14ac:dyDescent="0.25">
      <c r="A597" s="1">
        <f t="shared" si="39"/>
        <v>261</v>
      </c>
      <c r="B597" s="1" t="str">
        <f t="shared" si="36"/>
        <v xml:space="preserve">Rice </v>
      </c>
      <c r="C597" s="1">
        <f t="shared" si="37"/>
        <v>0</v>
      </c>
      <c r="D597" s="2" t="str">
        <f t="shared" si="38"/>
        <v>2025-12</v>
      </c>
      <c r="E597" s="3" t="s">
        <v>659</v>
      </c>
      <c r="F597" s="4" t="s">
        <v>529</v>
      </c>
      <c r="G597" s="39">
        <v>46004</v>
      </c>
      <c r="H597" s="40">
        <v>420</v>
      </c>
      <c r="I597" s="40">
        <v>-650</v>
      </c>
      <c r="J597" s="7">
        <v>700</v>
      </c>
      <c r="K597" s="8">
        <v>0.45278450363196088</v>
      </c>
      <c r="L597" s="9">
        <v>5.659806295399511E-2</v>
      </c>
      <c r="M597" s="10">
        <v>450.6666666666668</v>
      </c>
      <c r="N597" s="11">
        <v>8</v>
      </c>
      <c r="O597" s="12">
        <v>13835.788663011648</v>
      </c>
      <c r="P597" s="32" t="s">
        <v>506</v>
      </c>
      <c r="Q597" s="81" t="s">
        <v>81</v>
      </c>
      <c r="R597" s="82" t="s">
        <v>660</v>
      </c>
      <c r="S597" s="32"/>
      <c r="T597" s="32">
        <v>167</v>
      </c>
      <c r="U597" s="32">
        <v>0</v>
      </c>
      <c r="V597" s="74" t="s">
        <v>77</v>
      </c>
      <c r="W597" s="15"/>
      <c r="X597" s="15"/>
      <c r="Y597" s="16"/>
      <c r="Z597" s="17"/>
      <c r="AA597" s="16"/>
      <c r="AB597" s="99">
        <v>1169</v>
      </c>
      <c r="AC597" s="20">
        <v>75.615012106537463</v>
      </c>
      <c r="AD597" s="21">
        <v>46004</v>
      </c>
      <c r="AE597" s="22">
        <v>554518.23407586652</v>
      </c>
      <c r="AF597" s="23">
        <v>328968.62593333365</v>
      </c>
      <c r="AG597" s="24">
        <v>427799.62593333382</v>
      </c>
      <c r="AH597" s="15">
        <v>0.5</v>
      </c>
      <c r="AI597" s="25" t="s">
        <v>661</v>
      </c>
      <c r="AJ597" s="25"/>
      <c r="AK597" s="25"/>
      <c r="AL597" s="25"/>
      <c r="AM597" s="25"/>
      <c r="AN597" s="25">
        <v>-109</v>
      </c>
      <c r="AO597" s="25">
        <v>-122</v>
      </c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>
        <v>-106</v>
      </c>
      <c r="BC597" s="25">
        <v>-125</v>
      </c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>
        <v>115</v>
      </c>
      <c r="BQ597" s="1">
        <v>-160</v>
      </c>
      <c r="BR597" s="1">
        <v>1000</v>
      </c>
      <c r="BS597" s="1">
        <v>1000</v>
      </c>
    </row>
    <row r="598" spans="1:73" ht="15" customHeight="1" x14ac:dyDescent="0.25">
      <c r="A598" s="1">
        <f t="shared" si="39"/>
        <v>262</v>
      </c>
      <c r="B598" s="1" t="str">
        <f t="shared" si="36"/>
        <v xml:space="preserve">Robert </v>
      </c>
      <c r="C598" s="1">
        <f t="shared" si="37"/>
        <v>0</v>
      </c>
      <c r="D598" s="2" t="str">
        <f t="shared" si="38"/>
        <v>2025-12</v>
      </c>
      <c r="E598" s="3" t="s">
        <v>662</v>
      </c>
      <c r="F598" s="4" t="s">
        <v>529</v>
      </c>
      <c r="G598" s="39">
        <v>46004</v>
      </c>
      <c r="H598" s="40">
        <v>-390</v>
      </c>
      <c r="I598" s="40">
        <v>280</v>
      </c>
      <c r="J598" s="7">
        <v>-189</v>
      </c>
      <c r="K598" s="8">
        <v>0.14915161466885607</v>
      </c>
      <c r="L598" s="9">
        <v>9.7542059420116956E-2</v>
      </c>
      <c r="M598" s="10">
        <v>-302.4489795918368</v>
      </c>
      <c r="N598" s="11">
        <v>1.5291005291005291</v>
      </c>
      <c r="O598" s="12">
        <v>59244.86856043111</v>
      </c>
      <c r="P598" s="32" t="s">
        <v>506</v>
      </c>
      <c r="Q598" s="81" t="s">
        <v>81</v>
      </c>
      <c r="R598" s="82" t="s">
        <v>663</v>
      </c>
      <c r="S598" s="32"/>
      <c r="T598" s="32">
        <v>774</v>
      </c>
      <c r="U598" s="32">
        <v>0</v>
      </c>
      <c r="V598" s="74" t="s">
        <v>77</v>
      </c>
      <c r="W598" s="15"/>
      <c r="X598" s="15"/>
      <c r="Y598" s="16"/>
      <c r="Z598" s="17"/>
      <c r="AA598" s="16"/>
      <c r="AB598" s="99">
        <v>409.52</v>
      </c>
      <c r="AC598" s="20">
        <v>115.4433497536946</v>
      </c>
      <c r="AD598" s="21">
        <v>46004</v>
      </c>
      <c r="AE598" s="22">
        <v>553066.39051319216</v>
      </c>
      <c r="AF598" s="23">
        <v>320740.08593333367</v>
      </c>
      <c r="AG598" s="24">
        <v>420330.56593333383</v>
      </c>
      <c r="AH598" s="15">
        <v>0.5</v>
      </c>
      <c r="AI598" s="25" t="s">
        <v>664</v>
      </c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</row>
    <row r="599" spans="1:73" ht="15" customHeight="1" x14ac:dyDescent="0.25">
      <c r="A599" s="1">
        <f t="shared" si="39"/>
        <v>263</v>
      </c>
      <c r="B599" s="1" t="str">
        <f t="shared" si="36"/>
        <v xml:space="preserve">Rutgers </v>
      </c>
      <c r="C599" s="1">
        <f t="shared" si="37"/>
        <v>0</v>
      </c>
      <c r="D599" s="2" t="str">
        <f t="shared" si="38"/>
        <v>2025-12</v>
      </c>
      <c r="E599" s="3" t="s">
        <v>665</v>
      </c>
      <c r="F599" s="4" t="s">
        <v>529</v>
      </c>
      <c r="G599" s="39">
        <v>46004</v>
      </c>
      <c r="H599" s="40">
        <v>-107</v>
      </c>
      <c r="I599" s="40">
        <v>-126</v>
      </c>
      <c r="J599" s="7">
        <v>128</v>
      </c>
      <c r="K599" s="8">
        <v>9.6907528250835401E-2</v>
      </c>
      <c r="L599" s="9">
        <v>4.2503301864401488E-2</v>
      </c>
      <c r="M599" s="10">
        <v>107.85708378132497</v>
      </c>
      <c r="N599" s="11">
        <v>2.2800000000000002</v>
      </c>
      <c r="O599" s="12">
        <v>16733.366846564415</v>
      </c>
      <c r="P599" s="32" t="s">
        <v>506</v>
      </c>
      <c r="Q599" s="81" t="s">
        <v>76</v>
      </c>
      <c r="R599" s="82" t="s">
        <v>666</v>
      </c>
      <c r="S599" s="32"/>
      <c r="T599" s="32">
        <v>183</v>
      </c>
      <c r="U599" s="32">
        <v>0</v>
      </c>
      <c r="V599" s="74" t="s">
        <v>82</v>
      </c>
      <c r="W599" s="15"/>
      <c r="X599" s="15"/>
      <c r="Y599" s="16"/>
      <c r="Z599" s="17"/>
      <c r="AA599" s="16"/>
      <c r="AB599" s="99">
        <v>-183</v>
      </c>
      <c r="AC599" s="20">
        <v>17.734077669902877</v>
      </c>
      <c r="AD599" s="21">
        <v>46004</v>
      </c>
      <c r="AE599" s="22">
        <v>558078.66642163973</v>
      </c>
      <c r="AF599" s="23">
        <v>341861.28593333362</v>
      </c>
      <c r="AG599" s="24">
        <v>442044.2859333338</v>
      </c>
      <c r="AH599" s="15">
        <v>0.5</v>
      </c>
      <c r="AI599" s="25" t="s">
        <v>667</v>
      </c>
      <c r="AJ599" s="25">
        <v>-112</v>
      </c>
      <c r="AK599" s="25"/>
      <c r="AL599" s="25">
        <v>-118</v>
      </c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>
        <v>100</v>
      </c>
      <c r="BQ599" s="1">
        <v>-133</v>
      </c>
      <c r="BT599" s="1">
        <v>-107</v>
      </c>
      <c r="BU599" s="1">
        <v>-126</v>
      </c>
    </row>
    <row r="600" spans="1:73" ht="15" customHeight="1" x14ac:dyDescent="0.25">
      <c r="A600" s="1">
        <f t="shared" si="39"/>
        <v>264</v>
      </c>
      <c r="B600" s="1" t="str">
        <f t="shared" si="36"/>
        <v xml:space="preserve">Rutgers </v>
      </c>
      <c r="C600" s="1">
        <f t="shared" si="37"/>
        <v>1</v>
      </c>
      <c r="D600" s="2" t="str">
        <f t="shared" si="38"/>
        <v>2025-12</v>
      </c>
      <c r="E600" s="3" t="s">
        <v>668</v>
      </c>
      <c r="F600" s="4" t="s">
        <v>529</v>
      </c>
      <c r="G600" s="39">
        <v>46004</v>
      </c>
      <c r="H600" s="40">
        <v>-115</v>
      </c>
      <c r="I600" s="40">
        <v>-115</v>
      </c>
      <c r="J600" s="7">
        <v>130</v>
      </c>
      <c r="K600" s="8">
        <v>0.14999999999999988</v>
      </c>
      <c r="L600" s="9">
        <v>6.5217391304347783E-2</v>
      </c>
      <c r="M600" s="10">
        <v>100</v>
      </c>
      <c r="N600" s="11">
        <v>2.2999999999999998</v>
      </c>
      <c r="O600" s="12">
        <v>25508.785726923088</v>
      </c>
      <c r="P600" s="32" t="s">
        <v>506</v>
      </c>
      <c r="Q600" s="81" t="s">
        <v>92</v>
      </c>
      <c r="R600" s="82" t="s">
        <v>666</v>
      </c>
      <c r="S600" s="32"/>
      <c r="T600" s="32">
        <v>108</v>
      </c>
      <c r="U600" s="32">
        <v>0</v>
      </c>
      <c r="V600" s="74" t="s">
        <v>82</v>
      </c>
      <c r="W600" s="15"/>
      <c r="X600" s="15"/>
      <c r="Y600" s="16"/>
      <c r="Z600" s="17"/>
      <c r="AA600" s="16"/>
      <c r="AB600" s="99">
        <v>-108</v>
      </c>
      <c r="AC600" s="20">
        <v>16.199999999999989</v>
      </c>
      <c r="AD600" s="21">
        <v>46004</v>
      </c>
      <c r="AE600" s="22">
        <v>558060.93234396982</v>
      </c>
      <c r="AF600" s="23">
        <v>342044.28593333362</v>
      </c>
      <c r="AG600" s="24">
        <v>442152.2859333338</v>
      </c>
      <c r="AH600" s="15">
        <v>0.5</v>
      </c>
      <c r="AI600" s="25" t="s">
        <v>669</v>
      </c>
      <c r="AJ600" s="25">
        <v>-115</v>
      </c>
      <c r="AK600" s="25">
        <v>725</v>
      </c>
      <c r="AL600" s="25">
        <v>-115</v>
      </c>
      <c r="AM600" s="25">
        <v>725</v>
      </c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>
        <v>-102</v>
      </c>
      <c r="BC600" s="25">
        <v>-130</v>
      </c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>
        <v>-125</v>
      </c>
      <c r="BQ600" s="1">
        <v>-105</v>
      </c>
      <c r="BT600" s="1">
        <v>-115</v>
      </c>
      <c r="BU600" s="1">
        <v>-115</v>
      </c>
    </row>
    <row r="601" spans="1:73" ht="15" customHeight="1" x14ac:dyDescent="0.25">
      <c r="A601" s="1">
        <f t="shared" si="39"/>
        <v>265</v>
      </c>
      <c r="B601" s="1" t="str">
        <f t="shared" si="36"/>
        <v xml:space="preserve">Saint </v>
      </c>
      <c r="C601" s="1">
        <f t="shared" si="37"/>
        <v>0</v>
      </c>
      <c r="D601" s="2" t="str">
        <f t="shared" si="38"/>
        <v>2025-12</v>
      </c>
      <c r="E601" s="3" t="s">
        <v>670</v>
      </c>
      <c r="F601" s="4" t="s">
        <v>529</v>
      </c>
      <c r="G601" s="39">
        <v>46004</v>
      </c>
      <c r="H601" s="40">
        <v>-106</v>
      </c>
      <c r="I601" s="40">
        <v>-120</v>
      </c>
      <c r="J601" s="7">
        <v>125</v>
      </c>
      <c r="K601" s="8">
        <v>9.2214820982514642E-2</v>
      </c>
      <c r="L601" s="9">
        <v>4.0984364881117619E-2</v>
      </c>
      <c r="M601" s="10">
        <v>106.00343053173242</v>
      </c>
      <c r="N601" s="11">
        <v>2.25</v>
      </c>
      <c r="O601" s="12">
        <v>15537.574919938968</v>
      </c>
      <c r="P601" s="32" t="s">
        <v>506</v>
      </c>
      <c r="Q601" s="81" t="s">
        <v>76</v>
      </c>
      <c r="R601" s="82" t="s">
        <v>671</v>
      </c>
      <c r="S601" s="32"/>
      <c r="T601" s="32">
        <v>1876</v>
      </c>
      <c r="U601" s="32">
        <v>0</v>
      </c>
      <c r="V601" s="74" t="s">
        <v>77</v>
      </c>
      <c r="W601" s="15"/>
      <c r="X601" s="15"/>
      <c r="Y601" s="16"/>
      <c r="Z601" s="17"/>
      <c r="AA601" s="16"/>
      <c r="AB601" s="99">
        <v>2345</v>
      </c>
      <c r="AC601" s="20">
        <v>172.99500416319748</v>
      </c>
      <c r="AD601" s="21">
        <v>46004</v>
      </c>
      <c r="AE601" s="22">
        <v>553922.55786416319</v>
      </c>
      <c r="AF601" s="23">
        <v>323578.12593333365</v>
      </c>
      <c r="AG601" s="24">
        <v>421233.12593333382</v>
      </c>
      <c r="AH601" s="15">
        <v>0.5</v>
      </c>
      <c r="AI601" s="25" t="s">
        <v>672</v>
      </c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</row>
    <row r="602" spans="1:73" ht="15" customHeight="1" x14ac:dyDescent="0.25">
      <c r="A602" s="1">
        <f t="shared" si="39"/>
        <v>265</v>
      </c>
      <c r="B602" s="1" t="str">
        <f t="shared" si="36"/>
        <v xml:space="preserve">Saint </v>
      </c>
      <c r="C602" s="1">
        <f t="shared" si="37"/>
        <v>0</v>
      </c>
      <c r="D602" s="2" t="str">
        <f t="shared" si="38"/>
        <v>2025-12</v>
      </c>
      <c r="E602" s="3" t="s">
        <v>673</v>
      </c>
      <c r="F602" s="4" t="s">
        <v>529</v>
      </c>
      <c r="G602" s="39">
        <v>46004</v>
      </c>
      <c r="H602" s="40">
        <v>-125</v>
      </c>
      <c r="I602" s="40">
        <v>-106</v>
      </c>
      <c r="J602" s="7">
        <v>123</v>
      </c>
      <c r="K602" s="8">
        <v>0.15771169354838707</v>
      </c>
      <c r="L602" s="9">
        <v>7.0722732532909005E-2</v>
      </c>
      <c r="M602" s="10">
        <v>-107.9664570230608</v>
      </c>
      <c r="N602" s="11">
        <v>2.23</v>
      </c>
      <c r="O602" s="12">
        <v>27155.781947560183</v>
      </c>
      <c r="P602" s="32" t="s">
        <v>506</v>
      </c>
      <c r="Q602" s="81" t="s">
        <v>76</v>
      </c>
      <c r="R602" s="82" t="s">
        <v>671</v>
      </c>
      <c r="S602" s="32"/>
      <c r="T602" s="32">
        <v>1907</v>
      </c>
      <c r="U602" s="32">
        <v>0</v>
      </c>
      <c r="V602" s="74" t="s">
        <v>77</v>
      </c>
      <c r="W602" s="15"/>
      <c r="X602" s="15"/>
      <c r="Y602" s="16"/>
      <c r="Z602" s="17"/>
      <c r="AA602" s="16"/>
      <c r="AB602" s="99">
        <v>2345.61</v>
      </c>
      <c r="AC602" s="20">
        <v>300.75619959677414</v>
      </c>
      <c r="AD602" s="21">
        <v>46004</v>
      </c>
      <c r="AE602" s="22">
        <v>554223.31406375999</v>
      </c>
      <c r="AF602" s="23">
        <v>325923.73593333364</v>
      </c>
      <c r="AG602" s="24">
        <v>423578.12593333382</v>
      </c>
      <c r="AH602" s="15">
        <v>0.5</v>
      </c>
      <c r="AI602" s="25" t="s">
        <v>674</v>
      </c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</row>
    <row r="603" spans="1:73" ht="15" customHeight="1" x14ac:dyDescent="0.25">
      <c r="A603" s="1">
        <f t="shared" si="39"/>
        <v>265</v>
      </c>
      <c r="B603" s="1" t="str">
        <f t="shared" si="36"/>
        <v xml:space="preserve">Saint </v>
      </c>
      <c r="C603" s="1">
        <f t="shared" si="37"/>
        <v>0</v>
      </c>
      <c r="D603" s="2" t="str">
        <f t="shared" si="38"/>
        <v>2025-12</v>
      </c>
      <c r="E603" s="3" t="s">
        <v>675</v>
      </c>
      <c r="F603" s="4" t="s">
        <v>529</v>
      </c>
      <c r="G603" s="39">
        <v>46004</v>
      </c>
      <c r="H603" s="40">
        <v>-114</v>
      </c>
      <c r="I603" s="40">
        <v>-114</v>
      </c>
      <c r="J603" s="7">
        <v>123</v>
      </c>
      <c r="K603" s="8">
        <v>0.11499999999999995</v>
      </c>
      <c r="L603" s="9">
        <v>5.1569506726457381E-2</v>
      </c>
      <c r="M603" s="10">
        <v>100</v>
      </c>
      <c r="N603" s="11">
        <v>2.23</v>
      </c>
      <c r="O603" s="12">
        <v>19911.068956233074</v>
      </c>
      <c r="P603" s="32" t="s">
        <v>506</v>
      </c>
      <c r="Q603" s="81" t="s">
        <v>76</v>
      </c>
      <c r="R603" s="82" t="s">
        <v>671</v>
      </c>
      <c r="S603" s="32"/>
      <c r="T603" s="32">
        <v>1907</v>
      </c>
      <c r="U603" s="32">
        <v>0</v>
      </c>
      <c r="V603" s="74" t="s">
        <v>77</v>
      </c>
      <c r="W603" s="15"/>
      <c r="X603" s="15"/>
      <c r="Y603" s="16"/>
      <c r="Z603" s="17"/>
      <c r="AA603" s="16"/>
      <c r="AB603" s="99">
        <v>2345.61</v>
      </c>
      <c r="AC603" s="20">
        <v>219.30499999999989</v>
      </c>
      <c r="AD603" s="21">
        <v>46004</v>
      </c>
      <c r="AE603" s="22">
        <v>554442.61906376004</v>
      </c>
      <c r="AF603" s="23">
        <v>328269.34593333362</v>
      </c>
      <c r="AG603" s="24">
        <v>425923.73593333381</v>
      </c>
      <c r="AH603" s="15">
        <v>0.5</v>
      </c>
      <c r="AI603" s="25" t="s">
        <v>676</v>
      </c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</row>
    <row r="604" spans="1:73" ht="15" customHeight="1" x14ac:dyDescent="0.25">
      <c r="A604" s="1">
        <f t="shared" si="39"/>
        <v>265</v>
      </c>
      <c r="B604" s="1" t="str">
        <f t="shared" si="36"/>
        <v xml:space="preserve">Saint </v>
      </c>
      <c r="C604" s="1">
        <f t="shared" si="37"/>
        <v>0</v>
      </c>
      <c r="D604" s="2" t="str">
        <f t="shared" si="38"/>
        <v>2025-12</v>
      </c>
      <c r="E604" s="3" t="s">
        <v>677</v>
      </c>
      <c r="F604" s="4" t="s">
        <v>529</v>
      </c>
      <c r="G604" s="39">
        <v>46004</v>
      </c>
      <c r="H604" s="40">
        <v>-110</v>
      </c>
      <c r="I604" s="40">
        <v>-118</v>
      </c>
      <c r="J604" s="7">
        <v>123</v>
      </c>
      <c r="K604" s="8">
        <v>9.6706316652994312E-2</v>
      </c>
      <c r="L604" s="9">
        <v>4.336606127936965E-2</v>
      </c>
      <c r="M604" s="10">
        <v>103.33611342785653</v>
      </c>
      <c r="N604" s="11">
        <v>2.23</v>
      </c>
      <c r="O604" s="12">
        <v>16863.404786060506</v>
      </c>
      <c r="P604" s="32" t="s">
        <v>506</v>
      </c>
      <c r="Q604" s="81" t="s">
        <v>76</v>
      </c>
      <c r="R604" s="82" t="s">
        <v>671</v>
      </c>
      <c r="S604" s="32"/>
      <c r="T604" s="32">
        <v>1869</v>
      </c>
      <c r="U604" s="32">
        <v>0</v>
      </c>
      <c r="V604" s="74" t="s">
        <v>77</v>
      </c>
      <c r="W604" s="15"/>
      <c r="X604" s="15"/>
      <c r="Y604" s="16"/>
      <c r="Z604" s="17"/>
      <c r="AA604" s="16"/>
      <c r="AB604" s="99">
        <v>2298.87</v>
      </c>
      <c r="AC604" s="20">
        <v>180.74410582444636</v>
      </c>
      <c r="AD604" s="21">
        <v>46004</v>
      </c>
      <c r="AE604" s="22">
        <v>554698.97818169103</v>
      </c>
      <c r="AF604" s="23">
        <v>331267.49593333364</v>
      </c>
      <c r="AG604" s="24">
        <v>428968.62593333382</v>
      </c>
      <c r="AH604" s="15">
        <v>0.5</v>
      </c>
      <c r="AI604" s="25" t="s">
        <v>678</v>
      </c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</row>
    <row r="605" spans="1:73" ht="15" customHeight="1" x14ac:dyDescent="0.25">
      <c r="A605" s="1">
        <f t="shared" si="39"/>
        <v>266</v>
      </c>
      <c r="B605" s="1" t="str">
        <f t="shared" si="36"/>
        <v xml:space="preserve">Saint </v>
      </c>
      <c r="C605" s="1">
        <f t="shared" si="37"/>
        <v>1</v>
      </c>
      <c r="D605" s="2" t="str">
        <f t="shared" si="38"/>
        <v>2025-12</v>
      </c>
      <c r="E605" s="3" t="s">
        <v>679</v>
      </c>
      <c r="F605" s="4" t="s">
        <v>529</v>
      </c>
      <c r="G605" s="39">
        <v>46004</v>
      </c>
      <c r="H605" s="40">
        <v>120</v>
      </c>
      <c r="I605" s="40">
        <v>-120</v>
      </c>
      <c r="J605" s="7">
        <v>120</v>
      </c>
      <c r="K605" s="8">
        <v>0</v>
      </c>
      <c r="L605" s="9">
        <v>0</v>
      </c>
      <c r="M605" s="10">
        <v>120</v>
      </c>
      <c r="N605" s="11">
        <v>2.2000000000000002</v>
      </c>
      <c r="O605" s="12">
        <v>0</v>
      </c>
      <c r="P605" s="32" t="s">
        <v>506</v>
      </c>
      <c r="Q605" s="81" t="s">
        <v>92</v>
      </c>
      <c r="R605" s="82" t="s">
        <v>671</v>
      </c>
      <c r="S605" s="32"/>
      <c r="T605" s="32">
        <v>1173</v>
      </c>
      <c r="U605" s="32">
        <v>0</v>
      </c>
      <c r="V605" s="74" t="s">
        <v>82</v>
      </c>
      <c r="W605" s="15"/>
      <c r="X605" s="15"/>
      <c r="Y605" s="16"/>
      <c r="Z605" s="17"/>
      <c r="AA605" s="16"/>
      <c r="AB605" s="99">
        <v>-1173</v>
      </c>
      <c r="AC605" s="20">
        <v>0</v>
      </c>
      <c r="AD605" s="21">
        <v>46004</v>
      </c>
      <c r="AE605" s="22">
        <v>554442.61906376004</v>
      </c>
      <c r="AF605" s="23">
        <v>327799.62593333365</v>
      </c>
      <c r="AG605" s="24">
        <v>428972.62593333382</v>
      </c>
      <c r="AH605" s="15">
        <v>0.5</v>
      </c>
      <c r="AI605" s="25" t="s">
        <v>680</v>
      </c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</row>
    <row r="606" spans="1:73" ht="15" customHeight="1" x14ac:dyDescent="0.25">
      <c r="A606" s="1">
        <f t="shared" si="39"/>
        <v>267</v>
      </c>
      <c r="B606" s="1" t="str">
        <f t="shared" si="36"/>
        <v xml:space="preserve">San </v>
      </c>
      <c r="C606" s="1">
        <f t="shared" si="37"/>
        <v>0</v>
      </c>
      <c r="D606" s="2" t="str">
        <f t="shared" si="38"/>
        <v>2025-12</v>
      </c>
      <c r="E606" s="3" t="s">
        <v>681</v>
      </c>
      <c r="F606" s="4" t="s">
        <v>529</v>
      </c>
      <c r="G606" s="39">
        <v>46004</v>
      </c>
      <c r="H606" s="40">
        <v>-108</v>
      </c>
      <c r="I606" s="40">
        <v>-111</v>
      </c>
      <c r="J606" s="7">
        <v>123</v>
      </c>
      <c r="K606" s="8">
        <v>0.10770860580695792</v>
      </c>
      <c r="L606" s="9">
        <v>4.8299823231819694E-2</v>
      </c>
      <c r="M606" s="10">
        <v>101.3164823591364</v>
      </c>
      <c r="N606" s="11">
        <v>2.23</v>
      </c>
      <c r="O606" s="12">
        <v>19346.44840160527</v>
      </c>
      <c r="P606" s="32" t="s">
        <v>506</v>
      </c>
      <c r="Q606" s="81" t="s">
        <v>76</v>
      </c>
      <c r="R606" s="82" t="s">
        <v>682</v>
      </c>
      <c r="S606" s="32"/>
      <c r="T606" s="32">
        <v>190</v>
      </c>
      <c r="U606" s="32">
        <v>0</v>
      </c>
      <c r="V606" s="74" t="s">
        <v>77</v>
      </c>
      <c r="W606" s="15"/>
      <c r="X606" s="15"/>
      <c r="Y606" s="16"/>
      <c r="Z606" s="17"/>
      <c r="AA606" s="16"/>
      <c r="AB606" s="99">
        <v>233.7</v>
      </c>
      <c r="AC606" s="20">
        <v>20.464635103322003</v>
      </c>
      <c r="AD606" s="21">
        <v>46004</v>
      </c>
      <c r="AE606" s="22">
        <v>558099.13105674309</v>
      </c>
      <c r="AF606" s="23">
        <v>342094.98593333364</v>
      </c>
      <c r="AG606" s="24">
        <v>441861.2859333338</v>
      </c>
      <c r="AH606" s="15">
        <v>0.5</v>
      </c>
      <c r="AI606" s="25" t="s">
        <v>683</v>
      </c>
      <c r="AJ606" s="25"/>
      <c r="AK606" s="25"/>
      <c r="AL606" s="25"/>
      <c r="AM606" s="25"/>
      <c r="AN606" s="25">
        <v>-108</v>
      </c>
      <c r="AO606" s="25">
        <v>-111</v>
      </c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>
        <v>-122</v>
      </c>
      <c r="BC606" s="25">
        <v>-108</v>
      </c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>
        <v>-130</v>
      </c>
      <c r="BQ606" s="1">
        <v>100</v>
      </c>
      <c r="BR606" s="1">
        <v>1000</v>
      </c>
      <c r="BS606" s="1">
        <v>1000</v>
      </c>
    </row>
    <row r="607" spans="1:73" ht="15" customHeight="1" x14ac:dyDescent="0.25">
      <c r="A607" s="1">
        <f t="shared" si="39"/>
        <v>267</v>
      </c>
      <c r="B607" s="1" t="str">
        <f t="shared" si="36"/>
        <v xml:space="preserve">San </v>
      </c>
      <c r="C607" s="1">
        <f t="shared" si="37"/>
        <v>0</v>
      </c>
      <c r="D607" s="2" t="str">
        <f t="shared" si="38"/>
        <v>2025-12</v>
      </c>
      <c r="E607" s="3" t="s">
        <v>684</v>
      </c>
      <c r="F607" s="4" t="s">
        <v>529</v>
      </c>
      <c r="G607" s="39">
        <v>46004</v>
      </c>
      <c r="H607" s="40">
        <v>-156</v>
      </c>
      <c r="I607" s="40">
        <v>119</v>
      </c>
      <c r="J607" s="7">
        <v>-102</v>
      </c>
      <c r="K607" s="8">
        <v>0.13208817426977479</v>
      </c>
      <c r="L607" s="9">
        <v>6.6697988987708068E-2</v>
      </c>
      <c r="M607" s="10">
        <v>-133.453125</v>
      </c>
      <c r="N607" s="11">
        <v>1.9803921568627452</v>
      </c>
      <c r="O607" s="12">
        <v>29781.714968335473</v>
      </c>
      <c r="P607" s="32" t="s">
        <v>506</v>
      </c>
      <c r="Q607" s="81" t="s">
        <v>76</v>
      </c>
      <c r="R607" s="82" t="s">
        <v>682</v>
      </c>
      <c r="S607" s="32"/>
      <c r="T607" s="32">
        <v>237</v>
      </c>
      <c r="U607" s="32">
        <v>0</v>
      </c>
      <c r="V607" s="74" t="s">
        <v>77</v>
      </c>
      <c r="W607" s="15"/>
      <c r="X607" s="15"/>
      <c r="Y607" s="16"/>
      <c r="Z607" s="17"/>
      <c r="AA607" s="16"/>
      <c r="AB607" s="99">
        <v>232.35</v>
      </c>
      <c r="AC607" s="20">
        <v>31.304897301936624</v>
      </c>
      <c r="AD607" s="21">
        <v>46004</v>
      </c>
      <c r="AE607" s="22">
        <v>558130.43595404504</v>
      </c>
      <c r="AF607" s="23">
        <v>342327.33593333361</v>
      </c>
      <c r="AG607" s="24">
        <v>442094.98593333381</v>
      </c>
      <c r="AH607" s="15">
        <v>0.5</v>
      </c>
      <c r="AI607" s="25" t="s">
        <v>685</v>
      </c>
      <c r="AJ607" s="25"/>
      <c r="AK607" s="25"/>
      <c r="AL607" s="25"/>
      <c r="AM607" s="25"/>
      <c r="AN607" s="25">
        <v>-156</v>
      </c>
      <c r="AO607" s="25">
        <v>119</v>
      </c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>
        <v>-170</v>
      </c>
      <c r="BQ607" s="1">
        <v>120</v>
      </c>
      <c r="BR607" s="1">
        <v>1000</v>
      </c>
      <c r="BS607" s="1">
        <v>1000</v>
      </c>
      <c r="BT607" s="1">
        <v>-130</v>
      </c>
      <c r="BU607" s="1">
        <v>100</v>
      </c>
    </row>
    <row r="608" spans="1:73" ht="15" customHeight="1" x14ac:dyDescent="0.25">
      <c r="A608" s="1">
        <f t="shared" si="39"/>
        <v>268</v>
      </c>
      <c r="B608" s="1" t="str">
        <f t="shared" si="36"/>
        <v xml:space="preserve">Santa </v>
      </c>
      <c r="C608" s="1">
        <f t="shared" si="37"/>
        <v>0</v>
      </c>
      <c r="D608" s="2" t="str">
        <f t="shared" si="38"/>
        <v>2025-12</v>
      </c>
      <c r="E608" s="3" t="s">
        <v>686</v>
      </c>
      <c r="F608" s="4" t="s">
        <v>529</v>
      </c>
      <c r="G608" s="39">
        <v>46004</v>
      </c>
      <c r="H608" s="40">
        <v>138</v>
      </c>
      <c r="I608" s="40">
        <v>-185</v>
      </c>
      <c r="J608" s="7">
        <v>185</v>
      </c>
      <c r="K608" s="8">
        <v>0.11988142837446578</v>
      </c>
      <c r="L608" s="9">
        <v>4.2063659078759918E-2</v>
      </c>
      <c r="M608" s="10">
        <v>154.49122807017545</v>
      </c>
      <c r="N608" s="11">
        <v>2.85</v>
      </c>
      <c r="O608" s="12">
        <v>14318.283537065141</v>
      </c>
      <c r="P608" s="32" t="s">
        <v>506</v>
      </c>
      <c r="Q608" s="81" t="s">
        <v>81</v>
      </c>
      <c r="R608" s="82" t="s">
        <v>687</v>
      </c>
      <c r="S608" s="32"/>
      <c r="T608" s="32">
        <v>443</v>
      </c>
      <c r="U608" s="32">
        <v>0</v>
      </c>
      <c r="V608" s="74" t="s">
        <v>82</v>
      </c>
      <c r="W608" s="15"/>
      <c r="X608" s="15"/>
      <c r="Y608" s="16"/>
      <c r="Z608" s="17"/>
      <c r="AA608" s="16"/>
      <c r="AB608" s="99">
        <v>-443</v>
      </c>
      <c r="AC608" s="20">
        <v>53.107472769888339</v>
      </c>
      <c r="AD608" s="21">
        <v>46004</v>
      </c>
      <c r="AE608" s="22">
        <v>557937.67392668431</v>
      </c>
      <c r="AF608" s="23">
        <v>341474.06593333365</v>
      </c>
      <c r="AG608" s="24">
        <v>441917.06593333383</v>
      </c>
      <c r="AH608" s="15">
        <v>0.5</v>
      </c>
      <c r="AI608" s="25" t="s">
        <v>688</v>
      </c>
      <c r="AJ608" s="25"/>
      <c r="AK608" s="25"/>
      <c r="AL608" s="25"/>
      <c r="AM608" s="25"/>
      <c r="AN608" s="25">
        <v>138</v>
      </c>
      <c r="AO608" s="25">
        <v>-185</v>
      </c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>
        <v>120</v>
      </c>
      <c r="BQ608" s="1">
        <v>-150</v>
      </c>
      <c r="BR608" s="1">
        <v>1000</v>
      </c>
      <c r="BS608" s="1">
        <v>1000</v>
      </c>
      <c r="BT608" s="1">
        <v>130</v>
      </c>
      <c r="BU608" s="1">
        <v>-166</v>
      </c>
    </row>
    <row r="609" spans="1:73" ht="15" customHeight="1" x14ac:dyDescent="0.25">
      <c r="A609" s="1">
        <f t="shared" si="39"/>
        <v>269</v>
      </c>
      <c r="B609" s="1" t="str">
        <f t="shared" si="36"/>
        <v xml:space="preserve">Toledo </v>
      </c>
      <c r="C609" s="1">
        <f t="shared" si="37"/>
        <v>0</v>
      </c>
      <c r="D609" s="2" t="str">
        <f t="shared" si="38"/>
        <v>2025-12</v>
      </c>
      <c r="E609" s="3" t="s">
        <v>689</v>
      </c>
      <c r="F609" s="4" t="s">
        <v>529</v>
      </c>
      <c r="G609" s="39">
        <v>46004</v>
      </c>
      <c r="H609" s="40">
        <v>-106</v>
      </c>
      <c r="I609" s="40">
        <v>-120</v>
      </c>
      <c r="J609" s="7">
        <v>133</v>
      </c>
      <c r="K609" s="8">
        <v>0.13104912572855951</v>
      </c>
      <c r="L609" s="9">
        <v>5.624425996933885E-2</v>
      </c>
      <c r="M609" s="10">
        <v>106.00343053173242</v>
      </c>
      <c r="N609" s="11">
        <v>2.33</v>
      </c>
      <c r="O609" s="12">
        <v>20699.188023842096</v>
      </c>
      <c r="P609" s="32" t="s">
        <v>506</v>
      </c>
      <c r="Q609" s="81" t="s">
        <v>81</v>
      </c>
      <c r="R609" s="82" t="s">
        <v>690</v>
      </c>
      <c r="S609" s="32"/>
      <c r="T609" s="32">
        <v>308</v>
      </c>
      <c r="U609" s="32">
        <v>0</v>
      </c>
      <c r="V609" s="74" t="s">
        <v>82</v>
      </c>
      <c r="W609" s="15"/>
      <c r="X609" s="15"/>
      <c r="Y609" s="16"/>
      <c r="Z609" s="17"/>
      <c r="AA609" s="16"/>
      <c r="AB609" s="99">
        <v>-308</v>
      </c>
      <c r="AC609" s="20">
        <v>40.363130724396328</v>
      </c>
      <c r="AD609" s="21">
        <v>46004</v>
      </c>
      <c r="AE609" s="22">
        <v>552890.5705278879</v>
      </c>
      <c r="AF609" s="23">
        <v>319838.56593333365</v>
      </c>
      <c r="AG609" s="24">
        <v>420146.56593333383</v>
      </c>
      <c r="AH609" s="15">
        <v>0.5</v>
      </c>
      <c r="AI609" s="25" t="s">
        <v>691</v>
      </c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</row>
    <row r="610" spans="1:73" ht="15" customHeight="1" x14ac:dyDescent="0.25">
      <c r="A610" s="1">
        <f t="shared" si="39"/>
        <v>270</v>
      </c>
      <c r="B610" s="1" t="str">
        <f t="shared" si="36"/>
        <v xml:space="preserve">UC </v>
      </c>
      <c r="C610" s="1">
        <f t="shared" si="37"/>
        <v>1</v>
      </c>
      <c r="D610" s="2" t="str">
        <f t="shared" si="38"/>
        <v>2025-12</v>
      </c>
      <c r="E610" s="3" t="s">
        <v>692</v>
      </c>
      <c r="F610" s="4" t="s">
        <v>529</v>
      </c>
      <c r="G610" s="39">
        <v>46004</v>
      </c>
      <c r="H610" s="40">
        <v>125</v>
      </c>
      <c r="I610" s="40">
        <v>-125</v>
      </c>
      <c r="J610" s="7">
        <v>125</v>
      </c>
      <c r="K610" s="8">
        <v>0</v>
      </c>
      <c r="L610" s="9">
        <v>0</v>
      </c>
      <c r="M610" s="10">
        <v>125.00000000000001</v>
      </c>
      <c r="N610" s="11">
        <v>2.25</v>
      </c>
      <c r="O610" s="12">
        <v>0</v>
      </c>
      <c r="P610" s="32" t="s">
        <v>506</v>
      </c>
      <c r="Q610" s="81" t="s">
        <v>92</v>
      </c>
      <c r="R610" s="82" t="s">
        <v>693</v>
      </c>
      <c r="S610" s="32"/>
      <c r="T610" s="32">
        <v>1000</v>
      </c>
      <c r="U610" s="32">
        <v>0</v>
      </c>
      <c r="V610" s="74" t="s">
        <v>82</v>
      </c>
      <c r="W610" s="15"/>
      <c r="X610" s="15"/>
      <c r="Y610" s="16"/>
      <c r="Z610" s="17"/>
      <c r="AA610" s="16"/>
      <c r="AB610" s="99">
        <v>-1000</v>
      </c>
      <c r="AC610" s="20">
        <v>0</v>
      </c>
      <c r="AD610" s="21">
        <v>46004</v>
      </c>
      <c r="AE610" s="22">
        <v>556810.44188912306</v>
      </c>
      <c r="AF610" s="23">
        <v>340595.24593333364</v>
      </c>
      <c r="AG610" s="24">
        <v>441595.24593333382</v>
      </c>
      <c r="AH610" s="15">
        <v>0.5</v>
      </c>
      <c r="AI610" s="25" t="s">
        <v>694</v>
      </c>
      <c r="AJ610" s="25"/>
      <c r="AK610" s="25"/>
      <c r="AL610" s="25"/>
      <c r="AM610" s="25"/>
      <c r="AN610" s="25">
        <v>217</v>
      </c>
      <c r="AO610" s="25">
        <v>-291</v>
      </c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>
        <v>225</v>
      </c>
      <c r="BC610" s="25">
        <v>-310</v>
      </c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R610" s="1">
        <v>1000</v>
      </c>
      <c r="BS610" s="1">
        <v>1000</v>
      </c>
      <c r="BT610" s="1">
        <v>240</v>
      </c>
      <c r="BU610" s="1">
        <v>-330</v>
      </c>
    </row>
    <row r="611" spans="1:73" ht="15" customHeight="1" x14ac:dyDescent="0.25">
      <c r="A611" s="1">
        <f t="shared" si="39"/>
        <v>270</v>
      </c>
      <c r="B611" s="1" t="str">
        <f t="shared" si="36"/>
        <v xml:space="preserve">UC </v>
      </c>
      <c r="C611" s="1">
        <f t="shared" si="37"/>
        <v>1</v>
      </c>
      <c r="D611" s="2" t="str">
        <f t="shared" si="38"/>
        <v>2025-12</v>
      </c>
      <c r="E611" s="3" t="s">
        <v>695</v>
      </c>
      <c r="F611" s="4" t="s">
        <v>529</v>
      </c>
      <c r="G611" s="39">
        <v>46004</v>
      </c>
      <c r="H611" s="40">
        <v>-106</v>
      </c>
      <c r="I611" s="40">
        <v>-120</v>
      </c>
      <c r="J611" s="7">
        <v>128</v>
      </c>
      <c r="K611" s="8">
        <v>0.10677768526228151</v>
      </c>
      <c r="L611" s="9">
        <v>4.6832318097491887E-2</v>
      </c>
      <c r="M611" s="10">
        <v>106.00343053173242</v>
      </c>
      <c r="N611" s="11">
        <v>2.2800000000000002</v>
      </c>
      <c r="O611" s="12">
        <v>18377.242382158995</v>
      </c>
      <c r="P611" s="32" t="s">
        <v>506</v>
      </c>
      <c r="Q611" s="81" t="s">
        <v>92</v>
      </c>
      <c r="R611" s="82" t="s">
        <v>693</v>
      </c>
      <c r="S611" s="32"/>
      <c r="T611" s="32">
        <v>1099</v>
      </c>
      <c r="U611" s="32">
        <v>0</v>
      </c>
      <c r="V611" s="74" t="s">
        <v>82</v>
      </c>
      <c r="W611" s="15"/>
      <c r="X611" s="15"/>
      <c r="Y611" s="16"/>
      <c r="Z611" s="17"/>
      <c r="AA611" s="16"/>
      <c r="AB611" s="99">
        <v>-1099</v>
      </c>
      <c r="AC611" s="20">
        <v>117.34867610324739</v>
      </c>
      <c r="AD611" s="21">
        <v>46004</v>
      </c>
      <c r="AE611" s="22">
        <v>556927.79056522634</v>
      </c>
      <c r="AF611" s="23">
        <v>339496.24593333364</v>
      </c>
      <c r="AG611" s="24">
        <v>440595.24593333382</v>
      </c>
      <c r="AH611" s="15">
        <v>0.5</v>
      </c>
      <c r="AI611" s="25" t="s">
        <v>696</v>
      </c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</row>
    <row r="612" spans="1:73" ht="15" customHeight="1" x14ac:dyDescent="0.25">
      <c r="A612" s="1">
        <f t="shared" si="39"/>
        <v>271</v>
      </c>
      <c r="B612" s="1" t="str">
        <f t="shared" si="36"/>
        <v xml:space="preserve">Utah </v>
      </c>
      <c r="C612" s="1">
        <f t="shared" si="37"/>
        <v>0</v>
      </c>
      <c r="D612" s="2" t="str">
        <f t="shared" si="38"/>
        <v>2025-12</v>
      </c>
      <c r="E612" s="3" t="s">
        <v>697</v>
      </c>
      <c r="F612" s="4" t="s">
        <v>529</v>
      </c>
      <c r="G612" s="39">
        <v>46004</v>
      </c>
      <c r="H612" s="40">
        <v>125</v>
      </c>
      <c r="I612" s="40">
        <v>125</v>
      </c>
      <c r="J612" s="7">
        <v>118</v>
      </c>
      <c r="K612" s="8">
        <v>8.9999999999999802E-2</v>
      </c>
      <c r="L612" s="9">
        <v>4.128440366972469E-2</v>
      </c>
      <c r="M612" s="10">
        <v>100</v>
      </c>
      <c r="N612" s="11">
        <v>2.1799999999999997</v>
      </c>
      <c r="O612" s="12">
        <v>16021.092429661005</v>
      </c>
      <c r="P612" s="32" t="s">
        <v>506</v>
      </c>
      <c r="Q612" s="81" t="s">
        <v>76</v>
      </c>
      <c r="R612" s="82" t="s">
        <v>698</v>
      </c>
      <c r="S612" s="32"/>
      <c r="T612" s="32">
        <v>208</v>
      </c>
      <c r="U612" s="32">
        <v>0</v>
      </c>
      <c r="V612" s="74" t="s">
        <v>82</v>
      </c>
      <c r="W612" s="15"/>
      <c r="X612" s="15"/>
      <c r="Y612" s="16"/>
      <c r="Z612" s="17"/>
      <c r="AA612" s="16"/>
      <c r="AB612" s="99">
        <v>-208</v>
      </c>
      <c r="AC612" s="20">
        <v>18.71999999999996</v>
      </c>
      <c r="AD612" s="21">
        <v>46004</v>
      </c>
      <c r="AE612" s="22">
        <v>552833.24739716353</v>
      </c>
      <c r="AF612" s="23">
        <v>319900.64593333367</v>
      </c>
      <c r="AG612" s="24">
        <v>420108.64593333384</v>
      </c>
      <c r="AH612" s="15">
        <v>0.5</v>
      </c>
      <c r="AI612" s="25" t="s">
        <v>699</v>
      </c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</row>
    <row r="613" spans="1:73" ht="15" customHeight="1" x14ac:dyDescent="0.25">
      <c r="A613" s="1">
        <f t="shared" si="39"/>
        <v>272</v>
      </c>
      <c r="B613" s="1" t="str">
        <f t="shared" si="36"/>
        <v xml:space="preserve">UTSA </v>
      </c>
      <c r="C613" s="1">
        <f t="shared" si="37"/>
        <v>0</v>
      </c>
      <c r="D613" s="2" t="str">
        <f t="shared" si="38"/>
        <v>2025-12</v>
      </c>
      <c r="E613" s="3" t="s">
        <v>700</v>
      </c>
      <c r="F613" s="4" t="s">
        <v>529</v>
      </c>
      <c r="G613" s="39">
        <v>46004</v>
      </c>
      <c r="H613" s="40">
        <v>-114</v>
      </c>
      <c r="I613" s="40">
        <v>112</v>
      </c>
      <c r="J613" s="7">
        <v>112</v>
      </c>
      <c r="K613" s="8">
        <v>0.12438904494382044</v>
      </c>
      <c r="L613" s="9">
        <v>5.8674077803688884E-2</v>
      </c>
      <c r="M613" s="10">
        <v>-112.93457943925235</v>
      </c>
      <c r="N613" s="11">
        <v>2.12</v>
      </c>
      <c r="O613" s="12">
        <v>24405.58852144724</v>
      </c>
      <c r="P613" s="32" t="s">
        <v>506</v>
      </c>
      <c r="Q613" s="81" t="s">
        <v>76</v>
      </c>
      <c r="R613" s="82" t="s">
        <v>701</v>
      </c>
      <c r="S613" s="32"/>
      <c r="T613" s="32">
        <v>628</v>
      </c>
      <c r="U613" s="32">
        <v>0</v>
      </c>
      <c r="V613" s="74" t="s">
        <v>77</v>
      </c>
      <c r="W613" s="15"/>
      <c r="X613" s="15"/>
      <c r="Y613" s="16"/>
      <c r="Z613" s="17"/>
      <c r="AA613" s="16"/>
      <c r="AB613" s="99">
        <v>703.36</v>
      </c>
      <c r="AC613" s="20">
        <v>78.116320224719232</v>
      </c>
      <c r="AD613" s="21">
        <v>46004</v>
      </c>
      <c r="AE613" s="22">
        <v>557005.90688545106</v>
      </c>
      <c r="AF613" s="23">
        <v>340199.60593333363</v>
      </c>
      <c r="AG613" s="24">
        <v>439496.24593333382</v>
      </c>
      <c r="AH613" s="15">
        <v>0.5</v>
      </c>
      <c r="AI613" s="25" t="s">
        <v>702</v>
      </c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</row>
    <row r="614" spans="1:73" ht="15" customHeight="1" x14ac:dyDescent="0.25">
      <c r="A614" s="1">
        <f t="shared" si="39"/>
        <v>273</v>
      </c>
      <c r="B614" s="1" t="str">
        <f t="shared" si="36"/>
        <v xml:space="preserve">West </v>
      </c>
      <c r="C614" s="1">
        <f t="shared" si="37"/>
        <v>1</v>
      </c>
      <c r="D614" s="2" t="str">
        <f t="shared" si="38"/>
        <v>2025-12</v>
      </c>
      <c r="E614" s="3" t="s">
        <v>703</v>
      </c>
      <c r="F614" s="4" t="s">
        <v>529</v>
      </c>
      <c r="G614" s="39">
        <v>46004</v>
      </c>
      <c r="H614" s="40">
        <v>-124</v>
      </c>
      <c r="I614" s="40">
        <v>-111</v>
      </c>
      <c r="J614" s="7">
        <v>123</v>
      </c>
      <c r="K614" s="8">
        <v>0.14340597319118914</v>
      </c>
      <c r="L614" s="9">
        <v>6.4307611296497369E-2</v>
      </c>
      <c r="M614" s="10">
        <v>-105.22844272844273</v>
      </c>
      <c r="N614" s="11">
        <v>2.23</v>
      </c>
      <c r="O614" s="12">
        <v>25719.410433564575</v>
      </c>
      <c r="P614" s="32" t="s">
        <v>506</v>
      </c>
      <c r="Q614" s="81" t="s">
        <v>92</v>
      </c>
      <c r="R614" s="82" t="s">
        <v>704</v>
      </c>
      <c r="S614" s="32"/>
      <c r="T614" s="32">
        <v>400</v>
      </c>
      <c r="U614" s="32">
        <v>0</v>
      </c>
      <c r="V614" s="74" t="s">
        <v>77</v>
      </c>
      <c r="W614" s="15"/>
      <c r="X614" s="15"/>
      <c r="Y614" s="16"/>
      <c r="Z614" s="17"/>
      <c r="AA614" s="16"/>
      <c r="AB614" s="99">
        <v>492</v>
      </c>
      <c r="AC614" s="20">
        <v>57.362389276475653</v>
      </c>
      <c r="AD614" s="21">
        <v>46004</v>
      </c>
      <c r="AE614" s="22">
        <v>557750.01194546232</v>
      </c>
      <c r="AF614" s="23">
        <v>341685.26593333366</v>
      </c>
      <c r="AG614" s="24">
        <v>441193.26593333384</v>
      </c>
      <c r="AH614" s="15">
        <v>0.5</v>
      </c>
      <c r="AI614" s="25" t="s">
        <v>705</v>
      </c>
      <c r="AJ614" s="25"/>
      <c r="AK614" s="25"/>
      <c r="AL614" s="25"/>
      <c r="AM614" s="25"/>
      <c r="AN614" s="25">
        <v>-124</v>
      </c>
      <c r="AO614" s="25">
        <v>-111</v>
      </c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>
        <v>-112</v>
      </c>
      <c r="BC614" s="25">
        <v>-118</v>
      </c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R614" s="1">
        <v>1000</v>
      </c>
      <c r="BS614" s="1">
        <v>1000</v>
      </c>
      <c r="BT614" s="1">
        <v>-110</v>
      </c>
      <c r="BU614" s="1">
        <v>-120</v>
      </c>
    </row>
    <row r="615" spans="1:73" ht="15" customHeight="1" x14ac:dyDescent="0.25">
      <c r="A615" s="1">
        <f t="shared" si="39"/>
        <v>274</v>
      </c>
      <c r="B615" s="1" t="str">
        <f t="shared" si="36"/>
        <v xml:space="preserve">Bethune </v>
      </c>
      <c r="C615" s="1">
        <f t="shared" si="37"/>
        <v>1</v>
      </c>
      <c r="D615" s="2" t="str">
        <f t="shared" si="38"/>
        <v>2025-12</v>
      </c>
      <c r="E615" s="3" t="s">
        <v>706</v>
      </c>
      <c r="F615" s="4" t="s">
        <v>707</v>
      </c>
      <c r="G615" s="39">
        <v>46005</v>
      </c>
      <c r="H615" s="40">
        <v>-140</v>
      </c>
      <c r="I615" s="40">
        <v>101</v>
      </c>
      <c r="J615" s="7">
        <v>102</v>
      </c>
      <c r="K615" s="8">
        <v>9.0195627157652281E-2</v>
      </c>
      <c r="L615" s="9">
        <v>4.4651300573095187E-2</v>
      </c>
      <c r="M615" s="10">
        <v>-117.24999999999994</v>
      </c>
      <c r="N615" s="11">
        <v>2.02</v>
      </c>
      <c r="O615" s="12">
        <v>20042.544332258531</v>
      </c>
      <c r="P615" s="32" t="s">
        <v>506</v>
      </c>
      <c r="Q615" s="81" t="s">
        <v>92</v>
      </c>
      <c r="R615" s="82" t="s">
        <v>708</v>
      </c>
      <c r="S615" s="32"/>
      <c r="T615" s="32">
        <v>588</v>
      </c>
      <c r="U615" s="32">
        <v>0</v>
      </c>
      <c r="V615" s="74" t="s">
        <v>77</v>
      </c>
      <c r="W615" s="15"/>
      <c r="X615" s="15"/>
      <c r="Y615" s="16"/>
      <c r="Z615" s="17"/>
      <c r="AA615" s="16"/>
      <c r="AB615" s="99">
        <v>599.76</v>
      </c>
      <c r="AC615" s="20">
        <v>53.03502876869954</v>
      </c>
      <c r="AD615" s="21">
        <v>46005</v>
      </c>
      <c r="AE615" s="22">
        <v>561284.39489125868</v>
      </c>
      <c r="AF615" s="23">
        <v>353912.09593333368</v>
      </c>
      <c r="AG615" s="24">
        <v>453312.33593333384</v>
      </c>
      <c r="AH615" s="15">
        <v>0.5</v>
      </c>
      <c r="AI615" s="25" t="s">
        <v>709</v>
      </c>
      <c r="AJ615" s="25"/>
      <c r="AK615" s="25"/>
      <c r="AL615" s="25"/>
      <c r="AM615" s="25"/>
      <c r="AN615" s="25">
        <v>-140</v>
      </c>
      <c r="AO615" s="25">
        <v>101</v>
      </c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>
        <v>-132</v>
      </c>
      <c r="BC615" s="25">
        <v>100</v>
      </c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R615" s="1">
        <v>1000</v>
      </c>
      <c r="BS615" s="1">
        <v>1000</v>
      </c>
    </row>
    <row r="616" spans="1:73" ht="15" customHeight="1" x14ac:dyDescent="0.25">
      <c r="A616" s="1">
        <f t="shared" si="39"/>
        <v>275</v>
      </c>
      <c r="B616" s="1" t="str">
        <f t="shared" si="36"/>
        <v xml:space="preserve">Campbell </v>
      </c>
      <c r="C616" s="1">
        <f t="shared" si="37"/>
        <v>0</v>
      </c>
      <c r="D616" s="2" t="str">
        <f t="shared" si="38"/>
        <v>2025-12</v>
      </c>
      <c r="E616" s="3" t="s">
        <v>710</v>
      </c>
      <c r="F616" s="4" t="s">
        <v>707</v>
      </c>
      <c r="G616" s="39">
        <v>46005</v>
      </c>
      <c r="H616" s="40">
        <v>130</v>
      </c>
      <c r="I616" s="40">
        <v>-130</v>
      </c>
      <c r="J616" s="7">
        <v>163</v>
      </c>
      <c r="K616" s="8">
        <v>0.14347826086956525</v>
      </c>
      <c r="L616" s="9">
        <v>5.4554471813522909E-2</v>
      </c>
      <c r="M616" s="10">
        <v>129.99999999999997</v>
      </c>
      <c r="N616" s="11">
        <v>2.63</v>
      </c>
      <c r="O616" s="12">
        <v>20029.011370765566</v>
      </c>
      <c r="P616" s="32" t="s">
        <v>506</v>
      </c>
      <c r="Q616" s="81" t="s">
        <v>81</v>
      </c>
      <c r="R616" s="82" t="s">
        <v>711</v>
      </c>
      <c r="S616" s="32"/>
      <c r="T616" s="32">
        <v>613</v>
      </c>
      <c r="U616" s="32">
        <v>0</v>
      </c>
      <c r="V616" s="74" t="s">
        <v>77</v>
      </c>
      <c r="W616" s="15"/>
      <c r="X616" s="15"/>
      <c r="Y616" s="16"/>
      <c r="Z616" s="17"/>
      <c r="AA616" s="16"/>
      <c r="AB616" s="99">
        <v>999.19</v>
      </c>
      <c r="AC616" s="20">
        <v>87.952173913043495</v>
      </c>
      <c r="AD616" s="21">
        <v>46005</v>
      </c>
      <c r="AE616" s="22">
        <v>562624.36135691789</v>
      </c>
      <c r="AF616" s="23">
        <v>356082.60593333369</v>
      </c>
      <c r="AG616" s="24">
        <v>455083.41593333386</v>
      </c>
      <c r="AH616" s="15">
        <v>0.5</v>
      </c>
      <c r="AI616" s="25" t="s">
        <v>712</v>
      </c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</row>
    <row r="617" spans="1:73" ht="15" customHeight="1" x14ac:dyDescent="0.25">
      <c r="A617" s="1">
        <f t="shared" si="39"/>
        <v>276</v>
      </c>
      <c r="B617" s="1" t="str">
        <f t="shared" si="36"/>
        <v xml:space="preserve">Charlotte </v>
      </c>
      <c r="C617" s="1">
        <f t="shared" si="37"/>
        <v>0</v>
      </c>
      <c r="D617" s="2" t="str">
        <f t="shared" si="38"/>
        <v>2025-12</v>
      </c>
      <c r="E617" s="3" t="s">
        <v>713</v>
      </c>
      <c r="F617" s="4" t="s">
        <v>707</v>
      </c>
      <c r="G617" s="39">
        <v>46005</v>
      </c>
      <c r="H617" s="40">
        <v>-112</v>
      </c>
      <c r="I617" s="40">
        <v>112</v>
      </c>
      <c r="J617" s="7">
        <v>110</v>
      </c>
      <c r="K617" s="8">
        <v>0.10943396226415099</v>
      </c>
      <c r="L617" s="9">
        <v>5.211141060197666E-2</v>
      </c>
      <c r="M617" s="10">
        <v>-112</v>
      </c>
      <c r="N617" s="11">
        <v>2.1</v>
      </c>
      <c r="O617" s="12">
        <v>22967.547139050912</v>
      </c>
      <c r="P617" s="32" t="s">
        <v>506</v>
      </c>
      <c r="Q617" s="81" t="s">
        <v>76</v>
      </c>
      <c r="R617" s="82" t="s">
        <v>714</v>
      </c>
      <c r="S617" s="32"/>
      <c r="T617" s="32">
        <v>590</v>
      </c>
      <c r="U617" s="32">
        <v>0</v>
      </c>
      <c r="V617" s="74" t="s">
        <v>82</v>
      </c>
      <c r="W617" s="15"/>
      <c r="X617" s="15"/>
      <c r="Y617" s="16"/>
      <c r="Z617" s="17"/>
      <c r="AA617" s="16"/>
      <c r="AB617" s="99">
        <v>-590</v>
      </c>
      <c r="AC617" s="20">
        <v>64.566037735849079</v>
      </c>
      <c r="AD617" s="21">
        <v>46005</v>
      </c>
      <c r="AE617" s="22">
        <v>563731.9113468196</v>
      </c>
      <c r="AF617" s="23">
        <v>361136.89593333355</v>
      </c>
      <c r="AG617" s="24">
        <v>461726.89593333373</v>
      </c>
      <c r="AH617" s="15">
        <v>0.5</v>
      </c>
      <c r="AI617" s="25" t="s">
        <v>715</v>
      </c>
      <c r="AJ617" s="25"/>
      <c r="AK617" s="25"/>
      <c r="AL617" s="25"/>
      <c r="AM617" s="25"/>
      <c r="AN617" s="25">
        <v>-124</v>
      </c>
      <c r="AO617" s="25">
        <v>-106</v>
      </c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>
        <v>-122</v>
      </c>
      <c r="BC617" s="25">
        <v>-108</v>
      </c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R617" s="1">
        <v>1000</v>
      </c>
      <c r="BS617" s="1">
        <v>1000</v>
      </c>
    </row>
    <row r="618" spans="1:73" ht="15" customHeight="1" x14ac:dyDescent="0.25">
      <c r="A618" s="1">
        <f t="shared" si="39"/>
        <v>277</v>
      </c>
      <c r="B618" s="1" t="str">
        <f t="shared" si="36"/>
        <v xml:space="preserve">Los </v>
      </c>
      <c r="C618" s="1">
        <f t="shared" si="37"/>
        <v>0</v>
      </c>
      <c r="D618" s="2" t="str">
        <f t="shared" si="38"/>
        <v>2025-12</v>
      </c>
      <c r="E618" s="3" t="s">
        <v>716</v>
      </c>
      <c r="F618" s="4" t="s">
        <v>707</v>
      </c>
      <c r="G618" s="39">
        <v>46005</v>
      </c>
      <c r="H618" s="40">
        <v>-136</v>
      </c>
      <c r="I618" s="40">
        <v>106</v>
      </c>
      <c r="J618" s="7">
        <v>125</v>
      </c>
      <c r="K618" s="8">
        <v>0.22124922504649724</v>
      </c>
      <c r="L618" s="9">
        <v>9.8332988909554331E-2</v>
      </c>
      <c r="M618" s="10">
        <v>-118.71186440677965</v>
      </c>
      <c r="N618" s="11">
        <v>2.25</v>
      </c>
      <c r="O618" s="12">
        <v>41807.708978291004</v>
      </c>
      <c r="P618" s="32" t="s">
        <v>506</v>
      </c>
      <c r="Q618" s="81" t="s">
        <v>81</v>
      </c>
      <c r="R618" s="82" t="s">
        <v>717</v>
      </c>
      <c r="S618" s="32"/>
      <c r="T618" s="32">
        <v>656</v>
      </c>
      <c r="U618" s="32">
        <v>0</v>
      </c>
      <c r="V618" s="74" t="s">
        <v>77</v>
      </c>
      <c r="W618" s="15"/>
      <c r="X618" s="15"/>
      <c r="Y618" s="16"/>
      <c r="Z618" s="17"/>
      <c r="AA618" s="16"/>
      <c r="AB618" s="99">
        <v>820</v>
      </c>
      <c r="AC618" s="20">
        <v>145.13949163050219</v>
      </c>
      <c r="AD618" s="21">
        <v>46005</v>
      </c>
      <c r="AE618" s="22">
        <v>572503.25029905548</v>
      </c>
      <c r="AF618" s="23">
        <v>373225.14593333355</v>
      </c>
      <c r="AG618" s="24">
        <v>472405.14593333373</v>
      </c>
      <c r="AH618" s="15">
        <v>0.5</v>
      </c>
      <c r="AI618" s="25" t="s">
        <v>718</v>
      </c>
      <c r="AJ618" s="25">
        <v>-145</v>
      </c>
      <c r="AK618" s="25">
        <v>7000</v>
      </c>
      <c r="AL618" s="25">
        <v>122</v>
      </c>
      <c r="AM618" s="25">
        <v>7000</v>
      </c>
      <c r="AN618" s="25">
        <v>-156</v>
      </c>
      <c r="AO618" s="25">
        <v>127</v>
      </c>
      <c r="AP618" s="25"/>
      <c r="AQ618" s="25"/>
      <c r="AR618" s="25"/>
      <c r="AS618" s="25"/>
      <c r="AT618" s="25"/>
      <c r="AU618" s="25"/>
      <c r="AV618" s="25"/>
      <c r="AW618" s="25"/>
      <c r="AX618" s="25">
        <v>-381</v>
      </c>
      <c r="AY618" s="25">
        <v>574000</v>
      </c>
      <c r="AZ618" s="25">
        <v>-290</v>
      </c>
      <c r="BA618" s="25">
        <v>585000</v>
      </c>
      <c r="BB618" s="25">
        <v>-215</v>
      </c>
      <c r="BC618" s="25">
        <v>158</v>
      </c>
      <c r="BD618" s="25"/>
      <c r="BE618" s="25"/>
      <c r="BF618" s="25">
        <v>-150</v>
      </c>
      <c r="BG618" s="25">
        <v>115</v>
      </c>
      <c r="BH618" s="25"/>
      <c r="BI618" s="25"/>
      <c r="BJ618" s="25"/>
      <c r="BK618" s="25"/>
      <c r="BL618" s="25"/>
      <c r="BM618" s="25"/>
      <c r="BN618" s="25"/>
      <c r="BO618" s="25"/>
      <c r="BP618" s="25"/>
    </row>
    <row r="619" spans="1:73" ht="15" customHeight="1" x14ac:dyDescent="0.25">
      <c r="A619" s="1">
        <f t="shared" si="39"/>
        <v>278</v>
      </c>
      <c r="B619" s="1" t="str">
        <f t="shared" si="36"/>
        <v xml:space="preserve">Monmouth </v>
      </c>
      <c r="C619" s="1">
        <f t="shared" si="37"/>
        <v>0</v>
      </c>
      <c r="D619" s="2" t="str">
        <f t="shared" si="38"/>
        <v>2025-12</v>
      </c>
      <c r="E619" s="3" t="s">
        <v>719</v>
      </c>
      <c r="F619" s="4" t="s">
        <v>707</v>
      </c>
      <c r="G619" s="39">
        <v>46005</v>
      </c>
      <c r="H619" s="40">
        <v>-141</v>
      </c>
      <c r="I619" s="40">
        <v>105</v>
      </c>
      <c r="J619" s="7">
        <v>105</v>
      </c>
      <c r="K619" s="8">
        <v>0.11791812093198728</v>
      </c>
      <c r="L619" s="9">
        <v>5.7521034600969412E-2</v>
      </c>
      <c r="M619" s="10">
        <v>-119.93775933609955</v>
      </c>
      <c r="N619" s="11">
        <v>2.0499999999999998</v>
      </c>
      <c r="O619" s="12">
        <v>25736.26642290991</v>
      </c>
      <c r="P619" s="32" t="s">
        <v>506</v>
      </c>
      <c r="Q619" s="81" t="s">
        <v>76</v>
      </c>
      <c r="R619" s="82" t="s">
        <v>720</v>
      </c>
      <c r="S619" s="32"/>
      <c r="T619" s="32">
        <v>572</v>
      </c>
      <c r="U619" s="32">
        <v>0</v>
      </c>
      <c r="V619" s="74" t="s">
        <v>82</v>
      </c>
      <c r="W619" s="15"/>
      <c r="X619" s="15"/>
      <c r="Y619" s="16"/>
      <c r="Z619" s="17"/>
      <c r="AA619" s="16"/>
      <c r="AB619" s="99">
        <v>-572</v>
      </c>
      <c r="AC619" s="20">
        <v>67.449165173096731</v>
      </c>
      <c r="AD619" s="21">
        <v>46005</v>
      </c>
      <c r="AE619" s="22">
        <v>560764.06392095855</v>
      </c>
      <c r="AF619" s="23">
        <v>357764.33593333367</v>
      </c>
      <c r="AG619" s="24">
        <v>458336.33593333384</v>
      </c>
      <c r="AH619" s="15">
        <v>0.5</v>
      </c>
      <c r="AI619" s="25" t="s">
        <v>721</v>
      </c>
      <c r="AJ619" s="25">
        <v>-141</v>
      </c>
      <c r="AK619" s="25">
        <v>1500</v>
      </c>
      <c r="AL619" s="25">
        <v>105</v>
      </c>
      <c r="AM619" s="25">
        <v>1500</v>
      </c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>
        <v>-114</v>
      </c>
      <c r="BC619" s="25">
        <v>-114</v>
      </c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>
        <v>-150</v>
      </c>
      <c r="BQ619" s="1">
        <v>110</v>
      </c>
      <c r="BT619" s="1">
        <v>-140</v>
      </c>
      <c r="BU619" s="1">
        <v>110</v>
      </c>
    </row>
    <row r="620" spans="1:73" ht="15" customHeight="1" x14ac:dyDescent="0.25">
      <c r="A620" s="1">
        <f t="shared" si="39"/>
        <v>279</v>
      </c>
      <c r="B620" s="1" t="str">
        <f t="shared" si="36"/>
        <v xml:space="preserve">Sacramento </v>
      </c>
      <c r="C620" s="1">
        <f t="shared" si="37"/>
        <v>0</v>
      </c>
      <c r="D620" s="2" t="str">
        <f t="shared" si="38"/>
        <v>2025-12</v>
      </c>
      <c r="E620" s="3" t="s">
        <v>722</v>
      </c>
      <c r="F620" s="4" t="s">
        <v>707</v>
      </c>
      <c r="G620" s="39">
        <v>46005</v>
      </c>
      <c r="H620" s="40">
        <v>460</v>
      </c>
      <c r="I620" s="40">
        <v>-460</v>
      </c>
      <c r="J620" s="7">
        <v>460</v>
      </c>
      <c r="K620" s="8">
        <v>0</v>
      </c>
      <c r="L620" s="9">
        <v>0</v>
      </c>
      <c r="M620" s="10">
        <v>459.99999999999994</v>
      </c>
      <c r="N620" s="11">
        <v>5.6</v>
      </c>
      <c r="O620" s="12">
        <v>0</v>
      </c>
      <c r="P620" s="32" t="s">
        <v>506</v>
      </c>
      <c r="Q620" s="81" t="s">
        <v>81</v>
      </c>
      <c r="R620" s="82" t="s">
        <v>723</v>
      </c>
      <c r="S620" s="32"/>
      <c r="T620" s="32">
        <v>267</v>
      </c>
      <c r="U620" s="32">
        <v>0</v>
      </c>
      <c r="V620" s="74" t="s">
        <v>82</v>
      </c>
      <c r="W620" s="15"/>
      <c r="X620" s="15"/>
      <c r="Y620" s="16"/>
      <c r="Z620" s="17"/>
      <c r="AA620" s="16"/>
      <c r="AB620" s="99">
        <v>-267</v>
      </c>
      <c r="AC620" s="20">
        <v>0</v>
      </c>
      <c r="AD620" s="21">
        <v>46005</v>
      </c>
      <c r="AE620" s="22">
        <v>571616.94184872427</v>
      </c>
      <c r="AF620" s="23">
        <v>370936.73593333358</v>
      </c>
      <c r="AG620" s="24">
        <v>471203.73593333375</v>
      </c>
      <c r="AH620" s="15">
        <v>0.5</v>
      </c>
      <c r="AI620" s="25" t="s">
        <v>724</v>
      </c>
      <c r="AJ620" s="25">
        <v>295</v>
      </c>
      <c r="AK620" s="25">
        <v>2000</v>
      </c>
      <c r="AL620" s="25">
        <v>-450</v>
      </c>
      <c r="AM620" s="25">
        <v>2000</v>
      </c>
      <c r="AN620" s="25">
        <v>338</v>
      </c>
      <c r="AO620" s="25">
        <v>-494</v>
      </c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>
        <v>320</v>
      </c>
      <c r="BC620" s="25">
        <v>-460</v>
      </c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>
        <v>320</v>
      </c>
      <c r="BQ620" s="1">
        <v>-450</v>
      </c>
      <c r="BR620" s="1">
        <v>1000</v>
      </c>
      <c r="BS620" s="1">
        <v>1000</v>
      </c>
      <c r="BT620" s="1">
        <v>280</v>
      </c>
      <c r="BU620" s="1">
        <v>-395</v>
      </c>
    </row>
    <row r="621" spans="1:73" ht="15" customHeight="1" x14ac:dyDescent="0.25">
      <c r="A621" s="1">
        <f t="shared" si="39"/>
        <v>280</v>
      </c>
      <c r="B621" s="1" t="str">
        <f t="shared" si="36"/>
        <v xml:space="preserve">Troy </v>
      </c>
      <c r="C621" s="1">
        <f t="shared" si="37"/>
        <v>0</v>
      </c>
      <c r="D621" s="2" t="str">
        <f t="shared" si="38"/>
        <v>2025-12</v>
      </c>
      <c r="E621" s="3" t="s">
        <v>725</v>
      </c>
      <c r="F621" s="4" t="s">
        <v>707</v>
      </c>
      <c r="G621" s="39">
        <v>46005</v>
      </c>
      <c r="H621" s="40">
        <v>-139</v>
      </c>
      <c r="I621" s="40">
        <v>103</v>
      </c>
      <c r="J621" s="7">
        <v>117</v>
      </c>
      <c r="K621" s="8">
        <v>0.1748736496728516</v>
      </c>
      <c r="L621" s="9">
        <v>8.0586935333111342E-2</v>
      </c>
      <c r="M621" s="10">
        <v>-118.06276150627617</v>
      </c>
      <c r="N621" s="11">
        <v>2.17</v>
      </c>
      <c r="O621" s="12">
        <v>34084.11532131071</v>
      </c>
      <c r="P621" s="32" t="s">
        <v>506</v>
      </c>
      <c r="Q621" s="81" t="s">
        <v>76</v>
      </c>
      <c r="R621" s="82" t="s">
        <v>726</v>
      </c>
      <c r="S621" s="32"/>
      <c r="T621" s="32">
        <v>555</v>
      </c>
      <c r="U621" s="32">
        <v>0</v>
      </c>
      <c r="V621" s="74" t="s">
        <v>77</v>
      </c>
      <c r="W621" s="15"/>
      <c r="X621" s="15"/>
      <c r="Y621" s="16"/>
      <c r="Z621" s="17"/>
      <c r="AA621" s="16"/>
      <c r="AB621" s="99">
        <v>649.35</v>
      </c>
      <c r="AC621" s="20">
        <v>97.054875568432635</v>
      </c>
      <c r="AD621" s="21">
        <v>46005</v>
      </c>
      <c r="AE621" s="22">
        <v>562721.41623248637</v>
      </c>
      <c r="AF621" s="23">
        <v>356731.95593333367</v>
      </c>
      <c r="AG621" s="24">
        <v>456082.60593333386</v>
      </c>
      <c r="AH621" s="15">
        <v>0.5</v>
      </c>
      <c r="AI621" s="25" t="s">
        <v>727</v>
      </c>
      <c r="AJ621" s="25">
        <v>-139</v>
      </c>
      <c r="AK621" s="25">
        <v>1500</v>
      </c>
      <c r="AL621" s="25">
        <v>103</v>
      </c>
      <c r="AM621" s="25">
        <v>1500</v>
      </c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>
        <v>-130</v>
      </c>
      <c r="BC621" s="25">
        <v>-102</v>
      </c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>
        <v>-115</v>
      </c>
      <c r="BQ621" s="1">
        <v>-115</v>
      </c>
    </row>
    <row r="622" spans="1:73" ht="15" customHeight="1" x14ac:dyDescent="0.25">
      <c r="A622" s="1">
        <f t="shared" si="39"/>
        <v>281</v>
      </c>
      <c r="B622" s="1" t="str">
        <f t="shared" si="36"/>
        <v xml:space="preserve">Washington </v>
      </c>
      <c r="C622" s="1">
        <f t="shared" si="37"/>
        <v>1</v>
      </c>
      <c r="D622" s="2" t="str">
        <f t="shared" si="38"/>
        <v>2025-12</v>
      </c>
      <c r="E622" s="3" t="s">
        <v>728</v>
      </c>
      <c r="F622" s="4" t="s">
        <v>707</v>
      </c>
      <c r="G622" s="39">
        <v>46005</v>
      </c>
      <c r="H622" s="40">
        <v>-132</v>
      </c>
      <c r="I622" s="40">
        <v>100</v>
      </c>
      <c r="J622" s="7">
        <v>114</v>
      </c>
      <c r="K622" s="8">
        <v>0.13903225806451594</v>
      </c>
      <c r="L622" s="9">
        <v>6.4968344889960727E-2</v>
      </c>
      <c r="M622" s="10">
        <v>-113.79310344827584</v>
      </c>
      <c r="N622" s="11">
        <v>2.1399999999999997</v>
      </c>
      <c r="O622" s="12">
        <v>28701.181265883792</v>
      </c>
      <c r="P622" s="32" t="s">
        <v>506</v>
      </c>
      <c r="Q622" s="81" t="s">
        <v>92</v>
      </c>
      <c r="R622" s="82" t="s">
        <v>729</v>
      </c>
      <c r="S622" s="32"/>
      <c r="T622" s="32">
        <v>216</v>
      </c>
      <c r="U622" s="32">
        <v>0</v>
      </c>
      <c r="V622" s="74" t="s">
        <v>82</v>
      </c>
      <c r="W622" s="15"/>
      <c r="X622" s="15"/>
      <c r="Y622" s="16"/>
      <c r="Z622" s="17"/>
      <c r="AA622" s="16"/>
      <c r="AB622" s="99">
        <v>-216</v>
      </c>
      <c r="AC622" s="20">
        <v>30.030967741935441</v>
      </c>
      <c r="AD622" s="21">
        <v>46005</v>
      </c>
      <c r="AE622" s="22">
        <v>571965.054946032</v>
      </c>
      <c r="AF622" s="23">
        <v>370456.73593333358</v>
      </c>
      <c r="AG622" s="24">
        <v>470672.73593333375</v>
      </c>
      <c r="AH622" s="15">
        <v>0.5</v>
      </c>
      <c r="AI622" s="25" t="s">
        <v>730</v>
      </c>
      <c r="AJ622" s="25">
        <v>-121</v>
      </c>
      <c r="AK622" s="25">
        <v>3100</v>
      </c>
      <c r="AL622" s="25">
        <v>-101</v>
      </c>
      <c r="AM622" s="25">
        <v>3100</v>
      </c>
      <c r="AN622" s="25"/>
      <c r="AO622" s="25"/>
      <c r="AP622" s="25"/>
      <c r="AQ622" s="25"/>
      <c r="AR622" s="25"/>
      <c r="AS622" s="25"/>
      <c r="AT622" s="25">
        <v>-138</v>
      </c>
      <c r="AU622" s="25">
        <v>86000</v>
      </c>
      <c r="AV622" s="25">
        <v>106</v>
      </c>
      <c r="AW622" s="25">
        <v>72000</v>
      </c>
      <c r="AX622" s="25"/>
      <c r="AY622" s="25"/>
      <c r="AZ622" s="25"/>
      <c r="BA622" s="25"/>
      <c r="BB622" s="25">
        <v>-168</v>
      </c>
      <c r="BC622" s="25">
        <v>126</v>
      </c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</row>
    <row r="623" spans="1:73" ht="15" customHeight="1" x14ac:dyDescent="0.25">
      <c r="A623" s="1">
        <f t="shared" si="39"/>
        <v>282</v>
      </c>
      <c r="B623" s="1" t="str">
        <f t="shared" si="36"/>
        <v xml:space="preserve">Detroit </v>
      </c>
      <c r="C623" s="1">
        <f t="shared" si="37"/>
        <v>1</v>
      </c>
      <c r="D623" s="2" t="str">
        <f t="shared" si="38"/>
        <v>2025-12</v>
      </c>
      <c r="E623" s="3" t="s">
        <v>731</v>
      </c>
      <c r="F623" s="4" t="s">
        <v>707</v>
      </c>
      <c r="G623" s="39">
        <v>46006</v>
      </c>
      <c r="H623" s="40">
        <v>100</v>
      </c>
      <c r="I623" s="40">
        <v>-132</v>
      </c>
      <c r="J623" s="7">
        <v>123</v>
      </c>
      <c r="K623" s="8">
        <v>4.3064516129032032E-2</v>
      </c>
      <c r="L623" s="9">
        <v>1.9311442210328267E-2</v>
      </c>
      <c r="M623" s="10">
        <v>113.7931034482759</v>
      </c>
      <c r="N623" s="11">
        <v>2.23</v>
      </c>
      <c r="O623" s="12">
        <v>8273.8865043403785</v>
      </c>
      <c r="P623" s="32" t="s">
        <v>506</v>
      </c>
      <c r="Q623" s="81" t="s">
        <v>92</v>
      </c>
      <c r="R623" s="82" t="s">
        <v>732</v>
      </c>
      <c r="S623" s="32"/>
      <c r="T623" s="32">
        <v>114</v>
      </c>
      <c r="U623" s="32">
        <v>0</v>
      </c>
      <c r="V623" s="74" t="s">
        <v>77</v>
      </c>
      <c r="W623" s="15"/>
      <c r="X623" s="15"/>
      <c r="Y623" s="16"/>
      <c r="Z623" s="17"/>
      <c r="AA623" s="16"/>
      <c r="AB623" s="99">
        <v>140.22</v>
      </c>
      <c r="AC623" s="20">
        <v>4.9093548387096515</v>
      </c>
      <c r="AD623" s="21">
        <v>46006</v>
      </c>
      <c r="AE623" s="22">
        <v>572592.87985824561</v>
      </c>
      <c r="AF623" s="23">
        <v>372774.36593333352</v>
      </c>
      <c r="AG623" s="24">
        <v>472634.14593333373</v>
      </c>
      <c r="AH623" s="15">
        <v>0.5</v>
      </c>
      <c r="AI623" s="25" t="s">
        <v>733</v>
      </c>
      <c r="AJ623" s="25">
        <v>-130</v>
      </c>
      <c r="AK623" s="25">
        <v>7000</v>
      </c>
      <c r="AL623" s="25">
        <v>109</v>
      </c>
      <c r="AM623" s="25">
        <v>7000</v>
      </c>
      <c r="AN623" s="25">
        <v>-129</v>
      </c>
      <c r="AO623" s="25">
        <v>100</v>
      </c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>
        <v>-102</v>
      </c>
      <c r="BC623" s="25">
        <v>-130</v>
      </c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</row>
    <row r="624" spans="1:73" ht="15" customHeight="1" x14ac:dyDescent="0.25">
      <c r="A624" s="1">
        <f t="shared" si="39"/>
        <v>282</v>
      </c>
      <c r="B624" s="1" t="str">
        <f t="shared" si="36"/>
        <v xml:space="preserve">Detroit </v>
      </c>
      <c r="C624" s="1">
        <f t="shared" si="37"/>
        <v>1</v>
      </c>
      <c r="D624" s="2" t="str">
        <f t="shared" si="38"/>
        <v>2025-12</v>
      </c>
      <c r="E624" s="3" t="s">
        <v>734</v>
      </c>
      <c r="F624" s="4" t="s">
        <v>707</v>
      </c>
      <c r="G624" s="39">
        <v>46006</v>
      </c>
      <c r="H624" s="40">
        <v>210</v>
      </c>
      <c r="I624" s="40">
        <v>-210</v>
      </c>
      <c r="J624" s="7">
        <v>210</v>
      </c>
      <c r="K624" s="8">
        <v>0</v>
      </c>
      <c r="L624" s="9">
        <v>0</v>
      </c>
      <c r="M624" s="10">
        <v>210.00000000000003</v>
      </c>
      <c r="N624" s="11">
        <v>3.1</v>
      </c>
      <c r="O624" s="12">
        <v>0</v>
      </c>
      <c r="P624" s="32" t="s">
        <v>506</v>
      </c>
      <c r="Q624" s="81" t="s">
        <v>92</v>
      </c>
      <c r="R624" s="82" t="s">
        <v>732</v>
      </c>
      <c r="S624" s="32"/>
      <c r="T624" s="32">
        <v>67</v>
      </c>
      <c r="U624" s="32">
        <v>0</v>
      </c>
      <c r="V624" s="74" t="s">
        <v>77</v>
      </c>
      <c r="W624" s="15"/>
      <c r="X624" s="15"/>
      <c r="Y624" s="16"/>
      <c r="Z624" s="17"/>
      <c r="AA624" s="16"/>
      <c r="AB624" s="99">
        <v>140.69999999999999</v>
      </c>
      <c r="AC624" s="20">
        <v>0</v>
      </c>
      <c r="AD624" s="21">
        <v>46006</v>
      </c>
      <c r="AE624" s="22">
        <v>572592.87985824561</v>
      </c>
      <c r="AF624" s="23">
        <v>372915.06593333354</v>
      </c>
      <c r="AG624" s="24">
        <v>472774.3659333337</v>
      </c>
      <c r="AH624" s="15">
        <v>0.5</v>
      </c>
      <c r="AI624" s="25" t="s">
        <v>735</v>
      </c>
      <c r="AJ624" s="25">
        <v>-126</v>
      </c>
      <c r="AK624" s="25">
        <v>7000</v>
      </c>
      <c r="AL624" s="25">
        <v>102</v>
      </c>
      <c r="AM624" s="25">
        <v>7000</v>
      </c>
      <c r="AN624" s="25"/>
      <c r="AO624" s="25"/>
      <c r="AP624" s="25"/>
      <c r="AQ624" s="25"/>
      <c r="AR624" s="25"/>
      <c r="AS624" s="25"/>
      <c r="AT624" s="25">
        <v>-141</v>
      </c>
      <c r="AU624" s="25">
        <v>406000</v>
      </c>
      <c r="AV624" s="25">
        <v>108</v>
      </c>
      <c r="AW624" s="25">
        <v>332000</v>
      </c>
      <c r="AX624" s="25"/>
      <c r="AY624" s="25"/>
      <c r="AZ624" s="25"/>
      <c r="BA624" s="25"/>
      <c r="BB624" s="25">
        <v>-172</v>
      </c>
      <c r="BC624" s="25">
        <v>128</v>
      </c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</row>
    <row r="625" spans="1:73" ht="15" customHeight="1" x14ac:dyDescent="0.25">
      <c r="A625" s="1">
        <f t="shared" si="39"/>
        <v>283</v>
      </c>
      <c r="B625" s="1" t="str">
        <f t="shared" si="36"/>
        <v xml:space="preserve">Cleveland </v>
      </c>
      <c r="C625" s="1">
        <f t="shared" si="37"/>
        <v>0</v>
      </c>
      <c r="D625" s="2" t="str">
        <f t="shared" si="38"/>
        <v>2025-12</v>
      </c>
      <c r="E625" s="3" t="s">
        <v>736</v>
      </c>
      <c r="F625" s="4" t="s">
        <v>737</v>
      </c>
      <c r="G625" s="39">
        <v>46016</v>
      </c>
      <c r="H625" s="40">
        <v>-116</v>
      </c>
      <c r="I625" s="40">
        <v>-110</v>
      </c>
      <c r="J625" s="7">
        <v>110</v>
      </c>
      <c r="K625" s="8">
        <v>6.3092269326683353E-2</v>
      </c>
      <c r="L625" s="9">
        <v>3.0043937774611118E-2</v>
      </c>
      <c r="M625" s="10">
        <v>-102.52525252525253</v>
      </c>
      <c r="N625" s="11">
        <v>2.1</v>
      </c>
      <c r="O625" s="12">
        <v>13139.775993100604</v>
      </c>
      <c r="P625" s="32" t="s">
        <v>506</v>
      </c>
      <c r="Q625" s="81" t="s">
        <v>76</v>
      </c>
      <c r="R625" s="82" t="s">
        <v>738</v>
      </c>
      <c r="S625" s="32">
        <v>1052</v>
      </c>
      <c r="T625" s="32">
        <v>736.4</v>
      </c>
      <c r="U625" s="32">
        <v>736.4</v>
      </c>
      <c r="V625" s="74" t="s">
        <v>82</v>
      </c>
      <c r="W625" s="15"/>
      <c r="X625" s="15"/>
      <c r="Y625" s="16"/>
      <c r="Z625" s="17"/>
      <c r="AA625" s="16"/>
      <c r="AB625" s="99">
        <v>-736.4</v>
      </c>
      <c r="AC625" s="20">
        <v>46.461147132169621</v>
      </c>
      <c r="AD625" s="21">
        <v>46016</v>
      </c>
      <c r="AE625" s="22">
        <v>579273.99853242119</v>
      </c>
      <c r="AF625" s="23">
        <v>357441.87593333353</v>
      </c>
      <c r="AG625" s="24">
        <v>458178.27593333373</v>
      </c>
      <c r="AH625" s="15">
        <v>0.5</v>
      </c>
      <c r="AI625" s="25" t="s">
        <v>739</v>
      </c>
      <c r="AJ625" s="25"/>
      <c r="AK625" s="25"/>
      <c r="AL625" s="25"/>
      <c r="AM625" s="25"/>
      <c r="AN625" s="25">
        <v>-116</v>
      </c>
      <c r="AO625" s="25">
        <v>-110</v>
      </c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>
        <v>-125</v>
      </c>
      <c r="BC625" s="25">
        <v>-106</v>
      </c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>
        <v>110</v>
      </c>
      <c r="BQ625" s="1">
        <v>-149</v>
      </c>
      <c r="BR625" s="1">
        <v>1000</v>
      </c>
      <c r="BS625" s="1">
        <v>1000</v>
      </c>
      <c r="BT625" s="1">
        <v>-120</v>
      </c>
      <c r="BU625" s="1">
        <v>-110</v>
      </c>
    </row>
    <row r="626" spans="1:73" ht="15" customHeight="1" x14ac:dyDescent="0.25">
      <c r="A626" s="1">
        <f t="shared" si="39"/>
        <v>284</v>
      </c>
      <c r="B626" s="1" t="str">
        <f t="shared" si="36"/>
        <v xml:space="preserve">Cleveland </v>
      </c>
      <c r="C626" s="1">
        <f t="shared" si="37"/>
        <v>1</v>
      </c>
      <c r="D626" s="2" t="str">
        <f t="shared" si="38"/>
        <v>2025-12</v>
      </c>
      <c r="E626" s="3" t="s">
        <v>740</v>
      </c>
      <c r="F626" s="4" t="s">
        <v>737</v>
      </c>
      <c r="G626" s="39">
        <v>46016</v>
      </c>
      <c r="H626" s="40">
        <v>-102</v>
      </c>
      <c r="I626" s="40">
        <v>-126</v>
      </c>
      <c r="J626" s="36">
        <v>155</v>
      </c>
      <c r="K626" s="8">
        <v>0.21191241959426005</v>
      </c>
      <c r="L626" s="9">
        <v>8.3102909644807876E-2</v>
      </c>
      <c r="M626" s="10">
        <v>110.41124414367521</v>
      </c>
      <c r="N626" s="11">
        <v>2.5499999999999998</v>
      </c>
      <c r="O626" s="12">
        <v>31346.04244590642</v>
      </c>
      <c r="P626" s="32" t="s">
        <v>506</v>
      </c>
      <c r="Q626" s="81" t="s">
        <v>92</v>
      </c>
      <c r="R626" s="82" t="s">
        <v>738</v>
      </c>
      <c r="S626" s="32">
        <v>533</v>
      </c>
      <c r="T626" s="32">
        <v>373.09999999999997</v>
      </c>
      <c r="U626" s="32">
        <v>373.09999999999997</v>
      </c>
      <c r="V626" s="74" t="s">
        <v>82</v>
      </c>
      <c r="W626" s="15"/>
      <c r="X626" s="15"/>
      <c r="Y626" s="16"/>
      <c r="Z626" s="17"/>
      <c r="AA626" s="16"/>
      <c r="AB626" s="99">
        <v>-373.09999999999997</v>
      </c>
      <c r="AC626" s="20">
        <v>79.06452375061842</v>
      </c>
      <c r="AD626" s="21">
        <v>46016</v>
      </c>
      <c r="AE626" s="22">
        <v>579227.53738528898</v>
      </c>
      <c r="AF626" s="23">
        <v>358178.27593333356</v>
      </c>
      <c r="AG626" s="24">
        <v>458551.37593333371</v>
      </c>
      <c r="AH626" s="15">
        <v>0.5</v>
      </c>
      <c r="AI626" s="25" t="s">
        <v>741</v>
      </c>
      <c r="AJ626" s="25"/>
      <c r="AK626" s="25"/>
      <c r="AL626" s="25"/>
      <c r="AM626" s="25"/>
      <c r="AN626" s="25">
        <v>-102</v>
      </c>
      <c r="AO626" s="25">
        <v>-126</v>
      </c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R626" s="1">
        <v>1000</v>
      </c>
      <c r="BS626" s="1">
        <v>1000</v>
      </c>
    </row>
    <row r="627" spans="1:73" ht="15" customHeight="1" x14ac:dyDescent="0.25">
      <c r="A627" s="1">
        <f t="shared" si="39"/>
        <v>285</v>
      </c>
      <c r="B627" s="1" t="str">
        <f t="shared" si="36"/>
        <v xml:space="preserve">Dallas </v>
      </c>
      <c r="C627" s="1">
        <f t="shared" si="37"/>
        <v>0</v>
      </c>
      <c r="D627" s="2" t="str">
        <f t="shared" si="38"/>
        <v>2025-12</v>
      </c>
      <c r="E627" s="3" t="s">
        <v>742</v>
      </c>
      <c r="F627" s="4" t="s">
        <v>737</v>
      </c>
      <c r="G627" s="39">
        <v>46016</v>
      </c>
      <c r="H627" s="40">
        <v>1010</v>
      </c>
      <c r="I627" s="40">
        <v>-2103</v>
      </c>
      <c r="J627" s="36">
        <v>4000</v>
      </c>
      <c r="K627" s="8">
        <v>2.5356587842466434</v>
      </c>
      <c r="L627" s="9">
        <v>6.1845336201137642E-2</v>
      </c>
      <c r="M627" s="10">
        <v>1059.6141625056739</v>
      </c>
      <c r="N627" s="11">
        <v>41</v>
      </c>
      <c r="O627" s="12">
        <v>14307.271993783244</v>
      </c>
      <c r="P627" s="32" t="s">
        <v>506</v>
      </c>
      <c r="Q627" s="81" t="s">
        <v>81</v>
      </c>
      <c r="R627" s="82" t="s">
        <v>743</v>
      </c>
      <c r="S627" s="32">
        <v>25</v>
      </c>
      <c r="T627" s="32">
        <v>17.5</v>
      </c>
      <c r="U627" s="32">
        <v>17.5</v>
      </c>
      <c r="V627" s="74" t="s">
        <v>82</v>
      </c>
      <c r="W627" s="15"/>
      <c r="X627" s="15"/>
      <c r="Y627" s="16"/>
      <c r="Z627" s="17"/>
      <c r="AA627" s="16"/>
      <c r="AB627" s="99">
        <v>-17.5</v>
      </c>
      <c r="AC627" s="20">
        <v>44.374028724316261</v>
      </c>
      <c r="AD627" s="21">
        <v>46016</v>
      </c>
      <c r="AE627" s="22">
        <v>580327.28580011055</v>
      </c>
      <c r="AF627" s="23">
        <v>351376.73593333358</v>
      </c>
      <c r="AG627" s="24">
        <v>451394.23593333375</v>
      </c>
      <c r="AH627" s="15">
        <v>0.5</v>
      </c>
      <c r="AI627" s="25" t="s">
        <v>744</v>
      </c>
      <c r="AJ627" s="25">
        <v>1010</v>
      </c>
      <c r="AK627" s="25">
        <v>400</v>
      </c>
      <c r="AL627" s="25">
        <v>-2703</v>
      </c>
      <c r="AM627" s="25">
        <v>400</v>
      </c>
      <c r="AN627" s="25">
        <v>849</v>
      </c>
      <c r="AO627" s="25">
        <v>-2103</v>
      </c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>
        <v>1700</v>
      </c>
      <c r="BC627" s="25">
        <v>-10000</v>
      </c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R627" s="1">
        <v>1000</v>
      </c>
      <c r="BS627" s="1">
        <v>1000</v>
      </c>
      <c r="BT627" s="1">
        <v>2200</v>
      </c>
      <c r="BU627" s="1">
        <v>-10000</v>
      </c>
    </row>
    <row r="628" spans="1:73" ht="15" customHeight="1" x14ac:dyDescent="0.25">
      <c r="A628" s="1">
        <f t="shared" si="39"/>
        <v>286</v>
      </c>
      <c r="B628" s="1" t="str">
        <f t="shared" si="36"/>
        <v xml:space="preserve">Golden </v>
      </c>
      <c r="C628" s="1">
        <f t="shared" si="37"/>
        <v>0</v>
      </c>
      <c r="D628" s="2" t="str">
        <f t="shared" si="38"/>
        <v>2025-12</v>
      </c>
      <c r="E628" s="3" t="s">
        <v>745</v>
      </c>
      <c r="F628" s="4" t="s">
        <v>737</v>
      </c>
      <c r="G628" s="39">
        <v>46016</v>
      </c>
      <c r="H628" s="40">
        <v>154</v>
      </c>
      <c r="I628" s="40">
        <v>-205</v>
      </c>
      <c r="J628" s="36">
        <v>205</v>
      </c>
      <c r="K628" s="8">
        <v>0.12661983771345528</v>
      </c>
      <c r="L628" s="9">
        <v>4.1514700889657474E-2</v>
      </c>
      <c r="M628" s="10">
        <v>170.72131147540981</v>
      </c>
      <c r="N628" s="11">
        <v>3.05</v>
      </c>
      <c r="O628" s="12">
        <v>13939.816841831193</v>
      </c>
      <c r="P628" s="32" t="s">
        <v>506</v>
      </c>
      <c r="Q628" s="81" t="s">
        <v>81</v>
      </c>
      <c r="R628" s="82" t="s">
        <v>746</v>
      </c>
      <c r="S628" s="32">
        <v>170</v>
      </c>
      <c r="T628" s="32">
        <v>118.99999999999999</v>
      </c>
      <c r="U628" s="32">
        <v>118.99999999999999</v>
      </c>
      <c r="V628" s="74" t="s">
        <v>82</v>
      </c>
      <c r="W628" s="15"/>
      <c r="X628" s="15"/>
      <c r="Y628" s="16"/>
      <c r="Z628" s="17"/>
      <c r="AA628" s="16"/>
      <c r="AB628" s="99">
        <v>-118.99999999999999</v>
      </c>
      <c r="AC628" s="20">
        <v>15.067760687901176</v>
      </c>
      <c r="AD628" s="21">
        <v>46016</v>
      </c>
      <c r="AE628" s="22">
        <v>580342.35356079845</v>
      </c>
      <c r="AF628" s="23">
        <v>351257.73593333358</v>
      </c>
      <c r="AG628" s="24">
        <v>451376.73593333375</v>
      </c>
      <c r="AH628" s="15">
        <v>0.5</v>
      </c>
      <c r="AI628" s="25" t="s">
        <v>747</v>
      </c>
      <c r="AJ628" s="25">
        <v>1010</v>
      </c>
      <c r="AK628" s="25">
        <v>400</v>
      </c>
      <c r="AL628" s="25">
        <v>-2703</v>
      </c>
      <c r="AM628" s="25">
        <v>400</v>
      </c>
      <c r="AN628" s="25">
        <v>849</v>
      </c>
      <c r="AO628" s="25">
        <v>-2103</v>
      </c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>
        <v>1700</v>
      </c>
      <c r="BC628" s="25">
        <v>-10000</v>
      </c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R628" s="1">
        <v>1000</v>
      </c>
      <c r="BS628" s="1">
        <v>1000</v>
      </c>
      <c r="BT628" s="1">
        <v>2200</v>
      </c>
      <c r="BU628" s="1">
        <v>-10000</v>
      </c>
    </row>
    <row r="629" spans="1:73" ht="15" customHeight="1" x14ac:dyDescent="0.25">
      <c r="A629" s="1">
        <f t="shared" si="39"/>
        <v>287</v>
      </c>
      <c r="B629" s="1" t="str">
        <f t="shared" si="36"/>
        <v xml:space="preserve">Houston </v>
      </c>
      <c r="C629" s="1">
        <f t="shared" si="37"/>
        <v>0</v>
      </c>
      <c r="D629" s="2" t="str">
        <f t="shared" si="38"/>
        <v>2025-12</v>
      </c>
      <c r="E629" s="3" t="s">
        <v>748</v>
      </c>
      <c r="F629" s="4" t="s">
        <v>737</v>
      </c>
      <c r="G629" s="39">
        <v>46016</v>
      </c>
      <c r="H629" s="40">
        <v>172</v>
      </c>
      <c r="I629" s="40">
        <v>-210</v>
      </c>
      <c r="J629" s="36">
        <v>215</v>
      </c>
      <c r="K629" s="8">
        <v>0.10814798002723598</v>
      </c>
      <c r="L629" s="9">
        <v>3.4332692072138404E-2</v>
      </c>
      <c r="M629" s="10">
        <v>184.25806451612897</v>
      </c>
      <c r="N629" s="11">
        <v>3.15</v>
      </c>
      <c r="O629" s="12">
        <v>11349.444793686955</v>
      </c>
      <c r="P629" s="32" t="s">
        <v>506</v>
      </c>
      <c r="Q629" s="81" t="s">
        <v>76</v>
      </c>
      <c r="R629" s="82" t="s">
        <v>530</v>
      </c>
      <c r="S629" s="32">
        <v>725</v>
      </c>
      <c r="T629" s="32">
        <v>507.49999999999994</v>
      </c>
      <c r="U629" s="32">
        <v>507.49999999999994</v>
      </c>
      <c r="V629" s="74" t="s">
        <v>77</v>
      </c>
      <c r="W629" s="15"/>
      <c r="X629" s="15"/>
      <c r="Y629" s="16"/>
      <c r="Z629" s="17"/>
      <c r="AA629" s="16"/>
      <c r="AB629" s="99">
        <v>1091.1300000000001</v>
      </c>
      <c r="AC629" s="20">
        <v>54.885099863822255</v>
      </c>
      <c r="AD629" s="21">
        <v>46016</v>
      </c>
      <c r="AE629" s="22">
        <v>580397.23866066232</v>
      </c>
      <c r="AF629" s="23">
        <v>352348.86593333358</v>
      </c>
      <c r="AG629" s="24">
        <v>451257.73593333375</v>
      </c>
      <c r="AH629" s="15">
        <v>0.5</v>
      </c>
      <c r="AI629" s="25" t="s">
        <v>749</v>
      </c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</row>
    <row r="630" spans="1:73" ht="15" customHeight="1" x14ac:dyDescent="0.25">
      <c r="A630" s="1">
        <f t="shared" si="39"/>
        <v>287</v>
      </c>
      <c r="B630" s="1" t="str">
        <f t="shared" si="36"/>
        <v xml:space="preserve">Houston </v>
      </c>
      <c r="C630" s="1">
        <f t="shared" si="37"/>
        <v>0</v>
      </c>
      <c r="D630" s="2" t="str">
        <f t="shared" si="38"/>
        <v>2025-12</v>
      </c>
      <c r="E630" s="3" t="s">
        <v>750</v>
      </c>
      <c r="F630" s="4" t="s">
        <v>737</v>
      </c>
      <c r="G630" s="39">
        <v>46016</v>
      </c>
      <c r="H630" s="40">
        <v>145</v>
      </c>
      <c r="I630" s="40">
        <v>-176</v>
      </c>
      <c r="J630" s="36">
        <v>180</v>
      </c>
      <c r="K630" s="8">
        <v>9.2760180995474936E-2</v>
      </c>
      <c r="L630" s="9">
        <v>3.3128636069812478E-2</v>
      </c>
      <c r="M630" s="10">
        <v>156.23188405797106</v>
      </c>
      <c r="N630" s="11">
        <v>2.8</v>
      </c>
      <c r="O630" s="12">
        <v>11655.545188076076</v>
      </c>
      <c r="P630" s="32" t="s">
        <v>506</v>
      </c>
      <c r="Q630" s="81" t="s">
        <v>751</v>
      </c>
      <c r="R630" s="82" t="s">
        <v>530</v>
      </c>
      <c r="S630" s="32">
        <v>390</v>
      </c>
      <c r="T630" s="32">
        <v>273</v>
      </c>
      <c r="U630" s="32">
        <v>273</v>
      </c>
      <c r="V630" s="74" t="s">
        <v>77</v>
      </c>
      <c r="W630" s="15"/>
      <c r="X630" s="15"/>
      <c r="Y630" s="16"/>
      <c r="Z630" s="17"/>
      <c r="AA630" s="16"/>
      <c r="AB630" s="99">
        <v>491.4</v>
      </c>
      <c r="AC630" s="20">
        <v>25.323529411764657</v>
      </c>
      <c r="AD630" s="21">
        <v>46016</v>
      </c>
      <c r="AE630" s="22">
        <v>580422.56219007412</v>
      </c>
      <c r="AF630" s="23">
        <v>352840.26593333361</v>
      </c>
      <c r="AG630" s="24">
        <v>452348.86593333376</v>
      </c>
      <c r="AH630" s="15">
        <v>0.5</v>
      </c>
      <c r="AI630" s="25" t="s">
        <v>752</v>
      </c>
      <c r="AJ630" s="25">
        <v>145</v>
      </c>
      <c r="AK630" s="25">
        <v>2000</v>
      </c>
      <c r="AL630" s="25">
        <v>-176</v>
      </c>
      <c r="AM630" s="25">
        <v>2000</v>
      </c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>
        <v>130</v>
      </c>
      <c r="BC630" s="25">
        <v>-166</v>
      </c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T630" s="1">
        <v>135</v>
      </c>
      <c r="BU630" s="1">
        <v>-175</v>
      </c>
    </row>
    <row r="631" spans="1:73" ht="15" customHeight="1" x14ac:dyDescent="0.25">
      <c r="A631" s="1">
        <f t="shared" si="39"/>
        <v>287</v>
      </c>
      <c r="B631" s="1" t="str">
        <f t="shared" si="36"/>
        <v xml:space="preserve">Houston </v>
      </c>
      <c r="C631" s="1">
        <f t="shared" si="37"/>
        <v>0</v>
      </c>
      <c r="D631" s="2" t="str">
        <f t="shared" si="38"/>
        <v>2025-12</v>
      </c>
      <c r="E631" s="3" t="s">
        <v>753</v>
      </c>
      <c r="F631" s="4" t="s">
        <v>737</v>
      </c>
      <c r="G631" s="39">
        <v>46016</v>
      </c>
      <c r="H631" s="40">
        <v>102</v>
      </c>
      <c r="I631" s="40">
        <v>-117</v>
      </c>
      <c r="J631" s="7">
        <v>128</v>
      </c>
      <c r="K631" s="8">
        <v>9.136630343671405E-2</v>
      </c>
      <c r="L631" s="9">
        <v>4.0072940103821952E-2</v>
      </c>
      <c r="M631" s="10">
        <v>108.91244239631337</v>
      </c>
      <c r="N631" s="11">
        <v>2.2800000000000002</v>
      </c>
      <c r="O631" s="12">
        <v>16161.852010010643</v>
      </c>
      <c r="P631" s="32" t="s">
        <v>506</v>
      </c>
      <c r="Q631" s="81" t="s">
        <v>76</v>
      </c>
      <c r="R631" s="82" t="s">
        <v>530</v>
      </c>
      <c r="S631" s="32">
        <v>1275</v>
      </c>
      <c r="T631" s="32">
        <v>892.5</v>
      </c>
      <c r="U631" s="32">
        <v>892.5</v>
      </c>
      <c r="V631" s="74" t="s">
        <v>77</v>
      </c>
      <c r="W631" s="15"/>
      <c r="X631" s="15"/>
      <c r="Y631" s="16"/>
      <c r="Z631" s="17"/>
      <c r="AA631" s="16"/>
      <c r="AB631" s="99">
        <v>1142.4000000000001</v>
      </c>
      <c r="AC631" s="20">
        <v>81.544425817267296</v>
      </c>
      <c r="AD631" s="21">
        <v>46016</v>
      </c>
      <c r="AE631" s="22">
        <v>580504.10661589145</v>
      </c>
      <c r="AF631" s="23">
        <v>353982.66593333363</v>
      </c>
      <c r="AG631" s="24">
        <v>452840.26593333378</v>
      </c>
      <c r="AH631" s="15">
        <v>0.5</v>
      </c>
      <c r="AI631" s="25" t="s">
        <v>754</v>
      </c>
      <c r="AJ631" s="25">
        <v>102</v>
      </c>
      <c r="AK631" s="25">
        <v>10000</v>
      </c>
      <c r="AL631" s="25">
        <v>-117</v>
      </c>
      <c r="AM631" s="25">
        <v>10000</v>
      </c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>
        <v>-108</v>
      </c>
      <c r="BC631" s="25">
        <v>-122</v>
      </c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T631" s="1">
        <v>105</v>
      </c>
      <c r="BU631" s="1">
        <v>-140</v>
      </c>
    </row>
    <row r="632" spans="1:73" ht="15" customHeight="1" x14ac:dyDescent="0.25">
      <c r="A632" s="1">
        <f t="shared" si="39"/>
        <v>287</v>
      </c>
      <c r="B632" s="1" t="str">
        <f t="shared" si="36"/>
        <v xml:space="preserve">Houston </v>
      </c>
      <c r="C632" s="1">
        <f t="shared" si="37"/>
        <v>0</v>
      </c>
      <c r="D632" s="2" t="str">
        <f t="shared" si="38"/>
        <v>2025-12</v>
      </c>
      <c r="E632" s="3" t="s">
        <v>755</v>
      </c>
      <c r="F632" s="4" t="s">
        <v>737</v>
      </c>
      <c r="G632" s="39">
        <v>46016</v>
      </c>
      <c r="H632" s="40">
        <v>-116</v>
      </c>
      <c r="I632" s="40">
        <v>101</v>
      </c>
      <c r="J632" s="7">
        <v>108</v>
      </c>
      <c r="K632" s="8">
        <v>7.9732834624632723E-2</v>
      </c>
      <c r="L632" s="9">
        <v>3.8333093569534959E-2</v>
      </c>
      <c r="M632" s="10">
        <v>-107.94444444444443</v>
      </c>
      <c r="N632" s="11">
        <v>2.08</v>
      </c>
      <c r="O632" s="12">
        <v>16758.020752459437</v>
      </c>
      <c r="P632" s="32" t="s">
        <v>506</v>
      </c>
      <c r="Q632" s="81" t="s">
        <v>76</v>
      </c>
      <c r="R632" s="82" t="s">
        <v>530</v>
      </c>
      <c r="S632" s="32">
        <v>1525</v>
      </c>
      <c r="T632" s="32">
        <v>1067.5</v>
      </c>
      <c r="U632" s="32">
        <v>1067.5</v>
      </c>
      <c r="V632" s="74" t="s">
        <v>77</v>
      </c>
      <c r="W632" s="15"/>
      <c r="X632" s="15"/>
      <c r="Y632" s="16"/>
      <c r="Z632" s="17"/>
      <c r="AA632" s="16"/>
      <c r="AB632" s="99">
        <v>1152.9000000000001</v>
      </c>
      <c r="AC632" s="20">
        <v>85.114800961795439</v>
      </c>
      <c r="AD632" s="21">
        <v>46016</v>
      </c>
      <c r="AE632" s="22">
        <v>580589.22141685325</v>
      </c>
      <c r="AF632" s="23">
        <v>355135.56593333365</v>
      </c>
      <c r="AG632" s="24">
        <v>453982.6659333338</v>
      </c>
      <c r="AH632" s="15">
        <v>0.5</v>
      </c>
      <c r="AI632" s="25" t="s">
        <v>756</v>
      </c>
      <c r="AJ632" s="25">
        <v>-116</v>
      </c>
      <c r="AK632" s="25">
        <v>10000</v>
      </c>
      <c r="AL632" s="25">
        <v>101</v>
      </c>
      <c r="AM632" s="25">
        <v>10000</v>
      </c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>
        <v>-130</v>
      </c>
      <c r="BC632" s="25">
        <v>-102</v>
      </c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>
        <v>-135</v>
      </c>
      <c r="BQ632" s="1">
        <v>-105</v>
      </c>
      <c r="BT632" s="1">
        <v>-120</v>
      </c>
      <c r="BU632" s="1">
        <v>-110</v>
      </c>
    </row>
    <row r="633" spans="1:73" ht="15" customHeight="1" x14ac:dyDescent="0.25">
      <c r="A633" s="1">
        <f t="shared" si="39"/>
        <v>287</v>
      </c>
      <c r="B633" s="1" t="str">
        <f t="shared" si="36"/>
        <v xml:space="preserve">Houston </v>
      </c>
      <c r="C633" s="1">
        <f t="shared" si="37"/>
        <v>0</v>
      </c>
      <c r="D633" s="2" t="str">
        <f t="shared" si="38"/>
        <v>2025-12</v>
      </c>
      <c r="E633" s="3" t="s">
        <v>757</v>
      </c>
      <c r="F633" s="4" t="s">
        <v>737</v>
      </c>
      <c r="G633" s="39">
        <v>46016</v>
      </c>
      <c r="H633" s="40">
        <v>-102</v>
      </c>
      <c r="I633" s="40">
        <v>-132</v>
      </c>
      <c r="J633" s="7">
        <v>140</v>
      </c>
      <c r="K633" s="8">
        <v>0.12846924177396249</v>
      </c>
      <c r="L633" s="9">
        <v>5.3528850739151035E-2</v>
      </c>
      <c r="M633" s="10">
        <v>112.67748478701829</v>
      </c>
      <c r="N633" s="11">
        <v>2.4</v>
      </c>
      <c r="O633" s="12">
        <v>20307.639396491559</v>
      </c>
      <c r="P633" s="32" t="s">
        <v>506</v>
      </c>
      <c r="Q633" s="81" t="s">
        <v>76</v>
      </c>
      <c r="R633" s="82" t="s">
        <v>530</v>
      </c>
      <c r="S633" s="32">
        <v>1178</v>
      </c>
      <c r="T633" s="32">
        <v>824.59999999999991</v>
      </c>
      <c r="U633" s="32">
        <v>824.59999999999991</v>
      </c>
      <c r="V633" s="74" t="s">
        <v>77</v>
      </c>
      <c r="W633" s="15"/>
      <c r="X633" s="15"/>
      <c r="Y633" s="16"/>
      <c r="Z633" s="17"/>
      <c r="AA633" s="16"/>
      <c r="AB633" s="99">
        <v>1154.44</v>
      </c>
      <c r="AC633" s="20">
        <v>105.93573676680946</v>
      </c>
      <c r="AD633" s="21">
        <v>46016</v>
      </c>
      <c r="AE633" s="22">
        <v>582592.00764111441</v>
      </c>
      <c r="AF633" s="23">
        <v>343761.47593333363</v>
      </c>
      <c r="AG633" s="24">
        <v>442607.0359333338</v>
      </c>
      <c r="AH633" s="15">
        <v>0.5</v>
      </c>
      <c r="AI633" s="25" t="s">
        <v>758</v>
      </c>
      <c r="AJ633" s="25">
        <v>-102</v>
      </c>
      <c r="AK633" s="25">
        <v>1200</v>
      </c>
      <c r="AL633" s="25">
        <v>-132</v>
      </c>
      <c r="AM633" s="25">
        <v>1200</v>
      </c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>
        <v>-108</v>
      </c>
      <c r="BC633" s="25">
        <v>-122</v>
      </c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>
        <v>120</v>
      </c>
      <c r="BQ633" s="1">
        <v>-170</v>
      </c>
      <c r="BT633" s="1">
        <v>155</v>
      </c>
      <c r="BU633" s="1">
        <v>-210</v>
      </c>
    </row>
    <row r="634" spans="1:73" ht="15" customHeight="1" x14ac:dyDescent="0.25">
      <c r="A634" s="1">
        <f t="shared" si="39"/>
        <v>288</v>
      </c>
      <c r="B634" s="1" t="str">
        <f t="shared" si="36"/>
        <v xml:space="preserve">Houston </v>
      </c>
      <c r="C634" s="1">
        <f t="shared" si="37"/>
        <v>1</v>
      </c>
      <c r="D634" s="2" t="str">
        <f t="shared" si="38"/>
        <v>2025-12</v>
      </c>
      <c r="E634" s="3" t="s">
        <v>759</v>
      </c>
      <c r="F634" s="4" t="s">
        <v>737</v>
      </c>
      <c r="G634" s="39">
        <v>46016</v>
      </c>
      <c r="H634" s="40">
        <v>-130</v>
      </c>
      <c r="I634" s="40">
        <v>101</v>
      </c>
      <c r="J634" s="7">
        <v>116</v>
      </c>
      <c r="K634" s="8">
        <v>0.14880521066558103</v>
      </c>
      <c r="L634" s="9">
        <v>6.8891301234065283E-2</v>
      </c>
      <c r="M634" s="10">
        <v>-113.60869565217388</v>
      </c>
      <c r="N634" s="11">
        <v>2.16</v>
      </c>
      <c r="O634" s="12">
        <v>28356.602900375277</v>
      </c>
      <c r="P634" s="32" t="s">
        <v>506</v>
      </c>
      <c r="Q634" s="81" t="s">
        <v>92</v>
      </c>
      <c r="R634" s="82" t="s">
        <v>530</v>
      </c>
      <c r="S634" s="32">
        <v>620</v>
      </c>
      <c r="T634" s="32">
        <v>434</v>
      </c>
      <c r="U634" s="32">
        <v>434</v>
      </c>
      <c r="V634" s="74" t="s">
        <v>77</v>
      </c>
      <c r="W634" s="15"/>
      <c r="X634" s="15"/>
      <c r="Y634" s="16"/>
      <c r="Z634" s="17"/>
      <c r="AA634" s="16"/>
      <c r="AB634" s="99">
        <v>503.44</v>
      </c>
      <c r="AC634" s="20">
        <v>64.58146142886217</v>
      </c>
      <c r="AD634" s="21">
        <v>46016</v>
      </c>
      <c r="AE634" s="22">
        <v>582486.07190434763</v>
      </c>
      <c r="AF634" s="23">
        <v>342607.03593333362</v>
      </c>
      <c r="AG634" s="24">
        <v>442103.5959333338</v>
      </c>
      <c r="AH634" s="15">
        <v>0.5</v>
      </c>
      <c r="AI634" s="25" t="s">
        <v>760</v>
      </c>
      <c r="AJ634" s="25"/>
      <c r="AK634" s="25"/>
      <c r="AL634" s="25"/>
      <c r="AM634" s="25"/>
      <c r="AN634" s="25">
        <v>-130</v>
      </c>
      <c r="AO634" s="25">
        <v>101</v>
      </c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>
        <v>-128</v>
      </c>
      <c r="BC634" s="25">
        <v>104</v>
      </c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>
        <v>-120</v>
      </c>
      <c r="BQ634" s="1">
        <v>-110</v>
      </c>
      <c r="BR634" s="1">
        <v>1000</v>
      </c>
      <c r="BS634" s="1">
        <v>1000</v>
      </c>
      <c r="BT634" s="1">
        <v>-135</v>
      </c>
      <c r="BU634" s="1">
        <v>100</v>
      </c>
    </row>
    <row r="635" spans="1:73" ht="15" customHeight="1" x14ac:dyDescent="0.25">
      <c r="A635" s="1">
        <f t="shared" si="39"/>
        <v>289</v>
      </c>
      <c r="B635" s="1" t="str">
        <f t="shared" si="36"/>
        <v xml:space="preserve">Detroit </v>
      </c>
      <c r="C635" s="1">
        <f t="shared" si="37"/>
        <v>0</v>
      </c>
      <c r="D635" s="2" t="str">
        <f t="shared" si="38"/>
        <v>2025-12</v>
      </c>
      <c r="E635" s="3" t="s">
        <v>761</v>
      </c>
      <c r="F635" s="4" t="s">
        <v>737</v>
      </c>
      <c r="G635" s="39">
        <v>46017</v>
      </c>
      <c r="H635" s="40">
        <v>161</v>
      </c>
      <c r="I635" s="40">
        <v>-209</v>
      </c>
      <c r="J635" s="7">
        <v>215</v>
      </c>
      <c r="K635" s="8">
        <v>0.13910051609732116</v>
      </c>
      <c r="L635" s="9">
        <v>4.4158893999149573E-2</v>
      </c>
      <c r="M635" s="10">
        <v>176.53398058252429</v>
      </c>
      <c r="N635" s="11">
        <v>3.15</v>
      </c>
      <c r="O635" s="12">
        <v>14661.685645765592</v>
      </c>
      <c r="P635" s="32" t="s">
        <v>506</v>
      </c>
      <c r="Q635" s="81" t="s">
        <v>81</v>
      </c>
      <c r="R635" s="82" t="s">
        <v>762</v>
      </c>
      <c r="S635" s="32">
        <v>289</v>
      </c>
      <c r="T635" s="32">
        <v>202.29999999999998</v>
      </c>
      <c r="U635" s="32">
        <v>202.29999999999998</v>
      </c>
      <c r="V635" s="74" t="s">
        <v>82</v>
      </c>
      <c r="W635" s="15"/>
      <c r="X635" s="15"/>
      <c r="Y635" s="16"/>
      <c r="Z635" s="17"/>
      <c r="AA635" s="16"/>
      <c r="AB635" s="99">
        <v>-202.29999999999998</v>
      </c>
      <c r="AC635" s="20">
        <v>28.140034406488066</v>
      </c>
      <c r="AD635" s="21">
        <v>46017</v>
      </c>
      <c r="AE635" s="22">
        <v>588106.59454941261</v>
      </c>
      <c r="AF635" s="23">
        <v>353032.8859333336</v>
      </c>
      <c r="AG635" s="24">
        <v>453235.18593333376</v>
      </c>
      <c r="AH635" s="15">
        <v>0.5</v>
      </c>
      <c r="AI635" s="25" t="s">
        <v>763</v>
      </c>
      <c r="AJ635" s="25"/>
      <c r="AK635" s="25"/>
      <c r="AL635" s="25"/>
      <c r="AM635" s="25"/>
      <c r="AN635" s="25">
        <v>161</v>
      </c>
      <c r="AO635" s="25">
        <v>-209</v>
      </c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>
        <v>176</v>
      </c>
      <c r="BC635" s="25">
        <v>-230</v>
      </c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>
        <v>200</v>
      </c>
      <c r="BQ635" s="1">
        <v>-260</v>
      </c>
      <c r="BR635" s="1">
        <v>1000</v>
      </c>
      <c r="BS635" s="1">
        <v>1000</v>
      </c>
      <c r="BT635" s="1">
        <v>165</v>
      </c>
      <c r="BU635" s="1">
        <v>-215</v>
      </c>
    </row>
    <row r="636" spans="1:73" ht="15" customHeight="1" x14ac:dyDescent="0.25">
      <c r="A636" s="1">
        <f t="shared" si="39"/>
        <v>289</v>
      </c>
      <c r="B636" s="1" t="str">
        <f t="shared" si="36"/>
        <v xml:space="preserve">Detroit </v>
      </c>
      <c r="C636" s="1">
        <f t="shared" si="37"/>
        <v>0</v>
      </c>
      <c r="D636" s="2" t="str">
        <f t="shared" si="38"/>
        <v>2025-12</v>
      </c>
      <c r="E636" s="3" t="s">
        <v>761</v>
      </c>
      <c r="F636" s="4" t="s">
        <v>737</v>
      </c>
      <c r="G636" s="39">
        <v>46017</v>
      </c>
      <c r="H636" s="40">
        <v>128</v>
      </c>
      <c r="I636" s="40">
        <v>-150</v>
      </c>
      <c r="J636" s="7">
        <v>163</v>
      </c>
      <c r="K636" s="8">
        <v>0.11064189189189141</v>
      </c>
      <c r="L636" s="9">
        <v>4.2069160415167839E-2</v>
      </c>
      <c r="M636" s="10">
        <v>136.80000000000007</v>
      </c>
      <c r="N636" s="11">
        <v>2.63</v>
      </c>
      <c r="O636" s="12">
        <v>15375.587603959353</v>
      </c>
      <c r="P636" s="32" t="s">
        <v>506</v>
      </c>
      <c r="Q636" s="81" t="s">
        <v>81</v>
      </c>
      <c r="R636" s="82" t="s">
        <v>762</v>
      </c>
      <c r="S636" s="32">
        <v>379</v>
      </c>
      <c r="T636" s="32">
        <v>265.3</v>
      </c>
      <c r="U636" s="32">
        <v>265.3</v>
      </c>
      <c r="V636" s="74" t="s">
        <v>82</v>
      </c>
      <c r="W636" s="15"/>
      <c r="X636" s="15"/>
      <c r="Y636" s="16"/>
      <c r="Z636" s="17"/>
      <c r="AA636" s="16"/>
      <c r="AB636" s="99">
        <v>-265.3</v>
      </c>
      <c r="AC636" s="20">
        <v>29.353293918918794</v>
      </c>
      <c r="AD636" s="21">
        <v>46017</v>
      </c>
      <c r="AE636" s="22">
        <v>588135.94784333149</v>
      </c>
      <c r="AF636" s="23">
        <v>352767.58593333361</v>
      </c>
      <c r="AG636" s="24">
        <v>453032.88593333378</v>
      </c>
      <c r="AH636" s="15">
        <v>0.5</v>
      </c>
      <c r="AI636" s="25" t="s">
        <v>764</v>
      </c>
      <c r="AJ636" s="25"/>
      <c r="AK636" s="25"/>
      <c r="AL636" s="25"/>
      <c r="AM636" s="25"/>
      <c r="AN636" s="25">
        <v>144</v>
      </c>
      <c r="AO636" s="25">
        <v>-171</v>
      </c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>
        <v>112</v>
      </c>
      <c r="BC636" s="25">
        <v>-142</v>
      </c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>
        <v>150</v>
      </c>
      <c r="BQ636" s="1">
        <v>-190</v>
      </c>
      <c r="BR636" s="1">
        <v>1000</v>
      </c>
      <c r="BS636" s="1">
        <v>1000</v>
      </c>
      <c r="BT636" s="1">
        <v>130</v>
      </c>
      <c r="BU636" s="1">
        <v>-166</v>
      </c>
    </row>
    <row r="637" spans="1:73" ht="15" customHeight="1" x14ac:dyDescent="0.25">
      <c r="A637" s="1">
        <f t="shared" si="39"/>
        <v>289</v>
      </c>
      <c r="B637" s="1" t="str">
        <f t="shared" si="36"/>
        <v xml:space="preserve">Detroit </v>
      </c>
      <c r="C637" s="1">
        <f t="shared" si="37"/>
        <v>0</v>
      </c>
      <c r="D637" s="2" t="str">
        <f t="shared" si="38"/>
        <v>2025-12</v>
      </c>
      <c r="E637" s="3" t="s">
        <v>761</v>
      </c>
      <c r="F637" s="4" t="s">
        <v>737</v>
      </c>
      <c r="G637" s="39">
        <v>46017</v>
      </c>
      <c r="H637" s="40">
        <v>-133</v>
      </c>
      <c r="I637" s="40">
        <v>110</v>
      </c>
      <c r="J637" s="7">
        <v>-107</v>
      </c>
      <c r="K637" s="8">
        <v>5.4710203754006821E-2</v>
      </c>
      <c r="L637" s="9">
        <v>2.828015363129821E-2</v>
      </c>
      <c r="M637" s="10">
        <v>-119.87124463519318</v>
      </c>
      <c r="N637" s="11">
        <v>1.9345794392523366</v>
      </c>
      <c r="O637" s="12">
        <v>13252.488680598028</v>
      </c>
      <c r="P637" s="32" t="s">
        <v>506</v>
      </c>
      <c r="Q637" s="81" t="s">
        <v>81</v>
      </c>
      <c r="R637" s="82" t="s">
        <v>762</v>
      </c>
      <c r="S637" s="32">
        <v>438</v>
      </c>
      <c r="T637" s="32">
        <v>306.59999999999997</v>
      </c>
      <c r="U637" s="32">
        <v>306.59999999999997</v>
      </c>
      <c r="V637" s="74" t="s">
        <v>82</v>
      </c>
      <c r="W637" s="15"/>
      <c r="X637" s="15"/>
      <c r="Y637" s="16"/>
      <c r="Z637" s="17"/>
      <c r="AA637" s="16"/>
      <c r="AB637" s="99">
        <v>-306.59999999999997</v>
      </c>
      <c r="AC637" s="20">
        <v>16.774148470978488</v>
      </c>
      <c r="AD637" s="21">
        <v>46017</v>
      </c>
      <c r="AE637" s="22">
        <v>588152.72199180245</v>
      </c>
      <c r="AF637" s="23">
        <v>352460.98593333364</v>
      </c>
      <c r="AG637" s="24">
        <v>452767.58593333379</v>
      </c>
      <c r="AH637" s="15">
        <v>0.5</v>
      </c>
      <c r="AI637" s="25" t="s">
        <v>765</v>
      </c>
      <c r="AJ637" s="25">
        <v>-133</v>
      </c>
      <c r="AK637" s="25">
        <v>7000</v>
      </c>
      <c r="AL637" s="25">
        <v>110</v>
      </c>
      <c r="AM637" s="25">
        <v>7000</v>
      </c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>
        <v>-156</v>
      </c>
      <c r="BC637" s="25">
        <v>122</v>
      </c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>
        <v>-125</v>
      </c>
      <c r="BQ637" s="1">
        <v>-105</v>
      </c>
      <c r="BT637" s="1">
        <v>-125</v>
      </c>
      <c r="BU637" s="1">
        <v>-105</v>
      </c>
    </row>
    <row r="638" spans="1:73" ht="15" customHeight="1" x14ac:dyDescent="0.25">
      <c r="A638" s="1">
        <f t="shared" si="39"/>
        <v>290</v>
      </c>
      <c r="B638" s="1" t="str">
        <f t="shared" si="36"/>
        <v xml:space="preserve">Detroit </v>
      </c>
      <c r="C638" s="1">
        <f t="shared" si="37"/>
        <v>1</v>
      </c>
      <c r="D638" s="2" t="str">
        <f t="shared" si="38"/>
        <v>2025-12</v>
      </c>
      <c r="E638" s="3" t="s">
        <v>766</v>
      </c>
      <c r="F638" s="4" t="s">
        <v>737</v>
      </c>
      <c r="G638" s="39">
        <v>46017</v>
      </c>
      <c r="H638" s="40">
        <v>-124</v>
      </c>
      <c r="I638" s="40">
        <v>-101</v>
      </c>
      <c r="J638" s="7">
        <v>110</v>
      </c>
      <c r="K638" s="8">
        <v>0.10079077984352658</v>
      </c>
      <c r="L638" s="9">
        <v>4.7995609449298371E-2</v>
      </c>
      <c r="M638" s="10">
        <v>-110.16619519094766</v>
      </c>
      <c r="N638" s="11">
        <v>2.1</v>
      </c>
      <c r="O638" s="12">
        <v>20734.206700854538</v>
      </c>
      <c r="P638" s="32" t="s">
        <v>506</v>
      </c>
      <c r="Q638" s="81" t="s">
        <v>92</v>
      </c>
      <c r="R638" s="82" t="s">
        <v>762</v>
      </c>
      <c r="S638" s="32">
        <v>250</v>
      </c>
      <c r="T638" s="32">
        <v>175</v>
      </c>
      <c r="U638" s="32">
        <v>175</v>
      </c>
      <c r="V638" s="74" t="s">
        <v>77</v>
      </c>
      <c r="W638" s="15"/>
      <c r="X638" s="15"/>
      <c r="Y638" s="16"/>
      <c r="Z638" s="17"/>
      <c r="AA638" s="16"/>
      <c r="AB638" s="99">
        <v>192.5</v>
      </c>
      <c r="AC638" s="20">
        <v>17.63838647261715</v>
      </c>
      <c r="AD638" s="21">
        <v>46017</v>
      </c>
      <c r="AE638" s="22">
        <v>588036.25145704113</v>
      </c>
      <c r="AF638" s="23">
        <v>352766.18593333359</v>
      </c>
      <c r="AG638" s="24">
        <v>452573.68593333376</v>
      </c>
      <c r="AH638" s="15">
        <v>0.5</v>
      </c>
      <c r="AI638" s="25" t="s">
        <v>767</v>
      </c>
      <c r="AJ638" s="25">
        <v>-130</v>
      </c>
      <c r="AK638" s="25">
        <v>1800</v>
      </c>
      <c r="AL638" s="25">
        <v>-101</v>
      </c>
      <c r="AM638" s="25">
        <v>1800</v>
      </c>
      <c r="AN638" s="25">
        <v>-124</v>
      </c>
      <c r="AO638" s="25">
        <v>-103</v>
      </c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>
        <v>-128</v>
      </c>
      <c r="BC638" s="25">
        <v>104</v>
      </c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>
        <v>-145</v>
      </c>
      <c r="BQ638" s="1">
        <v>105</v>
      </c>
      <c r="BR638" s="1">
        <v>1000</v>
      </c>
      <c r="BS638" s="1">
        <v>1000</v>
      </c>
      <c r="BT638" s="1">
        <v>-120</v>
      </c>
      <c r="BU638" s="1">
        <v>-110</v>
      </c>
    </row>
    <row r="639" spans="1:73" ht="15" customHeight="1" x14ac:dyDescent="0.25">
      <c r="A639" s="1">
        <f t="shared" si="39"/>
        <v>290</v>
      </c>
      <c r="B639" s="1" t="str">
        <f t="shared" si="36"/>
        <v xml:space="preserve">Detroit </v>
      </c>
      <c r="C639" s="1">
        <f t="shared" si="37"/>
        <v>1</v>
      </c>
      <c r="D639" s="2" t="str">
        <f t="shared" si="38"/>
        <v>2025-12</v>
      </c>
      <c r="E639" s="3" t="s">
        <v>768</v>
      </c>
      <c r="F639" s="4" t="s">
        <v>737</v>
      </c>
      <c r="G639" s="39">
        <v>46017</v>
      </c>
      <c r="H639" s="40">
        <v>-105</v>
      </c>
      <c r="I639" s="40">
        <v>-123</v>
      </c>
      <c r="J639" s="7">
        <v>125</v>
      </c>
      <c r="K639" s="8">
        <v>8.3359037631091981E-2</v>
      </c>
      <c r="L639" s="9">
        <v>3.7048461169374214E-2</v>
      </c>
      <c r="M639" s="10">
        <v>107.68737988468931</v>
      </c>
      <c r="N639" s="11">
        <v>2.25</v>
      </c>
      <c r="O639" s="12">
        <v>15096.861412521102</v>
      </c>
      <c r="P639" s="32" t="s">
        <v>506</v>
      </c>
      <c r="Q639" s="81" t="s">
        <v>92</v>
      </c>
      <c r="R639" s="82" t="s">
        <v>762</v>
      </c>
      <c r="S639" s="32">
        <v>250</v>
      </c>
      <c r="T639" s="32">
        <v>175</v>
      </c>
      <c r="U639" s="32">
        <v>175</v>
      </c>
      <c r="V639" s="74" t="s">
        <v>77</v>
      </c>
      <c r="W639" s="15"/>
      <c r="X639" s="15"/>
      <c r="Y639" s="16"/>
      <c r="Z639" s="17"/>
      <c r="AA639" s="16"/>
      <c r="AB639" s="99">
        <v>218.75</v>
      </c>
      <c r="AC639" s="20">
        <v>14.587831585441096</v>
      </c>
      <c r="AD639" s="21">
        <v>46017</v>
      </c>
      <c r="AE639" s="22">
        <v>588050.83928862656</v>
      </c>
      <c r="AF639" s="23">
        <v>352984.93593333359</v>
      </c>
      <c r="AG639" s="24">
        <v>452766.18593333376</v>
      </c>
      <c r="AH639" s="15">
        <v>0.5</v>
      </c>
      <c r="AI639" s="25" t="s">
        <v>769</v>
      </c>
      <c r="AJ639" s="25">
        <v>-105</v>
      </c>
      <c r="AK639" s="25">
        <v>1800</v>
      </c>
      <c r="AL639" s="25">
        <v>-124</v>
      </c>
      <c r="AM639" s="25">
        <v>1800</v>
      </c>
      <c r="AN639" s="25">
        <v>-105</v>
      </c>
      <c r="AO639" s="25">
        <v>-123</v>
      </c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>
        <v>-106</v>
      </c>
      <c r="BC639" s="25">
        <v>-116</v>
      </c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>
        <v>-120</v>
      </c>
      <c r="BQ639" s="1">
        <v>-110</v>
      </c>
      <c r="BR639" s="1">
        <v>1000</v>
      </c>
      <c r="BS639" s="1">
        <v>1000</v>
      </c>
      <c r="BT639" s="1">
        <v>100</v>
      </c>
      <c r="BU639" s="1">
        <v>-135</v>
      </c>
    </row>
    <row r="640" spans="1:73" ht="15" customHeight="1" x14ac:dyDescent="0.25">
      <c r="A640" s="1">
        <f t="shared" si="39"/>
        <v>290</v>
      </c>
      <c r="B640" s="1" t="str">
        <f t="shared" si="36"/>
        <v xml:space="preserve">Detroit </v>
      </c>
      <c r="C640" s="1">
        <f t="shared" si="37"/>
        <v>1</v>
      </c>
      <c r="D640" s="2" t="str">
        <f t="shared" si="38"/>
        <v>2025-12</v>
      </c>
      <c r="E640" s="3" t="s">
        <v>770</v>
      </c>
      <c r="F640" s="4" t="s">
        <v>737</v>
      </c>
      <c r="G640" s="39">
        <v>46017</v>
      </c>
      <c r="H640" s="40">
        <v>-103</v>
      </c>
      <c r="I640" s="40">
        <v>-126</v>
      </c>
      <c r="J640" s="7">
        <v>143</v>
      </c>
      <c r="K640" s="8">
        <v>0.15780129359751072</v>
      </c>
      <c r="L640" s="9">
        <v>6.4938803949592894E-2</v>
      </c>
      <c r="M640" s="10">
        <v>109.88057393246844</v>
      </c>
      <c r="N640" s="11">
        <v>2.4299999999999997</v>
      </c>
      <c r="O640" s="12">
        <v>24993.56953512783</v>
      </c>
      <c r="P640" s="32" t="s">
        <v>506</v>
      </c>
      <c r="Q640" s="81" t="s">
        <v>92</v>
      </c>
      <c r="R640" s="82" t="s">
        <v>762</v>
      </c>
      <c r="S640" s="32">
        <v>250</v>
      </c>
      <c r="T640" s="32">
        <v>175</v>
      </c>
      <c r="U640" s="32">
        <v>175</v>
      </c>
      <c r="V640" s="74" t="s">
        <v>77</v>
      </c>
      <c r="W640" s="15"/>
      <c r="X640" s="15"/>
      <c r="Y640" s="16"/>
      <c r="Z640" s="17"/>
      <c r="AA640" s="16"/>
      <c r="AB640" s="99">
        <v>250.25</v>
      </c>
      <c r="AC640" s="20">
        <v>27.615226379564376</v>
      </c>
      <c r="AD640" s="21">
        <v>46017</v>
      </c>
      <c r="AE640" s="22">
        <v>588078.45451500616</v>
      </c>
      <c r="AF640" s="23">
        <v>353235.18593333359</v>
      </c>
      <c r="AG640" s="24">
        <v>452984.93593333376</v>
      </c>
      <c r="AH640" s="15">
        <v>0.5</v>
      </c>
      <c r="AI640" s="25" t="s">
        <v>771</v>
      </c>
      <c r="AJ640" s="25"/>
      <c r="AK640" s="25"/>
      <c r="AL640" s="25"/>
      <c r="AM640" s="25"/>
      <c r="AN640" s="25">
        <v>-103</v>
      </c>
      <c r="AO640" s="25">
        <v>-126</v>
      </c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>
        <v>102</v>
      </c>
      <c r="BC640" s="25">
        <v>-126</v>
      </c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>
        <v>-105</v>
      </c>
      <c r="BQ640" s="1">
        <v>-135</v>
      </c>
      <c r="BR640" s="1">
        <v>1000</v>
      </c>
      <c r="BS640" s="1">
        <v>1000</v>
      </c>
      <c r="BT640" s="1">
        <v>120</v>
      </c>
      <c r="BU640" s="1">
        <v>-160</v>
      </c>
    </row>
    <row r="641" spans="1:73" ht="15" customHeight="1" x14ac:dyDescent="0.25">
      <c r="A641" s="1">
        <f t="shared" si="39"/>
        <v>291</v>
      </c>
      <c r="B641" s="1" t="str">
        <f t="shared" si="36"/>
        <v xml:space="preserve">Colorado </v>
      </c>
      <c r="C641" s="1">
        <f t="shared" si="37"/>
        <v>0</v>
      </c>
      <c r="D641" s="2" t="str">
        <f t="shared" si="38"/>
        <v>2025-12</v>
      </c>
      <c r="E641" s="3" t="s">
        <v>772</v>
      </c>
      <c r="F641" s="4" t="s">
        <v>773</v>
      </c>
      <c r="G641" s="39">
        <v>46019</v>
      </c>
      <c r="H641" s="40">
        <v>280</v>
      </c>
      <c r="I641" s="40">
        <v>-253</v>
      </c>
      <c r="J641" s="7">
        <v>335</v>
      </c>
      <c r="K641" s="8">
        <v>0.16825167376749825</v>
      </c>
      <c r="L641" s="9">
        <v>3.8678545693677763E-2</v>
      </c>
      <c r="M641" s="10">
        <v>272.35127478753543</v>
      </c>
      <c r="N641" s="11">
        <v>4.3499999999999996</v>
      </c>
      <c r="O641" s="12">
        <v>11154.376951535307</v>
      </c>
      <c r="P641" s="32" t="s">
        <v>506</v>
      </c>
      <c r="Q641" s="81" t="s">
        <v>81</v>
      </c>
      <c r="R641" s="82" t="s">
        <v>774</v>
      </c>
      <c r="S641" s="32"/>
      <c r="T641" s="32">
        <v>80</v>
      </c>
      <c r="U641" s="32">
        <v>0</v>
      </c>
      <c r="V641" s="74" t="s">
        <v>82</v>
      </c>
      <c r="W641" s="15"/>
      <c r="X641" s="15"/>
      <c r="Y641" s="16"/>
      <c r="Z641" s="17"/>
      <c r="AA641" s="16"/>
      <c r="AB641" s="99">
        <v>-80</v>
      </c>
      <c r="AC641" s="20">
        <v>13.46013390139986</v>
      </c>
      <c r="AD641" s="21">
        <v>46019</v>
      </c>
      <c r="AE641" s="22">
        <v>594751.43410692946</v>
      </c>
      <c r="AF641" s="23">
        <v>344101.76593333366</v>
      </c>
      <c r="AG641" s="24">
        <v>444181.76593333384</v>
      </c>
      <c r="AH641" s="15">
        <v>0.5</v>
      </c>
      <c r="AI641" s="25" t="s">
        <v>775</v>
      </c>
      <c r="AJ641" s="25"/>
      <c r="AK641" s="25"/>
      <c r="AL641" s="25"/>
      <c r="AM641" s="25"/>
      <c r="AN641" s="25">
        <v>-248</v>
      </c>
      <c r="AO641" s="25">
        <v>180</v>
      </c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>
        <v>-340</v>
      </c>
      <c r="BC641" s="25">
        <v>250</v>
      </c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>
        <v>-240</v>
      </c>
      <c r="BQ641" s="1">
        <v>185</v>
      </c>
      <c r="BR641" s="1">
        <v>1000</v>
      </c>
      <c r="BS641" s="1">
        <v>1000</v>
      </c>
      <c r="BT641" s="1">
        <v>-245</v>
      </c>
      <c r="BU641" s="1">
        <v>185</v>
      </c>
    </row>
    <row r="642" spans="1:73" ht="15" customHeight="1" x14ac:dyDescent="0.25">
      <c r="A642" s="1">
        <f t="shared" si="39"/>
        <v>292</v>
      </c>
      <c r="B642" s="1" t="str">
        <f t="shared" ref="B642:B705" si="40">LEFT(E642, FIND(" ", E642))</f>
        <v xml:space="preserve">Detroit </v>
      </c>
      <c r="C642" s="1">
        <f t="shared" ref="C642:C705" si="41">IF(Q642="total", 1, 0)</f>
        <v>0</v>
      </c>
      <c r="D642" s="2" t="str">
        <f t="shared" ref="D642:D705" si="42">YEAR(G642)&amp;"-"&amp;IF(MONTH(G642)&lt;10, "0", "")&amp;MONTH(G642)</f>
        <v>2025-12</v>
      </c>
      <c r="E642" s="3" t="s">
        <v>776</v>
      </c>
      <c r="F642" s="4" t="s">
        <v>773</v>
      </c>
      <c r="G642" s="39">
        <v>46019</v>
      </c>
      <c r="H642" s="40">
        <v>-123</v>
      </c>
      <c r="I642" s="40">
        <v>-104</v>
      </c>
      <c r="J642" s="36">
        <v>112</v>
      </c>
      <c r="K642" s="8">
        <v>0.10171154005467672</v>
      </c>
      <c r="L642" s="9">
        <v>4.7977141535224865E-2</v>
      </c>
      <c r="M642" s="10">
        <v>-108.19248016557435</v>
      </c>
      <c r="N642" s="11">
        <v>2.12</v>
      </c>
      <c r="O642" s="12">
        <v>20113.203036376704</v>
      </c>
      <c r="P642" s="32" t="s">
        <v>506</v>
      </c>
      <c r="Q642" s="81" t="s">
        <v>81</v>
      </c>
      <c r="R642" s="82" t="s">
        <v>777</v>
      </c>
      <c r="S642" s="32"/>
      <c r="T642" s="32">
        <v>315</v>
      </c>
      <c r="U642" s="32">
        <v>0</v>
      </c>
      <c r="V642" s="74" t="s">
        <v>82</v>
      </c>
      <c r="W642" s="15"/>
      <c r="X642" s="15"/>
      <c r="Y642" s="16"/>
      <c r="Z642" s="17"/>
      <c r="AA642" s="16"/>
      <c r="AB642" s="99">
        <v>-315</v>
      </c>
      <c r="AC642" s="20">
        <v>32.039135117223168</v>
      </c>
      <c r="AD642" s="21">
        <v>46019</v>
      </c>
      <c r="AE642" s="22">
        <v>595551.63526578585</v>
      </c>
      <c r="AF642" s="23">
        <v>342639.40593333368</v>
      </c>
      <c r="AG642" s="24">
        <v>442954.40593333385</v>
      </c>
      <c r="AH642" s="15">
        <v>0.5</v>
      </c>
      <c r="AI642" s="25" t="s">
        <v>778</v>
      </c>
      <c r="AJ642" s="25"/>
      <c r="AK642" s="25"/>
      <c r="AL642" s="25"/>
      <c r="AM642" s="25"/>
      <c r="AN642" s="25">
        <v>-123</v>
      </c>
      <c r="AO642" s="25">
        <v>-104</v>
      </c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>
        <v>-125</v>
      </c>
      <c r="BC642" s="25">
        <v>-102</v>
      </c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R642" s="1">
        <v>1000</v>
      </c>
      <c r="BS642" s="1">
        <v>1000</v>
      </c>
      <c r="BT642" s="1">
        <v>-110</v>
      </c>
      <c r="BU642" s="1">
        <v>-120</v>
      </c>
    </row>
    <row r="643" spans="1:73" ht="15" customHeight="1" x14ac:dyDescent="0.25">
      <c r="A643" s="1">
        <f t="shared" si="39"/>
        <v>292</v>
      </c>
      <c r="B643" s="1" t="str">
        <f t="shared" si="40"/>
        <v xml:space="preserve">Detroit </v>
      </c>
      <c r="C643" s="1">
        <f t="shared" si="41"/>
        <v>0</v>
      </c>
      <c r="D643" s="2" t="str">
        <f t="shared" si="42"/>
        <v>2025-12</v>
      </c>
      <c r="E643" s="3" t="s">
        <v>779</v>
      </c>
      <c r="F643" s="4" t="s">
        <v>773</v>
      </c>
      <c r="G643" s="39">
        <v>46019</v>
      </c>
      <c r="H643" s="40">
        <v>-110</v>
      </c>
      <c r="I643" s="40">
        <v>-108</v>
      </c>
      <c r="J643" s="36">
        <v>112</v>
      </c>
      <c r="K643" s="8">
        <v>6.4653204565408504E-2</v>
      </c>
      <c r="L643" s="9">
        <v>3.0496794606324762E-2</v>
      </c>
      <c r="M643" s="10">
        <v>-100.88183421516757</v>
      </c>
      <c r="N643" s="11">
        <v>2.12</v>
      </c>
      <c r="O643" s="12">
        <v>12770.145276609663</v>
      </c>
      <c r="P643" s="32" t="s">
        <v>506</v>
      </c>
      <c r="Q643" s="81" t="s">
        <v>76</v>
      </c>
      <c r="R643" s="82" t="s">
        <v>777</v>
      </c>
      <c r="S643" s="32"/>
      <c r="T643" s="32">
        <v>789</v>
      </c>
      <c r="U643" s="32">
        <v>0</v>
      </c>
      <c r="V643" s="74" t="s">
        <v>77</v>
      </c>
      <c r="W643" s="15"/>
      <c r="X643" s="15"/>
      <c r="Y643" s="16"/>
      <c r="Z643" s="17"/>
      <c r="AA643" s="16"/>
      <c r="AB643" s="99">
        <v>883.68</v>
      </c>
      <c r="AC643" s="20">
        <v>51.011378402107312</v>
      </c>
      <c r="AD643" s="21">
        <v>46019</v>
      </c>
      <c r="AE643" s="22">
        <v>595632.14539522876</v>
      </c>
      <c r="AF643" s="23">
        <v>343323.08593333367</v>
      </c>
      <c r="AG643" s="24">
        <v>442439.40593333385</v>
      </c>
      <c r="AH643" s="15">
        <v>0.5</v>
      </c>
      <c r="AI643" s="25" t="s">
        <v>780</v>
      </c>
      <c r="AJ643" s="25"/>
      <c r="AK643" s="25"/>
      <c r="AL643" s="25"/>
      <c r="AM643" s="25"/>
      <c r="AN643" s="25">
        <v>-136</v>
      </c>
      <c r="AO643" s="25">
        <v>105</v>
      </c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>
        <v>-110</v>
      </c>
      <c r="BC643" s="25">
        <v>-120</v>
      </c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R643" s="1">
        <v>1000</v>
      </c>
      <c r="BS643" s="1">
        <v>1000</v>
      </c>
      <c r="BT643" s="1">
        <v>-125</v>
      </c>
      <c r="BU643" s="1">
        <v>-110</v>
      </c>
    </row>
    <row r="644" spans="1:73" ht="15" customHeight="1" x14ac:dyDescent="0.25">
      <c r="A644" s="1">
        <f t="shared" ref="A644:A707" si="43">IF(AND(B644=B643, C644=C643, G644=G643), A643, A643+1)</f>
        <v>292</v>
      </c>
      <c r="B644" s="1" t="str">
        <f t="shared" si="40"/>
        <v xml:space="preserve">Detroit </v>
      </c>
      <c r="C644" s="1">
        <f t="shared" si="41"/>
        <v>0</v>
      </c>
      <c r="D644" s="2" t="str">
        <f t="shared" si="42"/>
        <v>2025-12</v>
      </c>
      <c r="E644" s="3" t="s">
        <v>781</v>
      </c>
      <c r="F644" s="4" t="s">
        <v>773</v>
      </c>
      <c r="G644" s="39">
        <v>46019</v>
      </c>
      <c r="H644" s="40">
        <v>-131</v>
      </c>
      <c r="I644" s="40">
        <v>123</v>
      </c>
      <c r="J644" s="36">
        <v>-118</v>
      </c>
      <c r="K644" s="8">
        <v>3.1670515187753621E-2</v>
      </c>
      <c r="L644" s="9">
        <v>1.7142755927316178E-2</v>
      </c>
      <c r="M644" s="10">
        <v>-126.46320346320348</v>
      </c>
      <c r="N644" s="11">
        <v>1.847457627118644</v>
      </c>
      <c r="O644" s="12">
        <v>8273.6835853389312</v>
      </c>
      <c r="P644" s="32" t="s">
        <v>506</v>
      </c>
      <c r="Q644" s="81" t="s">
        <v>76</v>
      </c>
      <c r="R644" s="82" t="s">
        <v>777</v>
      </c>
      <c r="S644" s="32"/>
      <c r="T644" s="32">
        <v>690</v>
      </c>
      <c r="U644" s="32">
        <v>0</v>
      </c>
      <c r="V644" s="74" t="s">
        <v>77</v>
      </c>
      <c r="W644" s="15"/>
      <c r="X644" s="15"/>
      <c r="Y644" s="16"/>
      <c r="Z644" s="17"/>
      <c r="AA644" s="16"/>
      <c r="AB644" s="99">
        <v>584.75</v>
      </c>
      <c r="AC644" s="20">
        <v>21.852655479549998</v>
      </c>
      <c r="AD644" s="21">
        <v>46019</v>
      </c>
      <c r="AE644" s="22">
        <v>595910.29221241712</v>
      </c>
      <c r="AF644" s="23">
        <v>343368.59593333368</v>
      </c>
      <c r="AG644" s="24">
        <v>442783.84593333385</v>
      </c>
      <c r="AH644" s="15">
        <v>0.5</v>
      </c>
      <c r="AI644" s="25" t="s">
        <v>782</v>
      </c>
      <c r="AJ644" s="25">
        <v>-131</v>
      </c>
      <c r="AK644" s="25">
        <v>1600</v>
      </c>
      <c r="AL644" s="25">
        <v>-103</v>
      </c>
      <c r="AM644" s="25">
        <v>1600</v>
      </c>
      <c r="AN644" s="25">
        <v>-159</v>
      </c>
      <c r="AO644" s="25">
        <v>123</v>
      </c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>
        <v>-154</v>
      </c>
      <c r="BC644" s="25">
        <v>116</v>
      </c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R644" s="1">
        <v>1000</v>
      </c>
      <c r="BS644" s="1">
        <v>1000</v>
      </c>
      <c r="BT644" s="1">
        <v>-140</v>
      </c>
      <c r="BU644" s="1">
        <v>100</v>
      </c>
    </row>
    <row r="645" spans="1:73" ht="15" customHeight="1" x14ac:dyDescent="0.25">
      <c r="A645" s="1">
        <f t="shared" si="43"/>
        <v>292</v>
      </c>
      <c r="B645" s="1" t="str">
        <f t="shared" si="40"/>
        <v xml:space="preserve">Detroit </v>
      </c>
      <c r="C645" s="1">
        <f t="shared" si="41"/>
        <v>0</v>
      </c>
      <c r="D645" s="2" t="str">
        <f t="shared" si="42"/>
        <v>2025-12</v>
      </c>
      <c r="E645" s="3" t="s">
        <v>783</v>
      </c>
      <c r="F645" s="4" t="s">
        <v>773</v>
      </c>
      <c r="G645" s="39">
        <v>46019</v>
      </c>
      <c r="H645" s="40">
        <v>-150</v>
      </c>
      <c r="I645" s="40">
        <v>116</v>
      </c>
      <c r="J645" s="36">
        <v>-106</v>
      </c>
      <c r="K645" s="8">
        <v>9.6969298533955972E-2</v>
      </c>
      <c r="L645" s="9">
        <v>4.9896823517472488E-2</v>
      </c>
      <c r="M645" s="10">
        <v>-129.60000000000005</v>
      </c>
      <c r="N645" s="11">
        <v>1.9433962264150944</v>
      </c>
      <c r="O645" s="12">
        <v>22786.365122009382</v>
      </c>
      <c r="P645" s="32" t="s">
        <v>506</v>
      </c>
      <c r="Q645" s="81" t="s">
        <v>76</v>
      </c>
      <c r="R645" s="82" t="s">
        <v>777</v>
      </c>
      <c r="S645" s="32"/>
      <c r="T645" s="32">
        <v>640</v>
      </c>
      <c r="U645" s="32">
        <v>0</v>
      </c>
      <c r="V645" s="74" t="s">
        <v>77</v>
      </c>
      <c r="W645" s="15"/>
      <c r="X645" s="15"/>
      <c r="Y645" s="16"/>
      <c r="Z645" s="17"/>
      <c r="AA645" s="16"/>
      <c r="AB645" s="99">
        <v>603.77</v>
      </c>
      <c r="AC645" s="20">
        <v>62.060351061731822</v>
      </c>
      <c r="AD645" s="21">
        <v>46019</v>
      </c>
      <c r="AE645" s="22">
        <v>595972.35256347887</v>
      </c>
      <c r="AF645" s="23">
        <v>343972.3659333337</v>
      </c>
      <c r="AG645" s="24">
        <v>443368.59593333385</v>
      </c>
      <c r="AH645" s="15">
        <v>0.5</v>
      </c>
      <c r="AI645" s="25" t="s">
        <v>784</v>
      </c>
      <c r="AJ645" s="25"/>
      <c r="AK645" s="25"/>
      <c r="AL645" s="25"/>
      <c r="AM645" s="25"/>
      <c r="AN645" s="25">
        <v>-150</v>
      </c>
      <c r="AO645" s="25">
        <v>116</v>
      </c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>
        <v>-152</v>
      </c>
      <c r="BC645" s="25">
        <v>114</v>
      </c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R645" s="1">
        <v>1000</v>
      </c>
      <c r="BS645" s="1">
        <v>1000</v>
      </c>
      <c r="BT645" s="1">
        <v>-145</v>
      </c>
      <c r="BU645" s="1">
        <v>110</v>
      </c>
    </row>
    <row r="646" spans="1:73" ht="15" customHeight="1" x14ac:dyDescent="0.25">
      <c r="A646" s="1">
        <f t="shared" si="43"/>
        <v>293</v>
      </c>
      <c r="B646" s="1" t="str">
        <f t="shared" si="40"/>
        <v xml:space="preserve">Memphis </v>
      </c>
      <c r="C646" s="1">
        <f t="shared" si="41"/>
        <v>0</v>
      </c>
      <c r="D646" s="2" t="str">
        <f t="shared" si="42"/>
        <v>2025-12</v>
      </c>
      <c r="E646" s="3" t="s">
        <v>785</v>
      </c>
      <c r="F646" s="4" t="s">
        <v>773</v>
      </c>
      <c r="G646" s="39">
        <v>46019</v>
      </c>
      <c r="H646" s="40">
        <v>-181</v>
      </c>
      <c r="I646" s="40">
        <v>146</v>
      </c>
      <c r="J646" s="36">
        <v>-127</v>
      </c>
      <c r="K646" s="8">
        <v>9.5831279702655148E-2</v>
      </c>
      <c r="L646" s="9">
        <v>5.3614856926155086E-2</v>
      </c>
      <c r="M646" s="10">
        <v>-158.45551601423486</v>
      </c>
      <c r="N646" s="11">
        <v>1.7874015748031495</v>
      </c>
      <c r="O646" s="12">
        <v>27023.448918670547</v>
      </c>
      <c r="P646" s="32" t="s">
        <v>506</v>
      </c>
      <c r="Q646" s="81" t="s">
        <v>786</v>
      </c>
      <c r="R646" s="82" t="s">
        <v>787</v>
      </c>
      <c r="S646" s="32"/>
      <c r="T646" s="32">
        <v>700</v>
      </c>
      <c r="U646" s="32">
        <v>0</v>
      </c>
      <c r="V646" s="74" t="s">
        <v>82</v>
      </c>
      <c r="W646" s="15"/>
      <c r="X646" s="15"/>
      <c r="Y646" s="16"/>
      <c r="Z646" s="17"/>
      <c r="AA646" s="16"/>
      <c r="AB646" s="99">
        <v>-700</v>
      </c>
      <c r="AC646" s="20">
        <v>67.081895791858599</v>
      </c>
      <c r="AD646" s="21">
        <v>46019</v>
      </c>
      <c r="AE646" s="22">
        <v>595144.61900517915</v>
      </c>
      <c r="AF646" s="23">
        <v>343378.51593333366</v>
      </c>
      <c r="AG646" s="24">
        <v>444078.51593333384</v>
      </c>
      <c r="AH646" s="15">
        <v>0.5</v>
      </c>
      <c r="AI646" s="25" t="s">
        <v>788</v>
      </c>
      <c r="AJ646" s="25"/>
      <c r="AK646" s="25"/>
      <c r="AL646" s="25"/>
      <c r="AM646" s="25"/>
      <c r="AN646" s="25">
        <v>-181</v>
      </c>
      <c r="AO646" s="25">
        <v>146</v>
      </c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>
        <v>-164</v>
      </c>
      <c r="BC646" s="25">
        <v>132</v>
      </c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R646" s="1">
        <v>1000</v>
      </c>
      <c r="BS646" s="1">
        <v>1000</v>
      </c>
    </row>
    <row r="647" spans="1:73" ht="15" customHeight="1" x14ac:dyDescent="0.25">
      <c r="A647" s="1">
        <f t="shared" si="43"/>
        <v>294</v>
      </c>
      <c r="B647" s="1" t="str">
        <f t="shared" si="40"/>
        <v xml:space="preserve">Philadelphia </v>
      </c>
      <c r="C647" s="1">
        <f t="shared" si="41"/>
        <v>1</v>
      </c>
      <c r="D647" s="2" t="str">
        <f t="shared" si="42"/>
        <v>2025-12</v>
      </c>
      <c r="E647" s="3" t="s">
        <v>789</v>
      </c>
      <c r="F647" s="4" t="s">
        <v>773</v>
      </c>
      <c r="G647" s="39">
        <v>46019</v>
      </c>
      <c r="H647" s="40">
        <v>-101</v>
      </c>
      <c r="I647" s="40">
        <v>-127</v>
      </c>
      <c r="J647" s="36">
        <v>143</v>
      </c>
      <c r="K647" s="8">
        <v>0.14980414413670673</v>
      </c>
      <c r="L647" s="9">
        <v>6.1647795941031591E-2</v>
      </c>
      <c r="M647" s="10">
        <v>111.34034108256641</v>
      </c>
      <c r="N647" s="11">
        <v>2.4299999999999997</v>
      </c>
      <c r="O647" s="12">
        <v>23261.638096238865</v>
      </c>
      <c r="P647" s="32" t="s">
        <v>506</v>
      </c>
      <c r="Q647" s="81" t="s">
        <v>92</v>
      </c>
      <c r="R647" s="82" t="s">
        <v>533</v>
      </c>
      <c r="S647" s="32"/>
      <c r="T647" s="32">
        <v>505</v>
      </c>
      <c r="U647" s="32">
        <v>0</v>
      </c>
      <c r="V647" s="74" t="s">
        <v>82</v>
      </c>
      <c r="W647" s="15"/>
      <c r="X647" s="15"/>
      <c r="Y647" s="16"/>
      <c r="Z647" s="17"/>
      <c r="AA647" s="16"/>
      <c r="AB647" s="99">
        <v>-505</v>
      </c>
      <c r="AC647" s="20">
        <v>75.651092789036895</v>
      </c>
      <c r="AD647" s="21">
        <v>46019</v>
      </c>
      <c r="AE647" s="22">
        <v>594827.08519971848</v>
      </c>
      <c r="AF647" s="23">
        <v>343596.76593333366</v>
      </c>
      <c r="AG647" s="24">
        <v>444101.76593333384</v>
      </c>
      <c r="AH647" s="15">
        <v>0.5</v>
      </c>
      <c r="AI647" s="25" t="s">
        <v>790</v>
      </c>
      <c r="AJ647" s="25"/>
      <c r="AK647" s="25"/>
      <c r="AL647" s="25"/>
      <c r="AM647" s="25"/>
      <c r="AN647" s="25">
        <v>-101</v>
      </c>
      <c r="AO647" s="25">
        <v>-127</v>
      </c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>
        <v>108</v>
      </c>
      <c r="BC647" s="25">
        <v>-132</v>
      </c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>
        <v>-110</v>
      </c>
      <c r="BQ647" s="1">
        <v>-120</v>
      </c>
      <c r="BR647" s="1">
        <v>1000</v>
      </c>
      <c r="BS647" s="1">
        <v>1000</v>
      </c>
      <c r="BT647" s="1">
        <v>120</v>
      </c>
      <c r="BU647" s="1">
        <v>-160</v>
      </c>
    </row>
    <row r="648" spans="1:73" ht="15" customHeight="1" x14ac:dyDescent="0.25">
      <c r="A648" s="1">
        <f t="shared" si="43"/>
        <v>294</v>
      </c>
      <c r="B648" s="1" t="str">
        <f t="shared" si="40"/>
        <v xml:space="preserve">Philadelphia </v>
      </c>
      <c r="C648" s="1">
        <f t="shared" si="41"/>
        <v>1</v>
      </c>
      <c r="D648" s="2" t="str">
        <f t="shared" si="42"/>
        <v>2025-12</v>
      </c>
      <c r="E648" s="3" t="s">
        <v>791</v>
      </c>
      <c r="F648" s="4" t="s">
        <v>773</v>
      </c>
      <c r="G648" s="39">
        <v>46019</v>
      </c>
      <c r="H648" s="40">
        <v>-138</v>
      </c>
      <c r="I648" s="40">
        <v>114</v>
      </c>
      <c r="J648" s="36">
        <v>104</v>
      </c>
      <c r="K648" s="8">
        <v>0.12962724068101691</v>
      </c>
      <c r="L648" s="9">
        <v>6.3542765039714177E-2</v>
      </c>
      <c r="M648" s="10">
        <v>-124.08403361344534</v>
      </c>
      <c r="N648" s="11">
        <v>2.04</v>
      </c>
      <c r="O648" s="12">
        <v>27645.30035719278</v>
      </c>
      <c r="P648" s="32" t="s">
        <v>506</v>
      </c>
      <c r="Q648" s="81" t="s">
        <v>92</v>
      </c>
      <c r="R648" s="82" t="s">
        <v>533</v>
      </c>
      <c r="S648" s="32"/>
      <c r="T648" s="32">
        <v>707</v>
      </c>
      <c r="U648" s="32">
        <v>0</v>
      </c>
      <c r="V648" s="74" t="s">
        <v>82</v>
      </c>
      <c r="W648" s="15"/>
      <c r="X648" s="15"/>
      <c r="Y648" s="16"/>
      <c r="Z648" s="17"/>
      <c r="AA648" s="16"/>
      <c r="AB648" s="99">
        <v>-707</v>
      </c>
      <c r="AC648" s="20">
        <v>91.646459161478958</v>
      </c>
      <c r="AD648" s="21">
        <v>46019</v>
      </c>
      <c r="AE648" s="22">
        <v>594918.73165888002</v>
      </c>
      <c r="AF648" s="23">
        <v>342889.76593333366</v>
      </c>
      <c r="AG648" s="24">
        <v>443596.76593333384</v>
      </c>
      <c r="AH648" s="15">
        <v>0.5</v>
      </c>
      <c r="AI648" s="25" t="s">
        <v>792</v>
      </c>
      <c r="AJ648" s="25"/>
      <c r="AK648" s="25"/>
      <c r="AL648" s="25"/>
      <c r="AM648" s="25"/>
      <c r="AN648" s="25">
        <v>-138</v>
      </c>
      <c r="AO648" s="25">
        <v>114</v>
      </c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>
        <v>-128</v>
      </c>
      <c r="BC648" s="25">
        <v>104</v>
      </c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R648" s="1">
        <v>1000</v>
      </c>
      <c r="BS648" s="1">
        <v>1000</v>
      </c>
      <c r="BT648" s="1">
        <v>-115</v>
      </c>
      <c r="BU648" s="1">
        <v>-115</v>
      </c>
    </row>
    <row r="649" spans="1:73" ht="15" customHeight="1" x14ac:dyDescent="0.25">
      <c r="A649" s="1">
        <f t="shared" si="43"/>
        <v>295</v>
      </c>
      <c r="B649" s="1" t="str">
        <f t="shared" si="40"/>
        <v xml:space="preserve">Sacramento </v>
      </c>
      <c r="C649" s="1">
        <f t="shared" si="41"/>
        <v>0</v>
      </c>
      <c r="D649" s="2" t="str">
        <f t="shared" si="42"/>
        <v>2025-12</v>
      </c>
      <c r="E649" s="3" t="s">
        <v>793</v>
      </c>
      <c r="F649" s="4" t="s">
        <v>773</v>
      </c>
      <c r="G649" s="39">
        <v>46019</v>
      </c>
      <c r="H649" s="40">
        <v>-119</v>
      </c>
      <c r="I649" s="40">
        <v>101</v>
      </c>
      <c r="J649" s="36">
        <v>118</v>
      </c>
      <c r="K649" s="8">
        <v>0.13803051135991587</v>
      </c>
      <c r="L649" s="9">
        <v>6.331674833023665E-2</v>
      </c>
      <c r="M649" s="10">
        <v>-109.21917808219176</v>
      </c>
      <c r="N649" s="11">
        <v>2.1799999999999997</v>
      </c>
      <c r="O649" s="12">
        <v>25928.861122472041</v>
      </c>
      <c r="P649" s="32" t="s">
        <v>506</v>
      </c>
      <c r="Q649" s="81" t="s">
        <v>76</v>
      </c>
      <c r="R649" s="82" t="s">
        <v>530</v>
      </c>
      <c r="S649" s="32"/>
      <c r="T649" s="32">
        <v>768</v>
      </c>
      <c r="U649" s="32">
        <v>0</v>
      </c>
      <c r="V649" s="74" t="s">
        <v>82</v>
      </c>
      <c r="W649" s="15"/>
      <c r="X649" s="15"/>
      <c r="Y649" s="16"/>
      <c r="Z649" s="17"/>
      <c r="AA649" s="16"/>
      <c r="AB649" s="99">
        <v>-768</v>
      </c>
      <c r="AC649" s="20">
        <v>106.00743272441539</v>
      </c>
      <c r="AD649" s="21">
        <v>46019</v>
      </c>
      <c r="AE649" s="22">
        <v>595738.15282795322</v>
      </c>
      <c r="AF649" s="23">
        <v>342555.08593333367</v>
      </c>
      <c r="AG649" s="24">
        <v>443323.08593333384</v>
      </c>
      <c r="AH649" s="15">
        <v>0.5</v>
      </c>
      <c r="AI649" s="25" t="s">
        <v>794</v>
      </c>
      <c r="AJ649" s="25">
        <v>-119</v>
      </c>
      <c r="AK649" s="25">
        <v>7000</v>
      </c>
      <c r="AL649" s="25">
        <v>100</v>
      </c>
      <c r="AM649" s="25">
        <v>7000</v>
      </c>
      <c r="AN649" s="25">
        <v>-121</v>
      </c>
      <c r="AO649" s="25">
        <v>101</v>
      </c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>
        <v>-108</v>
      </c>
      <c r="BC649" s="25">
        <v>-122</v>
      </c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>
        <v>-105</v>
      </c>
      <c r="BQ649" s="1">
        <v>-125</v>
      </c>
      <c r="BR649" s="1">
        <v>1000</v>
      </c>
      <c r="BS649" s="1">
        <v>1000</v>
      </c>
      <c r="BT649" s="1">
        <v>105</v>
      </c>
      <c r="BU649" s="1">
        <v>-140</v>
      </c>
    </row>
    <row r="650" spans="1:73" ht="15" customHeight="1" x14ac:dyDescent="0.25">
      <c r="A650" s="1">
        <f t="shared" si="43"/>
        <v>295</v>
      </c>
      <c r="B650" s="1" t="str">
        <f t="shared" si="40"/>
        <v xml:space="preserve">Sacramento </v>
      </c>
      <c r="C650" s="1">
        <f t="shared" si="41"/>
        <v>0</v>
      </c>
      <c r="D650" s="2" t="str">
        <f t="shared" si="42"/>
        <v>2025-12</v>
      </c>
      <c r="E650" s="3" t="s">
        <v>795</v>
      </c>
      <c r="F650" s="4" t="s">
        <v>773</v>
      </c>
      <c r="G650" s="39">
        <v>46019</v>
      </c>
      <c r="H650" s="40">
        <v>-107</v>
      </c>
      <c r="I650" s="40">
        <v>-116</v>
      </c>
      <c r="J650" s="36">
        <v>135</v>
      </c>
      <c r="K650" s="8">
        <v>0.15255920550038168</v>
      </c>
      <c r="L650" s="9">
        <v>6.491881085122625E-2</v>
      </c>
      <c r="M650" s="10">
        <v>103.89408099688477</v>
      </c>
      <c r="N650" s="11">
        <v>2.35</v>
      </c>
      <c r="O650" s="12">
        <v>25005.871222275018</v>
      </c>
      <c r="P650" s="32" t="s">
        <v>506</v>
      </c>
      <c r="Q650" s="81" t="s">
        <v>76</v>
      </c>
      <c r="R650" s="82" t="s">
        <v>530</v>
      </c>
      <c r="S650" s="32"/>
      <c r="T650" s="32">
        <v>650</v>
      </c>
      <c r="U650" s="32">
        <v>0</v>
      </c>
      <c r="V650" s="74" t="s">
        <v>82</v>
      </c>
      <c r="W650" s="15"/>
      <c r="X650" s="15"/>
      <c r="Y650" s="16"/>
      <c r="Z650" s="17"/>
      <c r="AA650" s="16"/>
      <c r="AB650" s="99">
        <v>-650</v>
      </c>
      <c r="AC650" s="20">
        <v>99.163483575248094</v>
      </c>
      <c r="AD650" s="21">
        <v>46019</v>
      </c>
      <c r="AE650" s="22">
        <v>595837.31631152844</v>
      </c>
      <c r="AF650" s="23">
        <v>341905.08593333367</v>
      </c>
      <c r="AG650" s="24">
        <v>442555.08593333384</v>
      </c>
      <c r="AH650" s="15">
        <v>0.5</v>
      </c>
      <c r="AI650" s="25" t="s">
        <v>796</v>
      </c>
      <c r="AJ650" s="25">
        <v>-108</v>
      </c>
      <c r="AK650" s="25">
        <v>3000</v>
      </c>
      <c r="AL650" s="25">
        <v>-116</v>
      </c>
      <c r="AM650" s="25">
        <v>3000</v>
      </c>
      <c r="AN650" s="25">
        <v>-107</v>
      </c>
      <c r="AO650" s="25">
        <v>-120</v>
      </c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>
        <v>100</v>
      </c>
      <c r="BC650" s="25">
        <v>-132</v>
      </c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>
        <v>105</v>
      </c>
      <c r="BQ650" s="1">
        <v>-145</v>
      </c>
      <c r="BR650" s="1">
        <v>1000</v>
      </c>
      <c r="BS650" s="1">
        <v>1000</v>
      </c>
      <c r="BT650" s="1">
        <v>115</v>
      </c>
      <c r="BU650" s="1">
        <v>-155</v>
      </c>
    </row>
    <row r="651" spans="1:73" ht="15" customHeight="1" x14ac:dyDescent="0.25">
      <c r="A651" s="1">
        <f t="shared" si="43"/>
        <v>295</v>
      </c>
      <c r="B651" s="1" t="str">
        <f t="shared" si="40"/>
        <v xml:space="preserve">Sacramento </v>
      </c>
      <c r="C651" s="1">
        <f t="shared" si="41"/>
        <v>0</v>
      </c>
      <c r="D651" s="2" t="str">
        <f t="shared" si="42"/>
        <v>2025-12</v>
      </c>
      <c r="E651" s="3" t="s">
        <v>797</v>
      </c>
      <c r="F651" s="4" t="s">
        <v>773</v>
      </c>
      <c r="G651" s="39">
        <v>46019</v>
      </c>
      <c r="H651" s="40">
        <v>-142</v>
      </c>
      <c r="I651" s="40">
        <v>115</v>
      </c>
      <c r="J651" s="36">
        <v>-113</v>
      </c>
      <c r="K651" s="8">
        <v>5.1483630824853806E-2</v>
      </c>
      <c r="L651" s="9">
        <v>2.7312912127739342E-2</v>
      </c>
      <c r="M651" s="10">
        <v>-126.15702479338843</v>
      </c>
      <c r="N651" s="11">
        <v>1.8849557522123894</v>
      </c>
      <c r="O651" s="12">
        <v>12854.246241656636</v>
      </c>
      <c r="P651" s="32" t="s">
        <v>506</v>
      </c>
      <c r="Q651" s="81" t="s">
        <v>76</v>
      </c>
      <c r="R651" s="82" t="s">
        <v>530</v>
      </c>
      <c r="S651" s="32"/>
      <c r="T651" s="32">
        <v>993</v>
      </c>
      <c r="U651" s="32">
        <v>0</v>
      </c>
      <c r="V651" s="74" t="s">
        <v>77</v>
      </c>
      <c r="W651" s="15"/>
      <c r="X651" s="15"/>
      <c r="Y651" s="16"/>
      <c r="Z651" s="17"/>
      <c r="AA651" s="16"/>
      <c r="AB651" s="99">
        <v>878.76</v>
      </c>
      <c r="AC651" s="20">
        <v>51.123245409079829</v>
      </c>
      <c r="AD651" s="21">
        <v>46019</v>
      </c>
      <c r="AE651" s="22">
        <v>595888.43955693755</v>
      </c>
      <c r="AF651" s="23">
        <v>342783.84593333368</v>
      </c>
      <c r="AG651" s="24">
        <v>441905.08593333384</v>
      </c>
      <c r="AH651" s="15">
        <v>0.5</v>
      </c>
      <c r="AI651" s="25" t="s">
        <v>798</v>
      </c>
      <c r="AJ651" s="25">
        <v>-148</v>
      </c>
      <c r="AK651" s="25">
        <v>3000</v>
      </c>
      <c r="AL651" s="25">
        <v>115</v>
      </c>
      <c r="AM651" s="25">
        <v>3000</v>
      </c>
      <c r="AN651" s="25">
        <v>-142</v>
      </c>
      <c r="AO651" s="25">
        <v>110</v>
      </c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>
        <v>-160</v>
      </c>
      <c r="BC651" s="25">
        <v>120</v>
      </c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>
        <v>-115</v>
      </c>
      <c r="BQ651" s="1">
        <v>-115</v>
      </c>
      <c r="BR651" s="1">
        <v>1000</v>
      </c>
      <c r="BS651" s="1">
        <v>1000</v>
      </c>
      <c r="BT651" s="1">
        <v>-120</v>
      </c>
      <c r="BU651" s="1">
        <v>-110</v>
      </c>
    </row>
    <row r="652" spans="1:73" ht="15" customHeight="1" x14ac:dyDescent="0.25">
      <c r="A652" s="1">
        <f t="shared" si="43"/>
        <v>295</v>
      </c>
      <c r="B652" s="1" t="str">
        <f t="shared" si="40"/>
        <v xml:space="preserve">Sacramento </v>
      </c>
      <c r="C652" s="1">
        <f t="shared" si="41"/>
        <v>0</v>
      </c>
      <c r="D652" s="2" t="str">
        <f t="shared" si="42"/>
        <v>2025-12</v>
      </c>
      <c r="E652" s="3" t="s">
        <v>797</v>
      </c>
      <c r="F652" s="4" t="s">
        <v>773</v>
      </c>
      <c r="G652" s="39">
        <v>46019</v>
      </c>
      <c r="H652" s="40">
        <v>-172</v>
      </c>
      <c r="I652" s="40">
        <v>131</v>
      </c>
      <c r="J652" s="36">
        <v>-125</v>
      </c>
      <c r="K652" s="8">
        <v>6.8511324926791253E-2</v>
      </c>
      <c r="L652" s="9">
        <v>3.8061847181550701E-2</v>
      </c>
      <c r="M652" s="10">
        <v>-146.0735294117647</v>
      </c>
      <c r="N652" s="11">
        <v>1.8</v>
      </c>
      <c r="O652" s="12">
        <v>19010.709388109313</v>
      </c>
      <c r="P652" s="32" t="s">
        <v>506</v>
      </c>
      <c r="Q652" s="81" t="s">
        <v>76</v>
      </c>
      <c r="R652" s="82" t="s">
        <v>530</v>
      </c>
      <c r="S652" s="32"/>
      <c r="T652" s="32">
        <v>1133</v>
      </c>
      <c r="U652" s="32">
        <v>0</v>
      </c>
      <c r="V652" s="74" t="s">
        <v>77</v>
      </c>
      <c r="W652" s="15"/>
      <c r="X652" s="15"/>
      <c r="Y652" s="16"/>
      <c r="Z652" s="17"/>
      <c r="AA652" s="16"/>
      <c r="AB652" s="99">
        <v>906.4</v>
      </c>
      <c r="AC652" s="20">
        <v>77.623331142054496</v>
      </c>
      <c r="AD652" s="21">
        <v>46019</v>
      </c>
      <c r="AE652" s="22">
        <v>596049.97589462087</v>
      </c>
      <c r="AF652" s="23">
        <v>344878.76593333372</v>
      </c>
      <c r="AG652" s="24">
        <v>443972.36593333387</v>
      </c>
      <c r="AH652" s="15">
        <v>0.5</v>
      </c>
      <c r="AI652" s="25" t="s">
        <v>799</v>
      </c>
      <c r="AJ652" s="25"/>
      <c r="AK652" s="25"/>
      <c r="AL652" s="25"/>
      <c r="AM652" s="25"/>
      <c r="AN652" s="25">
        <v>-172</v>
      </c>
      <c r="AO652" s="25">
        <v>131</v>
      </c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>
        <v>-200</v>
      </c>
      <c r="BC652" s="25">
        <v>148</v>
      </c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>
        <v>-190</v>
      </c>
      <c r="BQ652" s="1">
        <v>130</v>
      </c>
      <c r="BR652" s="1">
        <v>1000</v>
      </c>
      <c r="BS652" s="1">
        <v>1000</v>
      </c>
      <c r="BT652" s="1">
        <v>-160</v>
      </c>
      <c r="BU652" s="1">
        <v>120</v>
      </c>
    </row>
    <row r="653" spans="1:73" ht="15" customHeight="1" x14ac:dyDescent="0.25">
      <c r="A653" s="1">
        <f t="shared" si="43"/>
        <v>296</v>
      </c>
      <c r="B653" s="1" t="str">
        <f t="shared" si="40"/>
        <v xml:space="preserve">Washington </v>
      </c>
      <c r="C653" s="1">
        <f t="shared" si="41"/>
        <v>0</v>
      </c>
      <c r="D653" s="2" t="str">
        <f t="shared" si="42"/>
        <v>2025-12</v>
      </c>
      <c r="E653" s="3" t="s">
        <v>800</v>
      </c>
      <c r="F653" s="4" t="s">
        <v>773</v>
      </c>
      <c r="G653" s="39">
        <v>46019</v>
      </c>
      <c r="H653" s="40">
        <v>-159</v>
      </c>
      <c r="I653" s="40">
        <v>124</v>
      </c>
      <c r="J653" s="36">
        <v>-114</v>
      </c>
      <c r="K653" s="8">
        <v>8.6840907457538044E-2</v>
      </c>
      <c r="L653" s="9">
        <v>4.6261044159623066E-2</v>
      </c>
      <c r="M653" s="10">
        <v>-137.51351351351354</v>
      </c>
      <c r="N653" s="11">
        <v>1.8771929824561404</v>
      </c>
      <c r="O653" s="12">
        <v>21946.933822371502</v>
      </c>
      <c r="P653" s="32" t="s">
        <v>506</v>
      </c>
      <c r="Q653" s="81" t="s">
        <v>801</v>
      </c>
      <c r="R653" s="82" t="s">
        <v>802</v>
      </c>
      <c r="S653" s="32"/>
      <c r="T653" s="32">
        <v>750</v>
      </c>
      <c r="U653" s="32">
        <v>0</v>
      </c>
      <c r="V653" s="74" t="s">
        <v>77</v>
      </c>
      <c r="W653" s="15"/>
      <c r="X653" s="15"/>
      <c r="Y653" s="16"/>
      <c r="Z653" s="17"/>
      <c r="AA653" s="16"/>
      <c r="AB653" s="99">
        <v>657.89</v>
      </c>
      <c r="AC653" s="20">
        <v>65.130680593153528</v>
      </c>
      <c r="AD653" s="21">
        <v>46019</v>
      </c>
      <c r="AE653" s="22">
        <v>595209.74968577235</v>
      </c>
      <c r="AF653" s="23">
        <v>344036.40593333368</v>
      </c>
      <c r="AG653" s="24">
        <v>443378.51593333384</v>
      </c>
      <c r="AH653" s="15">
        <v>0.5</v>
      </c>
      <c r="AI653" s="25" t="s">
        <v>803</v>
      </c>
      <c r="AJ653" s="25"/>
      <c r="AK653" s="25"/>
      <c r="AL653" s="25"/>
      <c r="AM653" s="25"/>
      <c r="AN653" s="25">
        <v>-159</v>
      </c>
      <c r="AO653" s="25">
        <v>124</v>
      </c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>
        <v>-156</v>
      </c>
      <c r="BC653" s="25">
        <v>122</v>
      </c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R653" s="1">
        <v>1000</v>
      </c>
      <c r="BS653" s="1">
        <v>1000</v>
      </c>
      <c r="BT653" s="1">
        <v>-166</v>
      </c>
      <c r="BU653" s="1">
        <v>130</v>
      </c>
    </row>
    <row r="654" spans="1:73" ht="15" customHeight="1" x14ac:dyDescent="0.25">
      <c r="A654" s="1">
        <f t="shared" si="43"/>
        <v>297</v>
      </c>
      <c r="B654" s="1" t="str">
        <f t="shared" si="40"/>
        <v xml:space="preserve">Air </v>
      </c>
      <c r="C654" s="1">
        <f t="shared" si="41"/>
        <v>0</v>
      </c>
      <c r="D654" s="2" t="str">
        <f t="shared" si="42"/>
        <v>2026-01</v>
      </c>
      <c r="E654" s="100" t="s">
        <v>804</v>
      </c>
      <c r="F654" s="101" t="s">
        <v>805</v>
      </c>
      <c r="G654" s="102">
        <v>46046</v>
      </c>
      <c r="H654" s="6">
        <v>-139</v>
      </c>
      <c r="I654" s="6">
        <v>105</v>
      </c>
      <c r="J654" s="103">
        <v>104</v>
      </c>
      <c r="K654" s="8">
        <v>0.10945319209848282</v>
      </c>
      <c r="L654" s="9">
        <v>5.3653525538471969E-2</v>
      </c>
      <c r="M654" s="10">
        <v>-119.22594142259416</v>
      </c>
      <c r="N654" s="11">
        <v>2.04</v>
      </c>
      <c r="O654" s="12">
        <v>30316.931139481218</v>
      </c>
      <c r="P654" s="13" t="s">
        <v>506</v>
      </c>
      <c r="Q654" s="13" t="s">
        <v>76</v>
      </c>
      <c r="R654" s="14" t="s">
        <v>806</v>
      </c>
      <c r="S654" s="13">
        <v>650</v>
      </c>
      <c r="T654" s="13">
        <v>454.99999999999994</v>
      </c>
      <c r="U654" s="104">
        <v>454.99999999999994</v>
      </c>
      <c r="V654" s="31" t="s">
        <v>82</v>
      </c>
      <c r="W654" s="105"/>
      <c r="X654" s="105"/>
      <c r="Y654" s="10"/>
      <c r="Z654" s="8"/>
      <c r="AA654" s="10"/>
      <c r="AB654" s="106">
        <v>-454.99999999999994</v>
      </c>
      <c r="AC654" s="107">
        <v>49.801202404809679</v>
      </c>
      <c r="AD654" s="108">
        <v>46046</v>
      </c>
      <c r="AE654" s="109">
        <v>615888.97822534083</v>
      </c>
      <c r="AF654" s="110">
        <v>475674.53593333362</v>
      </c>
      <c r="AG654" s="24">
        <v>576129.53593333368</v>
      </c>
      <c r="AH654" s="15">
        <v>0.5</v>
      </c>
      <c r="AI654" s="25" t="s">
        <v>807</v>
      </c>
      <c r="AJ654" s="25"/>
      <c r="AK654" s="25"/>
      <c r="AL654" s="25"/>
      <c r="AM654" s="25"/>
      <c r="AN654" s="25">
        <v>-139</v>
      </c>
      <c r="AO654" s="25">
        <v>105</v>
      </c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>
        <v>-140</v>
      </c>
      <c r="BC654" s="25">
        <v>105</v>
      </c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>
        <v>-115</v>
      </c>
      <c r="BQ654" s="1">
        <v>-115</v>
      </c>
      <c r="BR654" s="1">
        <v>1000</v>
      </c>
      <c r="BS654" s="1">
        <v>1000</v>
      </c>
      <c r="BT654" s="1">
        <v>-105</v>
      </c>
      <c r="BU654" s="1">
        <v>-125</v>
      </c>
    </row>
    <row r="655" spans="1:73" ht="15" customHeight="1" x14ac:dyDescent="0.25">
      <c r="A655" s="1">
        <f t="shared" si="43"/>
        <v>298</v>
      </c>
      <c r="B655" s="1" t="str">
        <f t="shared" si="40"/>
        <v xml:space="preserve">Arizona </v>
      </c>
      <c r="C655" s="1">
        <f t="shared" si="41"/>
        <v>0</v>
      </c>
      <c r="D655" s="2" t="str">
        <f t="shared" si="42"/>
        <v>2026-01</v>
      </c>
      <c r="E655" s="3" t="s">
        <v>808</v>
      </c>
      <c r="F655" s="4" t="s">
        <v>805</v>
      </c>
      <c r="G655" s="39">
        <v>46046</v>
      </c>
      <c r="H655" s="40">
        <v>-175</v>
      </c>
      <c r="I655" s="40">
        <v>130</v>
      </c>
      <c r="J655" s="36">
        <v>104</v>
      </c>
      <c r="K655" s="8">
        <v>0.21195571955719553</v>
      </c>
      <c r="L655" s="9">
        <v>0.10389986252803701</v>
      </c>
      <c r="M655" s="10">
        <v>-146.36363636363632</v>
      </c>
      <c r="N655" s="11">
        <v>2.04</v>
      </c>
      <c r="O655" s="12">
        <v>57911.787541886682</v>
      </c>
      <c r="P655" s="32" t="s">
        <v>506</v>
      </c>
      <c r="Q655" s="81" t="s">
        <v>76</v>
      </c>
      <c r="R655" s="82" t="s">
        <v>625</v>
      </c>
      <c r="S655" s="32">
        <v>425</v>
      </c>
      <c r="T655" s="32">
        <v>297.5</v>
      </c>
      <c r="U655" s="32">
        <v>297.5</v>
      </c>
      <c r="V655" s="74" t="s">
        <v>77</v>
      </c>
      <c r="W655" s="15"/>
      <c r="X655" s="15"/>
      <c r="Y655" s="16"/>
      <c r="Z655" s="17"/>
      <c r="AA655" s="16"/>
      <c r="AB655" s="99">
        <v>309.39999999999998</v>
      </c>
      <c r="AC655" s="20">
        <v>63.05682656826567</v>
      </c>
      <c r="AD655" s="21">
        <v>46046</v>
      </c>
      <c r="AE655" s="22">
        <v>614132.49978709163</v>
      </c>
      <c r="AF655" s="23">
        <v>468619.22593333368</v>
      </c>
      <c r="AG655" s="24">
        <v>568309.82593333384</v>
      </c>
      <c r="AH655" s="15">
        <v>0.5</v>
      </c>
      <c r="AI655" s="25" t="s">
        <v>809</v>
      </c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</row>
    <row r="656" spans="1:73" ht="15" customHeight="1" x14ac:dyDescent="0.25">
      <c r="A656" s="1">
        <f t="shared" si="43"/>
        <v>299</v>
      </c>
      <c r="B656" s="1" t="str">
        <f t="shared" si="40"/>
        <v xml:space="preserve">Auburn </v>
      </c>
      <c r="C656" s="1">
        <f t="shared" si="41"/>
        <v>1</v>
      </c>
      <c r="D656" s="2" t="str">
        <f t="shared" si="42"/>
        <v>2026-01</v>
      </c>
      <c r="E656" s="100" t="s">
        <v>810</v>
      </c>
      <c r="F656" s="101" t="s">
        <v>805</v>
      </c>
      <c r="G656" s="5">
        <v>46046</v>
      </c>
      <c r="H656" s="6">
        <v>100</v>
      </c>
      <c r="I656" s="6">
        <v>-120</v>
      </c>
      <c r="J656" s="103">
        <v>125</v>
      </c>
      <c r="K656" s="17">
        <v>7.6086956521739219E-2</v>
      </c>
      <c r="L656" s="111">
        <v>3.3816425120772986E-2</v>
      </c>
      <c r="M656" s="16">
        <v>109.09090909090908</v>
      </c>
      <c r="N656" s="112">
        <v>2.25</v>
      </c>
      <c r="O656" s="113">
        <v>17445.032224058003</v>
      </c>
      <c r="P656" s="13" t="s">
        <v>506</v>
      </c>
      <c r="Q656" s="13" t="s">
        <v>92</v>
      </c>
      <c r="R656" s="14" t="s">
        <v>811</v>
      </c>
      <c r="S656" s="13">
        <v>800</v>
      </c>
      <c r="T656" s="13">
        <v>560</v>
      </c>
      <c r="U656" s="104">
        <v>560</v>
      </c>
      <c r="V656" s="31" t="s">
        <v>77</v>
      </c>
      <c r="W656" s="15"/>
      <c r="X656" s="15"/>
      <c r="Y656" s="16"/>
      <c r="Z656" s="17"/>
      <c r="AA656" s="16"/>
      <c r="AB656" s="24">
        <v>700</v>
      </c>
      <c r="AC656" s="20">
        <v>42.608695652173964</v>
      </c>
      <c r="AD656" s="21">
        <v>46046</v>
      </c>
      <c r="AE656" s="22">
        <v>616604.68343032897</v>
      </c>
      <c r="AF656" s="23">
        <v>473893.91593333363</v>
      </c>
      <c r="AG656" s="24">
        <v>573193.91593333369</v>
      </c>
      <c r="AH656" s="15">
        <v>0.5</v>
      </c>
      <c r="AI656" s="25" t="s">
        <v>812</v>
      </c>
      <c r="AJ656" s="25"/>
      <c r="AK656" s="25"/>
      <c r="AL656" s="25"/>
      <c r="AM656" s="25"/>
      <c r="AN656" s="25">
        <v>-110</v>
      </c>
      <c r="AO656" s="25">
        <v>-120</v>
      </c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>
        <v>-110</v>
      </c>
      <c r="BQ656" s="1">
        <v>-120</v>
      </c>
      <c r="BR656" s="1">
        <v>1000</v>
      </c>
      <c r="BS656" s="1">
        <v>1000</v>
      </c>
      <c r="BT656" s="1">
        <v>100</v>
      </c>
      <c r="BU656" s="1">
        <v>-130</v>
      </c>
    </row>
    <row r="657" spans="1:73" ht="15" customHeight="1" x14ac:dyDescent="0.25">
      <c r="A657" s="1">
        <f t="shared" si="43"/>
        <v>300</v>
      </c>
      <c r="B657" s="1" t="str">
        <f t="shared" si="40"/>
        <v xml:space="preserve">Binghamton </v>
      </c>
      <c r="C657" s="1">
        <f t="shared" si="41"/>
        <v>0</v>
      </c>
      <c r="D657" s="2" t="str">
        <f t="shared" si="42"/>
        <v>2026-01</v>
      </c>
      <c r="E657" s="3" t="s">
        <v>813</v>
      </c>
      <c r="F657" s="4" t="s">
        <v>814</v>
      </c>
      <c r="G657" s="39">
        <v>46046</v>
      </c>
      <c r="H657" s="40">
        <v>294</v>
      </c>
      <c r="I657" s="40">
        <v>-294</v>
      </c>
      <c r="J657" s="36">
        <v>400</v>
      </c>
      <c r="K657" s="8">
        <v>0.26903553299492372</v>
      </c>
      <c r="L657" s="9">
        <v>5.3807106598984744E-2</v>
      </c>
      <c r="M657" s="10">
        <v>294</v>
      </c>
      <c r="N657" s="11">
        <v>5</v>
      </c>
      <c r="O657" s="12">
        <v>19122.800053595609</v>
      </c>
      <c r="P657" s="32" t="s">
        <v>506</v>
      </c>
      <c r="Q657" s="81" t="s">
        <v>81</v>
      </c>
      <c r="R657" s="82" t="s">
        <v>815</v>
      </c>
      <c r="S657" s="32">
        <v>175</v>
      </c>
      <c r="T657" s="32">
        <v>122.49999999999999</v>
      </c>
      <c r="U657" s="32">
        <v>122.49999999999999</v>
      </c>
      <c r="V657" s="74" t="s">
        <v>82</v>
      </c>
      <c r="W657" s="15"/>
      <c r="X657" s="15"/>
      <c r="Y657" s="16"/>
      <c r="Z657" s="17"/>
      <c r="AA657" s="16"/>
      <c r="AB657" s="99">
        <v>-122.49999999999999</v>
      </c>
      <c r="AC657" s="20">
        <v>32.956852791878148</v>
      </c>
      <c r="AD657" s="21">
        <v>46046</v>
      </c>
      <c r="AE657" s="22">
        <v>613965.07351882826</v>
      </c>
      <c r="AF657" s="23">
        <v>468510.19593333366</v>
      </c>
      <c r="AG657" s="24">
        <v>568632.69593333383</v>
      </c>
      <c r="AH657" s="15">
        <v>0.5</v>
      </c>
      <c r="AI657" s="25" t="s">
        <v>816</v>
      </c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</row>
    <row r="658" spans="1:73" ht="15" customHeight="1" x14ac:dyDescent="0.25">
      <c r="A658" s="1">
        <f t="shared" si="43"/>
        <v>301</v>
      </c>
      <c r="B658" s="1" t="str">
        <f t="shared" si="40"/>
        <v xml:space="preserve">Boston </v>
      </c>
      <c r="C658" s="1">
        <f t="shared" si="41"/>
        <v>0</v>
      </c>
      <c r="D658" s="2" t="str">
        <f t="shared" si="42"/>
        <v>2026-01</v>
      </c>
      <c r="E658" s="100" t="s">
        <v>817</v>
      </c>
      <c r="F658" s="101" t="s">
        <v>805</v>
      </c>
      <c r="G658" s="5">
        <v>46046</v>
      </c>
      <c r="H658" s="6">
        <v>102</v>
      </c>
      <c r="I658" s="6">
        <v>-110</v>
      </c>
      <c r="J658" s="103">
        <v>132</v>
      </c>
      <c r="K658" s="8">
        <v>0.12725590004627504</v>
      </c>
      <c r="L658" s="9">
        <v>5.4851681054428891E-2</v>
      </c>
      <c r="M658" s="10">
        <v>105.8095238095238</v>
      </c>
      <c r="N658" s="11">
        <v>2.3200000000000003</v>
      </c>
      <c r="O658" s="12">
        <v>27545.104308062153</v>
      </c>
      <c r="P658" s="13" t="s">
        <v>506</v>
      </c>
      <c r="Q658" s="13" t="s">
        <v>76</v>
      </c>
      <c r="R658" s="14" t="s">
        <v>818</v>
      </c>
      <c r="S658" s="13">
        <v>525</v>
      </c>
      <c r="T658" s="13">
        <v>367.5</v>
      </c>
      <c r="U658" s="104">
        <v>367.5</v>
      </c>
      <c r="V658" s="31" t="s">
        <v>77</v>
      </c>
      <c r="W658" s="15"/>
      <c r="X658" s="15"/>
      <c r="Y658" s="16"/>
      <c r="Z658" s="17"/>
      <c r="AA658" s="16"/>
      <c r="AB658" s="24">
        <v>485.1</v>
      </c>
      <c r="AC658" s="20">
        <v>46.766543267006078</v>
      </c>
      <c r="AD658" s="21">
        <v>46046</v>
      </c>
      <c r="AE658" s="22">
        <v>617649.48774028383</v>
      </c>
      <c r="AF658" s="23">
        <v>471924.81593333365</v>
      </c>
      <c r="AG658" s="24">
        <v>571439.7159333335</v>
      </c>
      <c r="AH658" s="15">
        <v>0.5</v>
      </c>
      <c r="AI658" s="25" t="s">
        <v>819</v>
      </c>
      <c r="AJ658" s="25">
        <v>-112</v>
      </c>
      <c r="AK658" s="25">
        <v>750</v>
      </c>
      <c r="AL658" s="25">
        <v>-118</v>
      </c>
      <c r="AM658" s="25">
        <v>750</v>
      </c>
      <c r="AN658" s="25">
        <v>-121</v>
      </c>
      <c r="AO658" s="25">
        <v>-110</v>
      </c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>
        <v>102</v>
      </c>
      <c r="BC658" s="25">
        <v>-136</v>
      </c>
      <c r="BD658" s="25"/>
      <c r="BE658" s="25"/>
      <c r="BF658" s="25"/>
      <c r="BG658" s="25"/>
      <c r="BH658" s="25">
        <v>-112</v>
      </c>
      <c r="BI658" s="25">
        <v>82</v>
      </c>
      <c r="BJ658" s="25">
        <v>-118</v>
      </c>
      <c r="BK658" s="25">
        <v>84</v>
      </c>
      <c r="BL658" s="25">
        <v>-113</v>
      </c>
      <c r="BM658" s="25">
        <v>66</v>
      </c>
      <c r="BN658" s="25">
        <v>-119</v>
      </c>
      <c r="BO658" s="25">
        <v>68</v>
      </c>
      <c r="BP658" s="25"/>
      <c r="BR658" s="1">
        <v>1000</v>
      </c>
      <c r="BS658" s="1">
        <v>1000</v>
      </c>
    </row>
    <row r="659" spans="1:73" ht="15" customHeight="1" x14ac:dyDescent="0.25">
      <c r="A659" s="1">
        <f t="shared" si="43"/>
        <v>302</v>
      </c>
      <c r="B659" s="1" t="str">
        <f t="shared" si="40"/>
        <v xml:space="preserve">Boston </v>
      </c>
      <c r="C659" s="1">
        <f t="shared" si="41"/>
        <v>1</v>
      </c>
      <c r="D659" s="2" t="str">
        <f t="shared" si="42"/>
        <v>2026-01</v>
      </c>
      <c r="E659" s="100" t="s">
        <v>820</v>
      </c>
      <c r="F659" s="101" t="s">
        <v>805</v>
      </c>
      <c r="G659" s="5">
        <v>46046</v>
      </c>
      <c r="H659" s="6">
        <v>-107</v>
      </c>
      <c r="I659" s="6">
        <v>-109</v>
      </c>
      <c r="J659" s="103">
        <v>123</v>
      </c>
      <c r="K659" s="8">
        <v>0.11003628188576756</v>
      </c>
      <c r="L659" s="9">
        <v>4.9343624164021327E-2</v>
      </c>
      <c r="M659" s="10">
        <v>100.89433439162902</v>
      </c>
      <c r="N659" s="11">
        <v>2.23</v>
      </c>
      <c r="O659" s="12">
        <v>25582.309050205691</v>
      </c>
      <c r="P659" s="13" t="s">
        <v>506</v>
      </c>
      <c r="Q659" s="13" t="s">
        <v>92</v>
      </c>
      <c r="R659" s="14" t="s">
        <v>821</v>
      </c>
      <c r="S659" s="13">
        <v>1400</v>
      </c>
      <c r="T659" s="13">
        <v>979.99999999999989</v>
      </c>
      <c r="U659" s="104">
        <v>979.99999999999989</v>
      </c>
      <c r="V659" s="31" t="s">
        <v>77</v>
      </c>
      <c r="W659" s="15"/>
      <c r="X659" s="15"/>
      <c r="Y659" s="16"/>
      <c r="Z659" s="17"/>
      <c r="AA659" s="16"/>
      <c r="AB659" s="24">
        <v>1205.4000000000001</v>
      </c>
      <c r="AC659" s="20">
        <v>107.8355562480522</v>
      </c>
      <c r="AD659" s="21">
        <v>46046</v>
      </c>
      <c r="AE659" s="22">
        <v>617757.32329653192</v>
      </c>
      <c r="AF659" s="23">
        <v>473130.21593333367</v>
      </c>
      <c r="AG659" s="24">
        <v>571924.81593333348</v>
      </c>
      <c r="AH659" s="15">
        <v>0.5</v>
      </c>
      <c r="AI659" s="25" t="s">
        <v>822</v>
      </c>
      <c r="AJ659" s="25">
        <v>-107</v>
      </c>
      <c r="AK659" s="25">
        <v>5600</v>
      </c>
      <c r="AL659" s="25">
        <v>-109</v>
      </c>
      <c r="AM659" s="25">
        <v>5600</v>
      </c>
      <c r="AN659" s="25">
        <v>-113</v>
      </c>
      <c r="AO659" s="25">
        <v>-114</v>
      </c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>
        <v>-128</v>
      </c>
      <c r="BC659" s="25">
        <v>104</v>
      </c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>
        <v>-135</v>
      </c>
      <c r="BQ659" s="1">
        <v>-105</v>
      </c>
      <c r="BR659" s="1">
        <v>1000</v>
      </c>
      <c r="BS659" s="1">
        <v>1000</v>
      </c>
      <c r="BT659" s="1">
        <v>-135</v>
      </c>
      <c r="BU659" s="1">
        <v>100</v>
      </c>
    </row>
    <row r="660" spans="1:73" ht="15" customHeight="1" x14ac:dyDescent="0.25">
      <c r="A660" s="1">
        <f t="shared" si="43"/>
        <v>302</v>
      </c>
      <c r="B660" s="1" t="str">
        <f t="shared" si="40"/>
        <v xml:space="preserve">Boston </v>
      </c>
      <c r="C660" s="1">
        <f t="shared" si="41"/>
        <v>1</v>
      </c>
      <c r="D660" s="2" t="str">
        <f t="shared" si="42"/>
        <v>2026-01</v>
      </c>
      <c r="E660" s="100" t="s">
        <v>823</v>
      </c>
      <c r="F660" s="101" t="s">
        <v>805</v>
      </c>
      <c r="G660" s="5">
        <v>46046</v>
      </c>
      <c r="H660" s="6">
        <v>108</v>
      </c>
      <c r="I660" s="6">
        <v>-136</v>
      </c>
      <c r="J660" s="103">
        <v>133</v>
      </c>
      <c r="K660" s="8">
        <v>5.9744064138143815E-2</v>
      </c>
      <c r="L660" s="9">
        <v>2.5641229243838548E-2</v>
      </c>
      <c r="M660" s="10">
        <v>119.86440677966101</v>
      </c>
      <c r="N660" s="11">
        <v>2.33</v>
      </c>
      <c r="O660" s="12">
        <v>12918.284381697023</v>
      </c>
      <c r="P660" s="13" t="s">
        <v>506</v>
      </c>
      <c r="Q660" s="13" t="s">
        <v>92</v>
      </c>
      <c r="R660" s="14" t="s">
        <v>821</v>
      </c>
      <c r="S660" s="13">
        <v>1050</v>
      </c>
      <c r="T660" s="13">
        <v>735</v>
      </c>
      <c r="U660" s="13">
        <v>735</v>
      </c>
      <c r="V660" s="31" t="s">
        <v>77</v>
      </c>
      <c r="W660" s="15"/>
      <c r="X660" s="15"/>
      <c r="Y660" s="16"/>
      <c r="Z660" s="17"/>
      <c r="AA660" s="16"/>
      <c r="AB660" s="24">
        <v>977.55</v>
      </c>
      <c r="AC660" s="20">
        <v>43.911887141535708</v>
      </c>
      <c r="AD660" s="21">
        <v>46046</v>
      </c>
      <c r="AE660" s="22">
        <v>618328.45872517861</v>
      </c>
      <c r="AF660" s="23">
        <v>476141.57593333366</v>
      </c>
      <c r="AG660" s="24">
        <v>575164.02593333344</v>
      </c>
      <c r="AH660" s="15">
        <v>0.5</v>
      </c>
      <c r="AI660" s="25" t="s">
        <v>824</v>
      </c>
      <c r="AJ660" s="25"/>
      <c r="AK660" s="25"/>
      <c r="AL660" s="25"/>
      <c r="AM660" s="25"/>
      <c r="AN660" s="25">
        <v>-101</v>
      </c>
      <c r="AO660" s="25">
        <v>-131</v>
      </c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>
        <v>108</v>
      </c>
      <c r="BC660" s="25">
        <v>-132</v>
      </c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>
        <v>110</v>
      </c>
      <c r="BQ660" s="1">
        <v>-150</v>
      </c>
      <c r="BR660" s="1">
        <v>1000</v>
      </c>
      <c r="BS660" s="1">
        <v>1000</v>
      </c>
      <c r="BT660" s="1">
        <v>135</v>
      </c>
      <c r="BU660" s="1">
        <v>-185</v>
      </c>
    </row>
    <row r="661" spans="1:73" ht="15" customHeight="1" x14ac:dyDescent="0.25">
      <c r="A661" s="1">
        <f t="shared" si="43"/>
        <v>303</v>
      </c>
      <c r="B661" s="1" t="str">
        <f t="shared" si="40"/>
        <v xml:space="preserve">Bowling </v>
      </c>
      <c r="C661" s="1">
        <f t="shared" si="41"/>
        <v>0</v>
      </c>
      <c r="D661" s="2" t="str">
        <f t="shared" si="42"/>
        <v>2026-01</v>
      </c>
      <c r="E661" s="100" t="s">
        <v>825</v>
      </c>
      <c r="F661" s="101" t="s">
        <v>805</v>
      </c>
      <c r="G661" s="5">
        <v>46046</v>
      </c>
      <c r="H661" s="6">
        <v>-106</v>
      </c>
      <c r="I661" s="6">
        <v>106</v>
      </c>
      <c r="J661" s="103">
        <v>118</v>
      </c>
      <c r="K661" s="8">
        <v>0.12174757281553353</v>
      </c>
      <c r="L661" s="9">
        <v>5.5847510465841077E-2</v>
      </c>
      <c r="M661" s="10">
        <v>-105.99999999999999</v>
      </c>
      <c r="N661" s="11">
        <v>2.1799999999999997</v>
      </c>
      <c r="O661" s="12">
        <v>29587.040768487659</v>
      </c>
      <c r="P661" s="13" t="s">
        <v>506</v>
      </c>
      <c r="Q661" s="13" t="s">
        <v>76</v>
      </c>
      <c r="R661" s="14" t="s">
        <v>663</v>
      </c>
      <c r="S661" s="13">
        <v>375</v>
      </c>
      <c r="T661" s="13">
        <v>262.5</v>
      </c>
      <c r="U661" s="13">
        <v>262.5</v>
      </c>
      <c r="V661" s="31" t="s">
        <v>77</v>
      </c>
      <c r="W661" s="105"/>
      <c r="X661" s="105"/>
      <c r="Y661" s="114"/>
      <c r="Z661" s="8"/>
      <c r="AA661" s="10"/>
      <c r="AB661" s="106">
        <v>309.75</v>
      </c>
      <c r="AC661" s="107">
        <v>31.958737864077552</v>
      </c>
      <c r="AD661" s="108">
        <v>46046</v>
      </c>
      <c r="AE661" s="109">
        <v>615180.3215398913</v>
      </c>
      <c r="AF661" s="110">
        <v>473835.89593333367</v>
      </c>
      <c r="AG661" s="106">
        <v>573526.14593333378</v>
      </c>
      <c r="AH661" s="15">
        <v>0.5</v>
      </c>
      <c r="AI661" s="25" t="s">
        <v>826</v>
      </c>
      <c r="AJ661" s="25"/>
      <c r="AK661" s="25"/>
      <c r="AL661" s="25"/>
      <c r="AM661" s="25"/>
      <c r="AN661" s="25">
        <v>-123</v>
      </c>
      <c r="AO661" s="25">
        <v>-108</v>
      </c>
      <c r="AP661" s="25"/>
      <c r="AQ661" s="25"/>
      <c r="AR661" s="25"/>
      <c r="AS661" s="25"/>
      <c r="AT661" s="25"/>
      <c r="AU661" s="25"/>
      <c r="AV661" s="25"/>
      <c r="AW661" s="25"/>
      <c r="AX661" s="25">
        <v>-154</v>
      </c>
      <c r="AY661" s="25">
        <v>278</v>
      </c>
      <c r="AZ661" s="25">
        <v>-148</v>
      </c>
      <c r="BA661" s="25">
        <v>133</v>
      </c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>
        <v>-115</v>
      </c>
      <c r="BQ661" s="1">
        <v>-115</v>
      </c>
      <c r="BR661" s="1">
        <v>1000</v>
      </c>
      <c r="BS661" s="1">
        <v>1000</v>
      </c>
      <c r="BT661" s="1">
        <v>-110</v>
      </c>
      <c r="BU661" s="1">
        <v>-120</v>
      </c>
    </row>
    <row r="662" spans="1:73" ht="15" customHeight="1" x14ac:dyDescent="0.25">
      <c r="A662" s="1">
        <f t="shared" si="43"/>
        <v>304</v>
      </c>
      <c r="B662" s="1" t="str">
        <f t="shared" si="40"/>
        <v xml:space="preserve">Brown </v>
      </c>
      <c r="C662" s="1">
        <f t="shared" si="41"/>
        <v>0</v>
      </c>
      <c r="D662" s="2" t="str">
        <f t="shared" si="42"/>
        <v>2026-01</v>
      </c>
      <c r="E662" s="3" t="s">
        <v>827</v>
      </c>
      <c r="F662" s="4" t="s">
        <v>814</v>
      </c>
      <c r="G662" s="39">
        <v>46046</v>
      </c>
      <c r="H662" s="40">
        <v>305</v>
      </c>
      <c r="I662" s="40">
        <v>-450</v>
      </c>
      <c r="J662" s="36">
        <v>255</v>
      </c>
      <c r="K662" s="8">
        <v>-0.17702845100105358</v>
      </c>
      <c r="L662" s="9">
        <v>-4.9867169296071434E-2</v>
      </c>
      <c r="M662" s="10">
        <v>331.36363636363632</v>
      </c>
      <c r="N662" s="11">
        <v>3.55</v>
      </c>
      <c r="O662" s="12">
        <v>-19827.245380441742</v>
      </c>
      <c r="P662" s="32" t="s">
        <v>506</v>
      </c>
      <c r="Q662" s="81" t="s">
        <v>81</v>
      </c>
      <c r="R662" s="82" t="s">
        <v>828</v>
      </c>
      <c r="S662" s="32">
        <v>250</v>
      </c>
      <c r="T662" s="32">
        <v>175</v>
      </c>
      <c r="U662" s="32">
        <v>175</v>
      </c>
      <c r="V662" s="74" t="s">
        <v>82</v>
      </c>
      <c r="W662" s="15"/>
      <c r="X662" s="15"/>
      <c r="Y662" s="16"/>
      <c r="Z662" s="17"/>
      <c r="AA662" s="16"/>
      <c r="AB662" s="99">
        <v>-175</v>
      </c>
      <c r="AC662" s="20">
        <v>-30.979978925184376</v>
      </c>
      <c r="AD662" s="21">
        <v>46046</v>
      </c>
      <c r="AE662" s="22">
        <v>613522.20878440421</v>
      </c>
      <c r="AF662" s="23">
        <v>471026.69593333366</v>
      </c>
      <c r="AG662" s="24">
        <v>571201.69593333383</v>
      </c>
      <c r="AH662" s="15">
        <v>0.5</v>
      </c>
      <c r="AI662" s="25" t="s">
        <v>829</v>
      </c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</row>
    <row r="663" spans="1:73" ht="15" customHeight="1" x14ac:dyDescent="0.25">
      <c r="A663" s="1">
        <f t="shared" si="43"/>
        <v>305</v>
      </c>
      <c r="B663" s="1" t="str">
        <f t="shared" si="40"/>
        <v xml:space="preserve">Brown </v>
      </c>
      <c r="C663" s="1">
        <f t="shared" si="41"/>
        <v>1</v>
      </c>
      <c r="D663" s="2" t="str">
        <f t="shared" si="42"/>
        <v>2026-01</v>
      </c>
      <c r="E663" s="3" t="s">
        <v>830</v>
      </c>
      <c r="F663" s="4" t="s">
        <v>805</v>
      </c>
      <c r="G663" s="39">
        <v>46046</v>
      </c>
      <c r="H663" s="40">
        <v>-111</v>
      </c>
      <c r="I663" s="40">
        <v>111</v>
      </c>
      <c r="J663" s="36">
        <v>-111</v>
      </c>
      <c r="K663" s="8">
        <v>0</v>
      </c>
      <c r="L663" s="9">
        <v>0</v>
      </c>
      <c r="M663" s="10">
        <v>-111</v>
      </c>
      <c r="N663" s="11">
        <v>1.900900900900901</v>
      </c>
      <c r="O663" s="12">
        <v>0</v>
      </c>
      <c r="P663" s="32" t="s">
        <v>506</v>
      </c>
      <c r="Q663" s="81" t="s">
        <v>92</v>
      </c>
      <c r="R663" s="82" t="s">
        <v>828</v>
      </c>
      <c r="S663" s="32">
        <v>500</v>
      </c>
      <c r="T663" s="32">
        <v>350</v>
      </c>
      <c r="U663" s="32">
        <v>350</v>
      </c>
      <c r="V663" s="74" t="s">
        <v>82</v>
      </c>
      <c r="W663" s="15"/>
      <c r="X663" s="15"/>
      <c r="Y663" s="16"/>
      <c r="Z663" s="17"/>
      <c r="AA663" s="16"/>
      <c r="AB663" s="99">
        <v>-350</v>
      </c>
      <c r="AC663" s="20">
        <v>0</v>
      </c>
      <c r="AD663" s="21">
        <v>46046</v>
      </c>
      <c r="AE663" s="22">
        <v>612848.70647046098</v>
      </c>
      <c r="AF663" s="23">
        <v>476843.4259333337</v>
      </c>
      <c r="AG663" s="24">
        <v>577193.42593333381</v>
      </c>
      <c r="AH663" s="15">
        <v>0.5</v>
      </c>
      <c r="AI663" s="25" t="s">
        <v>831</v>
      </c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</row>
    <row r="664" spans="1:73" ht="15" customHeight="1" x14ac:dyDescent="0.25">
      <c r="A664" s="1">
        <f t="shared" si="43"/>
        <v>305</v>
      </c>
      <c r="B664" s="1" t="str">
        <f t="shared" si="40"/>
        <v xml:space="preserve">Brown </v>
      </c>
      <c r="C664" s="1">
        <f t="shared" si="41"/>
        <v>1</v>
      </c>
      <c r="D664" s="2" t="str">
        <f t="shared" si="42"/>
        <v>2026-01</v>
      </c>
      <c r="E664" s="3" t="s">
        <v>832</v>
      </c>
      <c r="F664" s="4" t="s">
        <v>805</v>
      </c>
      <c r="G664" s="39">
        <v>46046</v>
      </c>
      <c r="H664" s="40">
        <v>-124</v>
      </c>
      <c r="I664" s="40">
        <v>100</v>
      </c>
      <c r="J664" s="36">
        <v>106</v>
      </c>
      <c r="K664" s="8">
        <v>8.2372881355932279E-2</v>
      </c>
      <c r="L664" s="9">
        <v>3.9986835609675864E-2</v>
      </c>
      <c r="M664" s="10">
        <v>-110.71428571428574</v>
      </c>
      <c r="N664" s="11">
        <v>2.06</v>
      </c>
      <c r="O664" s="12">
        <v>22264.154079277301</v>
      </c>
      <c r="P664" s="32" t="s">
        <v>506</v>
      </c>
      <c r="Q664" s="81" t="s">
        <v>92</v>
      </c>
      <c r="R664" s="82" t="s">
        <v>828</v>
      </c>
      <c r="S664" s="32">
        <v>400</v>
      </c>
      <c r="T664" s="32">
        <v>280</v>
      </c>
      <c r="U664" s="32">
        <v>280</v>
      </c>
      <c r="V664" s="74" t="s">
        <v>82</v>
      </c>
      <c r="W664" s="15"/>
      <c r="X664" s="15"/>
      <c r="Y664" s="16"/>
      <c r="Z664" s="17"/>
      <c r="AA664" s="16"/>
      <c r="AB664" s="99">
        <v>-280</v>
      </c>
      <c r="AC664" s="20">
        <v>23.064406779661038</v>
      </c>
      <c r="AD664" s="21">
        <v>46046</v>
      </c>
      <c r="AE664" s="22">
        <v>613423.97764537437</v>
      </c>
      <c r="AF664" s="23">
        <v>472724.19593333366</v>
      </c>
      <c r="AG664" s="24">
        <v>573004.19593333383</v>
      </c>
      <c r="AH664" s="15">
        <v>0.5</v>
      </c>
      <c r="AI664" s="25" t="s">
        <v>833</v>
      </c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</row>
    <row r="665" spans="1:73" ht="15" customHeight="1" x14ac:dyDescent="0.25">
      <c r="A665" s="1">
        <f t="shared" si="43"/>
        <v>306</v>
      </c>
      <c r="B665" s="1" t="str">
        <f t="shared" si="40"/>
        <v xml:space="preserve">California </v>
      </c>
      <c r="C665" s="1">
        <f t="shared" si="41"/>
        <v>1</v>
      </c>
      <c r="D665" s="2" t="str">
        <f t="shared" si="42"/>
        <v>2026-01</v>
      </c>
      <c r="E665" s="100" t="s">
        <v>834</v>
      </c>
      <c r="F665" s="101" t="s">
        <v>805</v>
      </c>
      <c r="G665" s="5">
        <v>46046</v>
      </c>
      <c r="H665" s="6">
        <v>-122</v>
      </c>
      <c r="I665" s="6">
        <v>-108</v>
      </c>
      <c r="J665" s="115">
        <v>114</v>
      </c>
      <c r="K665" s="8">
        <v>0.10035337980223689</v>
      </c>
      <c r="L665" s="9">
        <v>4.6894102711325658E-2</v>
      </c>
      <c r="M665" s="10">
        <v>-105.83917250583917</v>
      </c>
      <c r="N665" s="11">
        <v>2.1399999999999997</v>
      </c>
      <c r="O665" s="12">
        <v>25302.466313230543</v>
      </c>
      <c r="P665" s="13" t="s">
        <v>506</v>
      </c>
      <c r="Q665" s="13" t="s">
        <v>92</v>
      </c>
      <c r="R665" s="14" t="s">
        <v>835</v>
      </c>
      <c r="S665" s="13">
        <v>375</v>
      </c>
      <c r="T665" s="13">
        <v>262.5</v>
      </c>
      <c r="U665" s="13">
        <v>262.5</v>
      </c>
      <c r="V665" s="31" t="s">
        <v>77</v>
      </c>
      <c r="W665" s="15"/>
      <c r="X665" s="15"/>
      <c r="Y665" s="16"/>
      <c r="Z665" s="17"/>
      <c r="AA665" s="16"/>
      <c r="AB665" s="24">
        <v>299.25</v>
      </c>
      <c r="AC665" s="20">
        <v>26.342762198087186</v>
      </c>
      <c r="AD665" s="21">
        <v>46046</v>
      </c>
      <c r="AE665" s="22">
        <v>618284.54683803709</v>
      </c>
      <c r="AF665" s="23">
        <v>475164.02593333367</v>
      </c>
      <c r="AG665" s="24">
        <v>574864.77593333344</v>
      </c>
      <c r="AH665" s="15">
        <v>0.5</v>
      </c>
      <c r="AI665" s="25" t="s">
        <v>836</v>
      </c>
      <c r="AJ665" s="25"/>
      <c r="AK665" s="25"/>
      <c r="AL665" s="25"/>
      <c r="AM665" s="25"/>
      <c r="AN665" s="25">
        <v>-122</v>
      </c>
      <c r="AO665" s="25">
        <v>-108</v>
      </c>
      <c r="AP665" s="25"/>
      <c r="AQ665" s="25"/>
      <c r="AR665" s="25"/>
      <c r="AS665" s="25"/>
      <c r="AT665" s="25"/>
      <c r="AU665" s="25"/>
      <c r="AV665" s="25"/>
      <c r="AW665" s="25"/>
      <c r="AX665" s="25">
        <v>-1428</v>
      </c>
      <c r="AY665" s="25">
        <v>519</v>
      </c>
      <c r="AZ665" s="25">
        <v>-5268</v>
      </c>
      <c r="BA665" s="25">
        <v>273</v>
      </c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>
        <v>100</v>
      </c>
      <c r="BQ665" s="1">
        <v>-140</v>
      </c>
      <c r="BR665" s="1">
        <v>1000</v>
      </c>
      <c r="BS665" s="1">
        <v>1000</v>
      </c>
      <c r="BT665" s="1">
        <v>-115</v>
      </c>
      <c r="BU665" s="1">
        <v>-115</v>
      </c>
    </row>
    <row r="666" spans="1:73" ht="15" customHeight="1" x14ac:dyDescent="0.25">
      <c r="A666" s="1">
        <f t="shared" si="43"/>
        <v>307</v>
      </c>
      <c r="B666" s="1" t="str">
        <f t="shared" si="40"/>
        <v xml:space="preserve">Campbell </v>
      </c>
      <c r="C666" s="1">
        <f t="shared" si="41"/>
        <v>0</v>
      </c>
      <c r="D666" s="2" t="str">
        <f t="shared" si="42"/>
        <v>2026-01</v>
      </c>
      <c r="E666" s="3" t="s">
        <v>710</v>
      </c>
      <c r="F666" s="4" t="s">
        <v>805</v>
      </c>
      <c r="G666" s="39">
        <v>46046</v>
      </c>
      <c r="H666" s="40">
        <v>100</v>
      </c>
      <c r="I666" s="40">
        <v>-125</v>
      </c>
      <c r="J666" s="7">
        <v>128</v>
      </c>
      <c r="K666" s="8">
        <v>7.9999999999999752E-2</v>
      </c>
      <c r="L666" s="9">
        <v>3.5087719298245501E-2</v>
      </c>
      <c r="M666" s="10">
        <v>111.11111111111113</v>
      </c>
      <c r="N666" s="11">
        <v>2.2800000000000002</v>
      </c>
      <c r="O666" s="12">
        <v>17927.162372916624</v>
      </c>
      <c r="P666" s="32" t="s">
        <v>506</v>
      </c>
      <c r="Q666" s="81" t="s">
        <v>81</v>
      </c>
      <c r="R666" s="82" t="s">
        <v>837</v>
      </c>
      <c r="S666" s="32">
        <v>525</v>
      </c>
      <c r="T666" s="32">
        <v>367.5</v>
      </c>
      <c r="U666" s="32">
        <v>367.5</v>
      </c>
      <c r="V666" s="74" t="s">
        <v>82</v>
      </c>
      <c r="W666" s="15"/>
      <c r="X666" s="15"/>
      <c r="Y666" s="16"/>
      <c r="Z666" s="17"/>
      <c r="AA666" s="16"/>
      <c r="AB666" s="99">
        <v>-367.5</v>
      </c>
      <c r="AC666" s="20">
        <v>29.39999999999991</v>
      </c>
      <c r="AD666" s="21">
        <v>46046</v>
      </c>
      <c r="AE666" s="22">
        <v>613375.72951766441</v>
      </c>
      <c r="AF666" s="23">
        <v>473301.69593333366</v>
      </c>
      <c r="AG666" s="24">
        <v>573669.19593333383</v>
      </c>
      <c r="AH666" s="15">
        <v>0.5</v>
      </c>
      <c r="AI666" s="25" t="s">
        <v>838</v>
      </c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</row>
    <row r="667" spans="1:73" ht="15" customHeight="1" x14ac:dyDescent="0.25">
      <c r="A667" s="1">
        <f t="shared" si="43"/>
        <v>308</v>
      </c>
      <c r="B667" s="1" t="str">
        <f t="shared" si="40"/>
        <v xml:space="preserve">Central </v>
      </c>
      <c r="C667" s="1">
        <f t="shared" si="41"/>
        <v>0</v>
      </c>
      <c r="D667" s="2" t="str">
        <f t="shared" si="42"/>
        <v>2026-01</v>
      </c>
      <c r="E667" s="100" t="s">
        <v>839</v>
      </c>
      <c r="F667" s="101" t="s">
        <v>805</v>
      </c>
      <c r="G667" s="5">
        <v>46046</v>
      </c>
      <c r="H667" s="6">
        <v>-125</v>
      </c>
      <c r="I667" s="6">
        <v>-105</v>
      </c>
      <c r="J667" s="115">
        <v>120</v>
      </c>
      <c r="K667" s="17">
        <v>0.1446700507614215</v>
      </c>
      <c r="L667" s="111">
        <v>6.5759113982464312E-2</v>
      </c>
      <c r="M667" s="16">
        <v>-108.4656084656085</v>
      </c>
      <c r="N667" s="112">
        <v>2.2000000000000002</v>
      </c>
      <c r="O667" s="113">
        <v>34670.697026438298</v>
      </c>
      <c r="P667" s="13" t="s">
        <v>506</v>
      </c>
      <c r="Q667" s="13" t="s">
        <v>76</v>
      </c>
      <c r="R667" s="14" t="s">
        <v>840</v>
      </c>
      <c r="S667" s="13">
        <v>575</v>
      </c>
      <c r="T667" s="13">
        <v>402.5</v>
      </c>
      <c r="U667" s="104">
        <v>402.5</v>
      </c>
      <c r="V667" s="31" t="s">
        <v>82</v>
      </c>
      <c r="W667" s="15"/>
      <c r="X667" s="15"/>
      <c r="Y667" s="16"/>
      <c r="Z667" s="17"/>
      <c r="AA667" s="16"/>
      <c r="AB667" s="24">
        <v>-402.5</v>
      </c>
      <c r="AC667" s="20">
        <v>58.229695431472152</v>
      </c>
      <c r="AD667" s="21">
        <v>46046</v>
      </c>
      <c r="AE667" s="22">
        <v>616757.35527936695</v>
      </c>
      <c r="AF667" s="23">
        <v>474766.11593333364</v>
      </c>
      <c r="AG667" s="24">
        <v>575168.61593333364</v>
      </c>
      <c r="AH667" s="15">
        <v>0.5</v>
      </c>
      <c r="AI667" s="25" t="s">
        <v>841</v>
      </c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</row>
    <row r="668" spans="1:73" ht="15" customHeight="1" x14ac:dyDescent="0.25">
      <c r="A668" s="1">
        <f t="shared" si="43"/>
        <v>309</v>
      </c>
      <c r="B668" s="1" t="str">
        <f t="shared" si="40"/>
        <v xml:space="preserve">Charlotte </v>
      </c>
      <c r="C668" s="1">
        <f t="shared" si="41"/>
        <v>0</v>
      </c>
      <c r="D668" s="2" t="str">
        <f t="shared" si="42"/>
        <v>2026-01</v>
      </c>
      <c r="E668" s="3" t="s">
        <v>842</v>
      </c>
      <c r="F668" s="4" t="s">
        <v>805</v>
      </c>
      <c r="G668" s="39">
        <v>46046</v>
      </c>
      <c r="H668" s="40">
        <v>-127</v>
      </c>
      <c r="I668" s="40">
        <v>108</v>
      </c>
      <c r="J668" s="7">
        <v>-104</v>
      </c>
      <c r="K668" s="8">
        <v>5.4971903249450414E-2</v>
      </c>
      <c r="L668" s="9">
        <v>2.8024891852660994E-2</v>
      </c>
      <c r="M668" s="10">
        <v>-116.37004405286345</v>
      </c>
      <c r="N668" s="11">
        <v>1.9615384615384617</v>
      </c>
      <c r="O668" s="12">
        <v>16534.17375377479</v>
      </c>
      <c r="P668" s="32" t="s">
        <v>506</v>
      </c>
      <c r="Q668" s="81" t="s">
        <v>76</v>
      </c>
      <c r="R668" s="82" t="s">
        <v>787</v>
      </c>
      <c r="S668" s="32">
        <v>3625</v>
      </c>
      <c r="T668" s="32">
        <v>2537.5</v>
      </c>
      <c r="U668" s="32">
        <v>2537.5</v>
      </c>
      <c r="V668" s="74" t="s">
        <v>82</v>
      </c>
      <c r="W668" s="15"/>
      <c r="X668" s="15"/>
      <c r="Y668" s="16"/>
      <c r="Z668" s="17"/>
      <c r="AA668" s="16"/>
      <c r="AB668" s="99">
        <v>-2537.5</v>
      </c>
      <c r="AC668" s="20">
        <v>139.49120449548042</v>
      </c>
      <c r="AD668" s="21">
        <v>46046</v>
      </c>
      <c r="AE668" s="22">
        <v>613010.85725114308</v>
      </c>
      <c r="AF668" s="23">
        <v>475875.94593333366</v>
      </c>
      <c r="AG668" s="24">
        <v>578413.44593333383</v>
      </c>
      <c r="AH668" s="15">
        <v>0.5</v>
      </c>
      <c r="AI668" s="25" t="s">
        <v>843</v>
      </c>
      <c r="AJ668" s="25">
        <v>-138</v>
      </c>
      <c r="AK668" s="25">
        <v>4000</v>
      </c>
      <c r="AL668" s="25">
        <v>108</v>
      </c>
      <c r="AM668" s="25">
        <v>4000</v>
      </c>
      <c r="AN668" s="25">
        <v>-127</v>
      </c>
      <c r="AO668" s="25">
        <v>-101</v>
      </c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>
        <v>-162</v>
      </c>
      <c r="BC668" s="25">
        <v>122</v>
      </c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>
        <v>-115</v>
      </c>
      <c r="BQ668" s="1">
        <v>-115</v>
      </c>
      <c r="BR668" s="1">
        <v>1000</v>
      </c>
      <c r="BS668" s="1">
        <v>1000</v>
      </c>
      <c r="BT668" s="1">
        <v>-155</v>
      </c>
      <c r="BU668" s="1">
        <v>115</v>
      </c>
    </row>
    <row r="669" spans="1:73" ht="15" customHeight="1" x14ac:dyDescent="0.25">
      <c r="A669" s="1">
        <f t="shared" si="43"/>
        <v>309</v>
      </c>
      <c r="B669" s="1" t="str">
        <f t="shared" si="40"/>
        <v xml:space="preserve">Charlotte </v>
      </c>
      <c r="C669" s="1">
        <f t="shared" si="41"/>
        <v>0</v>
      </c>
      <c r="D669" s="2" t="str">
        <f t="shared" si="42"/>
        <v>2026-01</v>
      </c>
      <c r="E669" s="3" t="s">
        <v>844</v>
      </c>
      <c r="F669" s="4" t="s">
        <v>805</v>
      </c>
      <c r="G669" s="39">
        <v>46046</v>
      </c>
      <c r="H669" s="40">
        <v>-162</v>
      </c>
      <c r="I669" s="40">
        <v>121</v>
      </c>
      <c r="J669" s="7">
        <v>-109</v>
      </c>
      <c r="K669" s="8">
        <v>0.10718801909023942</v>
      </c>
      <c r="L669" s="9">
        <v>5.5901885554239694E-2</v>
      </c>
      <c r="M669" s="10">
        <v>-136.648854961832</v>
      </c>
      <c r="N669" s="11">
        <v>1.9174311926605505</v>
      </c>
      <c r="O669" s="12">
        <v>33658.492994912005</v>
      </c>
      <c r="P669" s="32" t="s">
        <v>506</v>
      </c>
      <c r="Q669" s="81" t="s">
        <v>76</v>
      </c>
      <c r="R669" s="82" t="s">
        <v>787</v>
      </c>
      <c r="S669" s="32">
        <v>3000</v>
      </c>
      <c r="T669" s="32">
        <v>2100</v>
      </c>
      <c r="U669" s="32">
        <v>2100</v>
      </c>
      <c r="V669" s="74" t="s">
        <v>82</v>
      </c>
      <c r="W669" s="15"/>
      <c r="X669" s="15"/>
      <c r="Y669" s="16"/>
      <c r="Z669" s="17"/>
      <c r="AA669" s="16"/>
      <c r="AB669" s="99">
        <v>-2100</v>
      </c>
      <c r="AC669" s="20">
        <v>225.09484008950278</v>
      </c>
      <c r="AD669" s="21">
        <v>46046</v>
      </c>
      <c r="AE669" s="22">
        <v>613261.92042716406</v>
      </c>
      <c r="AF669" s="23">
        <v>474071.69593333366</v>
      </c>
      <c r="AG669" s="24">
        <v>576171.69593333383</v>
      </c>
      <c r="AH669" s="15">
        <v>0.5</v>
      </c>
      <c r="AI669" s="25" t="s">
        <v>845</v>
      </c>
      <c r="AJ669" s="25"/>
      <c r="AK669" s="25"/>
      <c r="AL669" s="25"/>
      <c r="AM669" s="25"/>
      <c r="AN669" s="25">
        <v>-162</v>
      </c>
      <c r="AO669" s="25">
        <v>121</v>
      </c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>
        <v>-174</v>
      </c>
      <c r="BC669" s="25">
        <v>130</v>
      </c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>
        <v>-135</v>
      </c>
      <c r="BQ669" s="1">
        <v>-105</v>
      </c>
      <c r="BR669" s="1">
        <v>1000</v>
      </c>
      <c r="BS669" s="1">
        <v>1000</v>
      </c>
      <c r="BT669" s="1">
        <v>-185</v>
      </c>
      <c r="BU669" s="1">
        <v>135</v>
      </c>
    </row>
    <row r="670" spans="1:73" ht="15" customHeight="1" x14ac:dyDescent="0.25">
      <c r="A670" s="1">
        <f t="shared" si="43"/>
        <v>309</v>
      </c>
      <c r="B670" s="1" t="str">
        <f t="shared" si="40"/>
        <v xml:space="preserve">Charlotte </v>
      </c>
      <c r="C670" s="1">
        <f t="shared" si="41"/>
        <v>0</v>
      </c>
      <c r="D670" s="2" t="str">
        <f t="shared" si="42"/>
        <v>2026-01</v>
      </c>
      <c r="E670" s="3" t="s">
        <v>842</v>
      </c>
      <c r="F670" s="4" t="s">
        <v>814</v>
      </c>
      <c r="G670" s="39">
        <v>46046</v>
      </c>
      <c r="H670" s="40">
        <v>-133</v>
      </c>
      <c r="I670" s="40">
        <v>108</v>
      </c>
      <c r="J670" s="7">
        <v>104</v>
      </c>
      <c r="K670" s="8">
        <v>0.10734165293148114</v>
      </c>
      <c r="L670" s="9">
        <v>5.2618457319353495E-2</v>
      </c>
      <c r="M670" s="10">
        <v>-118.72961373390559</v>
      </c>
      <c r="N670" s="11">
        <v>2.04</v>
      </c>
      <c r="O670" s="12">
        <v>29484.710810808585</v>
      </c>
      <c r="P670" s="32" t="s">
        <v>506</v>
      </c>
      <c r="Q670" s="81" t="s">
        <v>76</v>
      </c>
      <c r="R670" s="82" t="s">
        <v>787</v>
      </c>
      <c r="S670" s="32">
        <v>3387</v>
      </c>
      <c r="T670" s="32">
        <v>2370.8999999999996</v>
      </c>
      <c r="U670" s="32">
        <v>2370.8999999999996</v>
      </c>
      <c r="V670" s="74" t="s">
        <v>82</v>
      </c>
      <c r="W670" s="15"/>
      <c r="X670" s="15"/>
      <c r="Y670" s="16"/>
      <c r="Z670" s="17"/>
      <c r="AA670" s="16"/>
      <c r="AB670" s="99">
        <v>-2370.8999999999996</v>
      </c>
      <c r="AC670" s="20">
        <v>254.49632493524859</v>
      </c>
      <c r="AD670" s="21">
        <v>46046</v>
      </c>
      <c r="AE670" s="22">
        <v>613782.8122521966</v>
      </c>
      <c r="AF670" s="23">
        <v>468965.54593333363</v>
      </c>
      <c r="AG670" s="24">
        <v>571336.44593333383</v>
      </c>
      <c r="AH670" s="15">
        <v>0.5</v>
      </c>
      <c r="AI670" s="25" t="s">
        <v>846</v>
      </c>
      <c r="AJ670" s="25">
        <v>-145</v>
      </c>
      <c r="AK670" s="25">
        <v>4000</v>
      </c>
      <c r="AL670" s="25">
        <v>113</v>
      </c>
      <c r="AM670" s="25">
        <v>4000</v>
      </c>
      <c r="AN670" s="25">
        <v>-133</v>
      </c>
      <c r="AO670" s="25">
        <v>102</v>
      </c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>
        <v>-144</v>
      </c>
      <c r="BC670" s="25">
        <v>108</v>
      </c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>
        <v>-145</v>
      </c>
      <c r="BQ670" s="1">
        <v>105</v>
      </c>
      <c r="BR670" s="1">
        <v>1000</v>
      </c>
      <c r="BS670" s="1">
        <v>1000</v>
      </c>
      <c r="BT670" s="1">
        <v>-150</v>
      </c>
      <c r="BU670" s="1">
        <v>110</v>
      </c>
    </row>
    <row r="671" spans="1:73" ht="15" customHeight="1" x14ac:dyDescent="0.25">
      <c r="A671" s="1">
        <f t="shared" si="43"/>
        <v>310</v>
      </c>
      <c r="B671" s="1" t="str">
        <f t="shared" si="40"/>
        <v xml:space="preserve">Chicago </v>
      </c>
      <c r="C671" s="1">
        <f t="shared" si="41"/>
        <v>0</v>
      </c>
      <c r="D671" s="2" t="str">
        <f t="shared" si="42"/>
        <v>2026-01</v>
      </c>
      <c r="E671" s="100" t="s">
        <v>847</v>
      </c>
      <c r="F671" s="101" t="s">
        <v>805</v>
      </c>
      <c r="G671" s="5">
        <v>46046</v>
      </c>
      <c r="H671" s="6">
        <v>-171</v>
      </c>
      <c r="I671" s="6">
        <v>137</v>
      </c>
      <c r="J671" s="115">
        <v>-134</v>
      </c>
      <c r="K671" s="8">
        <v>4.6490748528638923E-2</v>
      </c>
      <c r="L671" s="9">
        <v>2.6622907277083829E-2</v>
      </c>
      <c r="M671" s="10">
        <v>-149.54612546125463</v>
      </c>
      <c r="N671" s="11">
        <v>1.7462686567164178</v>
      </c>
      <c r="O671" s="12">
        <v>17857.533647264634</v>
      </c>
      <c r="P671" s="13" t="s">
        <v>506</v>
      </c>
      <c r="Q671" s="13" t="s">
        <v>76</v>
      </c>
      <c r="R671" s="14" t="s">
        <v>732</v>
      </c>
      <c r="S671" s="13">
        <v>3000</v>
      </c>
      <c r="T671" s="13">
        <v>2100</v>
      </c>
      <c r="U671" s="13">
        <v>2100</v>
      </c>
      <c r="V671" s="31" t="s">
        <v>77</v>
      </c>
      <c r="W671" s="15"/>
      <c r="X671" s="15"/>
      <c r="Y671" s="16"/>
      <c r="Z671" s="17"/>
      <c r="AA671" s="16"/>
      <c r="AB671" s="24">
        <v>1567.16</v>
      </c>
      <c r="AC671" s="20">
        <v>97.63057191014174</v>
      </c>
      <c r="AD671" s="21">
        <v>46046</v>
      </c>
      <c r="AE671" s="22">
        <v>618258.20407583902</v>
      </c>
      <c r="AF671" s="23">
        <v>474864.77593333367</v>
      </c>
      <c r="AG671" s="24">
        <v>573297.61593333341</v>
      </c>
      <c r="AH671" s="15">
        <v>0.5</v>
      </c>
      <c r="AI671" s="25" t="s">
        <v>848</v>
      </c>
      <c r="AJ671" s="25"/>
      <c r="AK671" s="25"/>
      <c r="AL671" s="25"/>
      <c r="AM671" s="25"/>
      <c r="AN671" s="25">
        <v>-171</v>
      </c>
      <c r="AO671" s="25">
        <v>137</v>
      </c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>
        <v>-205</v>
      </c>
      <c r="BC671" s="25">
        <v>152</v>
      </c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>
        <v>-160</v>
      </c>
      <c r="BQ671" s="1">
        <v>115</v>
      </c>
      <c r="BR671" s="1">
        <v>1000</v>
      </c>
      <c r="BS671" s="1">
        <v>1000</v>
      </c>
      <c r="BT671" s="1">
        <v>-165</v>
      </c>
      <c r="BU671" s="1">
        <v>120</v>
      </c>
    </row>
    <row r="672" spans="1:73" ht="15" customHeight="1" x14ac:dyDescent="0.25">
      <c r="A672" s="1">
        <f t="shared" si="43"/>
        <v>311</v>
      </c>
      <c r="B672" s="1" t="str">
        <f t="shared" si="40"/>
        <v xml:space="preserve">Clemson </v>
      </c>
      <c r="C672" s="1">
        <f t="shared" si="41"/>
        <v>1</v>
      </c>
      <c r="D672" s="2" t="str">
        <f t="shared" si="42"/>
        <v>2026-01</v>
      </c>
      <c r="E672" s="3" t="s">
        <v>849</v>
      </c>
      <c r="F672" s="4" t="s">
        <v>814</v>
      </c>
      <c r="G672" s="39">
        <v>46046</v>
      </c>
      <c r="H672" s="40">
        <v>100</v>
      </c>
      <c r="I672" s="40">
        <v>-130</v>
      </c>
      <c r="J672" s="7">
        <v>118</v>
      </c>
      <c r="K672" s="8">
        <v>2.3265306122448724E-2</v>
      </c>
      <c r="L672" s="9">
        <v>1.0672158771765472E-2</v>
      </c>
      <c r="M672" s="10">
        <v>113.04347826086958</v>
      </c>
      <c r="N672" s="11">
        <v>2.1799999999999997</v>
      </c>
      <c r="O672" s="12">
        <v>5629.2842732963818</v>
      </c>
      <c r="P672" s="32" t="s">
        <v>506</v>
      </c>
      <c r="Q672" s="81" t="s">
        <v>92</v>
      </c>
      <c r="R672" s="82" t="s">
        <v>491</v>
      </c>
      <c r="S672" s="32">
        <v>375</v>
      </c>
      <c r="T672" s="32">
        <v>262.5</v>
      </c>
      <c r="U672" s="32">
        <v>262.5</v>
      </c>
      <c r="V672" s="74" t="s">
        <v>77</v>
      </c>
      <c r="W672" s="15"/>
      <c r="X672" s="15"/>
      <c r="Y672" s="16"/>
      <c r="Z672" s="17"/>
      <c r="AA672" s="16"/>
      <c r="AB672" s="99">
        <v>309.75</v>
      </c>
      <c r="AC672" s="20">
        <v>6.1071428571427901</v>
      </c>
      <c r="AD672" s="21">
        <v>46046</v>
      </c>
      <c r="AE672" s="22">
        <v>613528.31592726137</v>
      </c>
      <c r="AF672" s="23">
        <v>471336.44593333366</v>
      </c>
      <c r="AG672" s="24">
        <v>571026.69593333383</v>
      </c>
      <c r="AH672" s="15">
        <v>0.5</v>
      </c>
      <c r="AI672" s="25" t="s">
        <v>850</v>
      </c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</row>
    <row r="673" spans="1:73" ht="15" customHeight="1" x14ac:dyDescent="0.25">
      <c r="A673" s="1">
        <f t="shared" si="43"/>
        <v>311</v>
      </c>
      <c r="B673" s="1" t="str">
        <f t="shared" si="40"/>
        <v xml:space="preserve">Clemson </v>
      </c>
      <c r="C673" s="1">
        <f t="shared" si="41"/>
        <v>1</v>
      </c>
      <c r="D673" s="2" t="str">
        <f t="shared" si="42"/>
        <v>2026-01</v>
      </c>
      <c r="E673" s="3" t="s">
        <v>851</v>
      </c>
      <c r="F673" s="4" t="s">
        <v>814</v>
      </c>
      <c r="G673" s="39">
        <v>46046</v>
      </c>
      <c r="H673" s="40">
        <v>-111</v>
      </c>
      <c r="I673" s="40">
        <v>-120</v>
      </c>
      <c r="J673" s="7">
        <v>114</v>
      </c>
      <c r="K673" s="8">
        <v>5.0639324487334186E-2</v>
      </c>
      <c r="L673" s="9">
        <v>2.3663235741744948E-2</v>
      </c>
      <c r="M673" s="10">
        <v>103.68550368550368</v>
      </c>
      <c r="N673" s="11">
        <v>2.1399999999999997</v>
      </c>
      <c r="O673" s="12">
        <v>12633.07769891932</v>
      </c>
      <c r="P673" s="32" t="s">
        <v>506</v>
      </c>
      <c r="Q673" s="81" t="s">
        <v>92</v>
      </c>
      <c r="R673" s="82" t="s">
        <v>491</v>
      </c>
      <c r="S673" s="32">
        <v>375</v>
      </c>
      <c r="T673" s="32">
        <v>262.5</v>
      </c>
      <c r="U673" s="32">
        <v>262.5</v>
      </c>
      <c r="V673" s="74" t="s">
        <v>77</v>
      </c>
      <c r="W673" s="15"/>
      <c r="X673" s="15"/>
      <c r="Y673" s="16"/>
      <c r="Z673" s="17"/>
      <c r="AA673" s="16"/>
      <c r="AB673" s="99">
        <v>299.25</v>
      </c>
      <c r="AC673" s="20">
        <v>13.292822677925225</v>
      </c>
      <c r="AD673" s="21">
        <v>46046</v>
      </c>
      <c r="AE673" s="22">
        <v>613867.03978490748</v>
      </c>
      <c r="AF673" s="23">
        <v>469094.69593333366</v>
      </c>
      <c r="AG673" s="24">
        <v>568795.44593333383</v>
      </c>
      <c r="AH673" s="15">
        <v>0.5</v>
      </c>
      <c r="AI673" s="25" t="s">
        <v>852</v>
      </c>
      <c r="AJ673" s="25">
        <v>-111</v>
      </c>
      <c r="AK673" s="25">
        <v>325</v>
      </c>
      <c r="AL673" s="25">
        <v>-120</v>
      </c>
      <c r="AM673" s="25">
        <v>325</v>
      </c>
      <c r="AN673" s="25"/>
      <c r="AO673" s="25"/>
      <c r="AP673" s="25">
        <v>-1567</v>
      </c>
      <c r="AQ673" s="25">
        <v>54</v>
      </c>
      <c r="AR673" s="25">
        <v>-9900</v>
      </c>
      <c r="AS673" s="25">
        <v>94</v>
      </c>
      <c r="AT673" s="25"/>
      <c r="AU673" s="25"/>
      <c r="AV673" s="25"/>
      <c r="AW673" s="25"/>
      <c r="AX673" s="25"/>
      <c r="AY673" s="25"/>
      <c r="AZ673" s="25"/>
      <c r="BA673" s="25"/>
      <c r="BB673" s="25">
        <v>-130</v>
      </c>
      <c r="BC673" s="25">
        <v>-102</v>
      </c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>
        <v>100</v>
      </c>
      <c r="BQ673" s="1">
        <v>-130</v>
      </c>
      <c r="BT673" s="1">
        <v>-110</v>
      </c>
      <c r="BU673" s="1">
        <v>-120</v>
      </c>
    </row>
    <row r="674" spans="1:73" ht="15" customHeight="1" x14ac:dyDescent="0.25">
      <c r="A674" s="1">
        <f t="shared" si="43"/>
        <v>312</v>
      </c>
      <c r="B674" s="1" t="str">
        <f t="shared" si="40"/>
        <v xml:space="preserve">Cleveland </v>
      </c>
      <c r="C674" s="1">
        <f t="shared" si="41"/>
        <v>1</v>
      </c>
      <c r="D674" s="2" t="str">
        <f t="shared" si="42"/>
        <v>2026-01</v>
      </c>
      <c r="E674" s="100" t="s">
        <v>853</v>
      </c>
      <c r="F674" s="101" t="s">
        <v>805</v>
      </c>
      <c r="G674" s="5">
        <v>46046</v>
      </c>
      <c r="H674" s="6">
        <v>109</v>
      </c>
      <c r="I674" s="6">
        <v>-137</v>
      </c>
      <c r="J674" s="115">
        <v>143</v>
      </c>
      <c r="K674" s="8">
        <v>0.10047197752851897</v>
      </c>
      <c r="L674" s="9">
        <v>4.1346492810090119E-2</v>
      </c>
      <c r="M674" s="10">
        <v>120.81434599156118</v>
      </c>
      <c r="N674" s="11">
        <v>2.4299999999999997</v>
      </c>
      <c r="O674" s="12">
        <v>20093.561726468564</v>
      </c>
      <c r="P674" s="13" t="s">
        <v>506</v>
      </c>
      <c r="Q674" s="13" t="s">
        <v>92</v>
      </c>
      <c r="R674" s="14" t="s">
        <v>854</v>
      </c>
      <c r="S674" s="13">
        <v>1200</v>
      </c>
      <c r="T674" s="13">
        <v>840</v>
      </c>
      <c r="U674" s="104">
        <v>840</v>
      </c>
      <c r="V674" s="31" t="s">
        <v>82</v>
      </c>
      <c r="W674" s="15"/>
      <c r="X674" s="15"/>
      <c r="Y674" s="16"/>
      <c r="Z674" s="17"/>
      <c r="AA674" s="16"/>
      <c r="AB674" s="24">
        <v>-840</v>
      </c>
      <c r="AC674" s="20">
        <v>84.39646112395593</v>
      </c>
      <c r="AD674" s="21">
        <v>46046</v>
      </c>
      <c r="AE674" s="22">
        <v>617549.89909321698</v>
      </c>
      <c r="AF674" s="23">
        <v>471136.26593333366</v>
      </c>
      <c r="AG674" s="24">
        <v>571976.26593333355</v>
      </c>
      <c r="AH674" s="15">
        <v>0.5</v>
      </c>
      <c r="AI674" s="25" t="s">
        <v>855</v>
      </c>
      <c r="AJ674" s="25"/>
      <c r="AK674" s="25"/>
      <c r="AL674" s="25"/>
      <c r="AM674" s="25"/>
      <c r="AN674" s="25">
        <v>109</v>
      </c>
      <c r="AO674" s="25">
        <v>-137</v>
      </c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>
        <v>108</v>
      </c>
      <c r="BC674" s="25">
        <v>-132</v>
      </c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>
        <v>100</v>
      </c>
      <c r="BQ674" s="1">
        <v>-140</v>
      </c>
      <c r="BR674" s="1">
        <v>1000</v>
      </c>
      <c r="BS674" s="1">
        <v>1000</v>
      </c>
      <c r="BT674" s="1">
        <v>105</v>
      </c>
      <c r="BU674" s="1">
        <v>-140</v>
      </c>
    </row>
    <row r="675" spans="1:73" ht="15" customHeight="1" x14ac:dyDescent="0.25">
      <c r="A675" s="1">
        <f t="shared" si="43"/>
        <v>313</v>
      </c>
      <c r="B675" s="1" t="str">
        <f t="shared" si="40"/>
        <v xml:space="preserve">Colgate </v>
      </c>
      <c r="C675" s="1">
        <f t="shared" si="41"/>
        <v>0</v>
      </c>
      <c r="D675" s="2" t="str">
        <f t="shared" si="42"/>
        <v>2026-01</v>
      </c>
      <c r="E675" s="3" t="s">
        <v>856</v>
      </c>
      <c r="F675" s="4" t="s">
        <v>805</v>
      </c>
      <c r="G675" s="39">
        <v>46046</v>
      </c>
      <c r="H675" s="40">
        <v>198</v>
      </c>
      <c r="I675" s="40">
        <v>-240</v>
      </c>
      <c r="J675" s="7">
        <v>255</v>
      </c>
      <c r="K675" s="8">
        <v>0.14385898407884778</v>
      </c>
      <c r="L675" s="9">
        <v>4.0523657486999376E-2</v>
      </c>
      <c r="M675" s="10">
        <v>210.35294117647052</v>
      </c>
      <c r="N675" s="11">
        <v>3.55</v>
      </c>
      <c r="O675" s="12">
        <v>16159.032201437547</v>
      </c>
      <c r="P675" s="32" t="s">
        <v>506</v>
      </c>
      <c r="Q675" s="81" t="s">
        <v>81</v>
      </c>
      <c r="R675" s="82" t="s">
        <v>857</v>
      </c>
      <c r="S675" s="32">
        <v>250</v>
      </c>
      <c r="T675" s="32">
        <v>175</v>
      </c>
      <c r="U675" s="32">
        <v>175</v>
      </c>
      <c r="V675" s="74" t="s">
        <v>77</v>
      </c>
      <c r="W675" s="15"/>
      <c r="X675" s="15"/>
      <c r="Y675" s="16"/>
      <c r="Z675" s="17"/>
      <c r="AA675" s="16"/>
      <c r="AB675" s="99">
        <v>446.25</v>
      </c>
      <c r="AC675" s="20">
        <v>25.175322213798363</v>
      </c>
      <c r="AD675" s="21">
        <v>46046</v>
      </c>
      <c r="AE675" s="22">
        <v>614723.956590257</v>
      </c>
      <c r="AF675" s="23">
        <v>473306.29593333369</v>
      </c>
      <c r="AG675" s="24">
        <v>572860.04593333381</v>
      </c>
      <c r="AH675" s="15">
        <v>0.5</v>
      </c>
      <c r="AI675" s="25" t="s">
        <v>858</v>
      </c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</row>
    <row r="676" spans="1:73" ht="15" customHeight="1" x14ac:dyDescent="0.25">
      <c r="A676" s="1">
        <f t="shared" si="43"/>
        <v>314</v>
      </c>
      <c r="B676" s="1" t="str">
        <f t="shared" si="40"/>
        <v xml:space="preserve">Columbia </v>
      </c>
      <c r="C676" s="1">
        <f t="shared" si="41"/>
        <v>0</v>
      </c>
      <c r="D676" s="2" t="str">
        <f t="shared" si="42"/>
        <v>2026-01</v>
      </c>
      <c r="E676" s="3" t="s">
        <v>859</v>
      </c>
      <c r="F676" s="4" t="s">
        <v>805</v>
      </c>
      <c r="G676" s="39">
        <v>46046</v>
      </c>
      <c r="H676" s="40">
        <v>125</v>
      </c>
      <c r="I676" s="40">
        <v>-165</v>
      </c>
      <c r="J676" s="7">
        <v>180</v>
      </c>
      <c r="K676" s="8">
        <v>0.16620825147347743</v>
      </c>
      <c r="L676" s="9">
        <v>5.9360089811956229E-2</v>
      </c>
      <c r="M676" s="10">
        <v>140.09433962264151</v>
      </c>
      <c r="N676" s="11">
        <v>2.8</v>
      </c>
      <c r="O676" s="12">
        <v>26260.637150163751</v>
      </c>
      <c r="P676" s="32" t="s">
        <v>506</v>
      </c>
      <c r="Q676" s="81" t="s">
        <v>81</v>
      </c>
      <c r="R676" s="82" t="s">
        <v>860</v>
      </c>
      <c r="S676" s="32">
        <v>375</v>
      </c>
      <c r="T676" s="32">
        <v>262.5</v>
      </c>
      <c r="U676" s="32">
        <v>262.5</v>
      </c>
      <c r="V676" s="74" t="s">
        <v>77</v>
      </c>
      <c r="W676" s="15"/>
      <c r="X676" s="15"/>
      <c r="Y676" s="16"/>
      <c r="Z676" s="17"/>
      <c r="AA676" s="16"/>
      <c r="AB676" s="99">
        <v>472.5</v>
      </c>
      <c r="AC676" s="20">
        <v>43.629666011787826</v>
      </c>
      <c r="AD676" s="21">
        <v>46046</v>
      </c>
      <c r="AE676" s="22">
        <v>614247.92169106926</v>
      </c>
      <c r="AF676" s="23">
        <v>469266.72593333368</v>
      </c>
      <c r="AG676" s="24">
        <v>568794.22593333386</v>
      </c>
      <c r="AH676" s="15">
        <v>0.5</v>
      </c>
      <c r="AI676" s="25" t="s">
        <v>861</v>
      </c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</row>
    <row r="677" spans="1:73" ht="15" customHeight="1" x14ac:dyDescent="0.25">
      <c r="A677" s="1">
        <f t="shared" si="43"/>
        <v>315</v>
      </c>
      <c r="B677" s="1" t="str">
        <f t="shared" si="40"/>
        <v xml:space="preserve">Davidson </v>
      </c>
      <c r="C677" s="1">
        <f t="shared" si="41"/>
        <v>0</v>
      </c>
      <c r="D677" s="2" t="str">
        <f t="shared" si="42"/>
        <v>2026-01</v>
      </c>
      <c r="E677" s="100" t="s">
        <v>862</v>
      </c>
      <c r="F677" s="101" t="s">
        <v>805</v>
      </c>
      <c r="G677" s="5">
        <v>46046</v>
      </c>
      <c r="H677" s="6">
        <v>312</v>
      </c>
      <c r="I677" s="6">
        <v>-389</v>
      </c>
      <c r="J677" s="115">
        <v>550</v>
      </c>
      <c r="K677" s="17">
        <v>0.51959190698385938</v>
      </c>
      <c r="L677" s="111">
        <v>7.9937216459055299E-2</v>
      </c>
      <c r="M677" s="16">
        <v>327.74642126789371</v>
      </c>
      <c r="N677" s="112">
        <v>6.5</v>
      </c>
      <c r="O677" s="113">
        <v>27056.575503451997</v>
      </c>
      <c r="P677" s="13" t="s">
        <v>506</v>
      </c>
      <c r="Q677" s="13" t="s">
        <v>81</v>
      </c>
      <c r="R677" s="14" t="s">
        <v>863</v>
      </c>
      <c r="S677" s="13">
        <v>125</v>
      </c>
      <c r="T677" s="13">
        <v>87.5</v>
      </c>
      <c r="U677" s="104">
        <v>87.5</v>
      </c>
      <c r="V677" s="31" t="s">
        <v>82</v>
      </c>
      <c r="W677" s="15"/>
      <c r="X677" s="15"/>
      <c r="Y677" s="16"/>
      <c r="Z677" s="17"/>
      <c r="AA677" s="16"/>
      <c r="AB677" s="24">
        <v>-87.5</v>
      </c>
      <c r="AC677" s="20">
        <v>45.464291861087695</v>
      </c>
      <c r="AD677" s="21">
        <v>46046</v>
      </c>
      <c r="AE677" s="22">
        <v>616387.07473467675</v>
      </c>
      <c r="AF677" s="23">
        <v>472712.66593333363</v>
      </c>
      <c r="AG677" s="24">
        <v>572800.16593333369</v>
      </c>
      <c r="AH677" s="15">
        <v>0.5</v>
      </c>
      <c r="AI677" s="25" t="s">
        <v>864</v>
      </c>
      <c r="AJ677" s="25">
        <v>265</v>
      </c>
      <c r="AK677" s="25">
        <v>750</v>
      </c>
      <c r="AL677" s="25">
        <v>-389</v>
      </c>
      <c r="AM677" s="25">
        <v>750</v>
      </c>
      <c r="AN677" s="25">
        <v>312</v>
      </c>
      <c r="AO677" s="25">
        <v>-478</v>
      </c>
      <c r="AP677" s="25">
        <v>300</v>
      </c>
      <c r="AQ677" s="25">
        <v>144</v>
      </c>
      <c r="AR677" s="25">
        <v>-355</v>
      </c>
      <c r="AS677" s="25">
        <v>196</v>
      </c>
      <c r="AT677" s="25"/>
      <c r="AU677" s="25"/>
      <c r="AV677" s="25"/>
      <c r="AW677" s="25"/>
      <c r="AX677" s="25">
        <v>280</v>
      </c>
      <c r="AY677" s="25">
        <v>104</v>
      </c>
      <c r="AZ677" s="25">
        <v>-381</v>
      </c>
      <c r="BA677" s="25">
        <v>27</v>
      </c>
      <c r="BB677" s="25">
        <v>300</v>
      </c>
      <c r="BC677" s="25">
        <v>-430</v>
      </c>
      <c r="BD677" s="25"/>
      <c r="BE677" s="25"/>
      <c r="BF677" s="25"/>
      <c r="BG677" s="25"/>
      <c r="BH677" s="25">
        <v>285</v>
      </c>
      <c r="BI677" s="25">
        <v>112</v>
      </c>
      <c r="BJ677" s="25">
        <v>-443</v>
      </c>
      <c r="BK677" s="25">
        <v>244</v>
      </c>
      <c r="BL677" s="25">
        <v>253</v>
      </c>
      <c r="BM677" s="25">
        <v>91</v>
      </c>
      <c r="BN677" s="25">
        <v>-393</v>
      </c>
      <c r="BO677" s="25">
        <v>87</v>
      </c>
      <c r="BP677" s="25">
        <v>290</v>
      </c>
      <c r="BQ677" s="1">
        <v>-400</v>
      </c>
      <c r="BR677" s="1">
        <v>1000</v>
      </c>
      <c r="BS677" s="1">
        <v>1000</v>
      </c>
      <c r="BT677" s="1">
        <v>280</v>
      </c>
      <c r="BU677" s="1">
        <v>-395</v>
      </c>
    </row>
    <row r="678" spans="1:73" ht="15" customHeight="1" x14ac:dyDescent="0.25">
      <c r="A678" s="1">
        <f t="shared" si="43"/>
        <v>315</v>
      </c>
      <c r="B678" s="1" t="str">
        <f t="shared" si="40"/>
        <v xml:space="preserve">Davidson </v>
      </c>
      <c r="C678" s="1">
        <f t="shared" si="41"/>
        <v>0</v>
      </c>
      <c r="D678" s="2" t="str">
        <f t="shared" si="42"/>
        <v>2026-01</v>
      </c>
      <c r="E678" s="100" t="s">
        <v>865</v>
      </c>
      <c r="F678" s="101" t="s">
        <v>805</v>
      </c>
      <c r="G678" s="5">
        <v>46046</v>
      </c>
      <c r="H678" s="6">
        <v>-200</v>
      </c>
      <c r="I678" s="6">
        <v>200</v>
      </c>
      <c r="J678" s="115">
        <v>110</v>
      </c>
      <c r="K678" s="17">
        <v>0.4</v>
      </c>
      <c r="L678" s="111">
        <v>0.19047619047619047</v>
      </c>
      <c r="M678" s="16">
        <v>-199.99999999999994</v>
      </c>
      <c r="N678" s="112">
        <v>2.1</v>
      </c>
      <c r="O678" s="113">
        <v>104129.5756242425</v>
      </c>
      <c r="P678" s="13" t="s">
        <v>506</v>
      </c>
      <c r="Q678" s="13" t="s">
        <v>76</v>
      </c>
      <c r="R678" s="14" t="s">
        <v>863</v>
      </c>
      <c r="S678" s="13">
        <v>625</v>
      </c>
      <c r="T678" s="13">
        <v>437.5</v>
      </c>
      <c r="U678" s="104">
        <v>437.5</v>
      </c>
      <c r="V678" s="31" t="s">
        <v>77</v>
      </c>
      <c r="W678" s="15"/>
      <c r="X678" s="15"/>
      <c r="Y678" s="16"/>
      <c r="Z678" s="17"/>
      <c r="AA678" s="16"/>
      <c r="AB678" s="24">
        <v>481.25</v>
      </c>
      <c r="AC678" s="20">
        <v>175</v>
      </c>
      <c r="AD678" s="21">
        <v>46046</v>
      </c>
      <c r="AE678" s="22">
        <v>616562.07473467675</v>
      </c>
      <c r="AF678" s="23">
        <v>473193.91593333363</v>
      </c>
      <c r="AG678" s="24">
        <v>572712.66593333369</v>
      </c>
      <c r="AH678" s="15">
        <v>0.5</v>
      </c>
      <c r="AI678" s="25" t="s">
        <v>866</v>
      </c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</row>
    <row r="679" spans="1:73" ht="15" customHeight="1" x14ac:dyDescent="0.25">
      <c r="A679" s="1">
        <f t="shared" si="43"/>
        <v>315</v>
      </c>
      <c r="B679" s="1" t="str">
        <f t="shared" si="40"/>
        <v xml:space="preserve">Davidson </v>
      </c>
      <c r="C679" s="1">
        <f t="shared" si="41"/>
        <v>0</v>
      </c>
      <c r="D679" s="2" t="str">
        <f t="shared" si="42"/>
        <v>2026-01</v>
      </c>
      <c r="E679" s="100" t="s">
        <v>867</v>
      </c>
      <c r="F679" s="101" t="s">
        <v>805</v>
      </c>
      <c r="G679" s="5">
        <v>46046</v>
      </c>
      <c r="H679" s="6">
        <v>-176</v>
      </c>
      <c r="I679" s="6">
        <v>129</v>
      </c>
      <c r="J679" s="115">
        <v>-108</v>
      </c>
      <c r="K679" s="17">
        <v>0.14312144378119904</v>
      </c>
      <c r="L679" s="111">
        <v>7.4313057347930256E-2</v>
      </c>
      <c r="M679" s="16">
        <v>-146.02898550724643</v>
      </c>
      <c r="N679" s="112">
        <v>1.925925925925926</v>
      </c>
      <c r="O679" s="113">
        <v>44368.168620672433</v>
      </c>
      <c r="P679" s="13" t="s">
        <v>506</v>
      </c>
      <c r="Q679" s="13" t="s">
        <v>76</v>
      </c>
      <c r="R679" s="14" t="s">
        <v>863</v>
      </c>
      <c r="S679" s="13">
        <v>725</v>
      </c>
      <c r="T679" s="13">
        <v>507.49999999999994</v>
      </c>
      <c r="U679" s="104">
        <v>507.49999999999994</v>
      </c>
      <c r="V679" s="31" t="s">
        <v>82</v>
      </c>
      <c r="W679" s="15"/>
      <c r="X679" s="15"/>
      <c r="Y679" s="16"/>
      <c r="Z679" s="17"/>
      <c r="AA679" s="16"/>
      <c r="AB679" s="24">
        <v>-507.49999999999994</v>
      </c>
      <c r="AC679" s="20">
        <v>72.634132718958497</v>
      </c>
      <c r="AD679" s="21">
        <v>46046</v>
      </c>
      <c r="AE679" s="22">
        <v>616960.47386147873</v>
      </c>
      <c r="AF679" s="23">
        <v>473573.31593333365</v>
      </c>
      <c r="AG679" s="24">
        <v>574080.81593333359</v>
      </c>
      <c r="AH679" s="15">
        <v>0.5</v>
      </c>
      <c r="AI679" s="25" t="s">
        <v>868</v>
      </c>
      <c r="AJ679" s="25">
        <v>-176</v>
      </c>
      <c r="AK679" s="25">
        <v>500</v>
      </c>
      <c r="AL679" s="25">
        <v>129</v>
      </c>
      <c r="AM679" s="25">
        <v>500</v>
      </c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</row>
    <row r="680" spans="1:73" ht="15" customHeight="1" x14ac:dyDescent="0.25">
      <c r="A680" s="1">
        <f t="shared" si="43"/>
        <v>316</v>
      </c>
      <c r="B680" s="1" t="str">
        <f t="shared" si="40"/>
        <v xml:space="preserve">Dayton </v>
      </c>
      <c r="C680" s="1">
        <f t="shared" si="41"/>
        <v>1</v>
      </c>
      <c r="D680" s="2" t="str">
        <f t="shared" si="42"/>
        <v>2026-01</v>
      </c>
      <c r="E680" s="3" t="s">
        <v>869</v>
      </c>
      <c r="F680" s="4" t="s">
        <v>805</v>
      </c>
      <c r="G680" s="39">
        <v>46046</v>
      </c>
      <c r="H680" s="40">
        <v>-150</v>
      </c>
      <c r="I680" s="40">
        <v>104</v>
      </c>
      <c r="J680" s="7">
        <v>107</v>
      </c>
      <c r="K680" s="8">
        <v>0.13924460431654698</v>
      </c>
      <c r="L680" s="9">
        <v>6.7267924790602396E-2</v>
      </c>
      <c r="M680" s="10">
        <v>-122.4</v>
      </c>
      <c r="N680" s="11">
        <v>2.0700000000000003</v>
      </c>
      <c r="O680" s="12">
        <v>37235.141057418448</v>
      </c>
      <c r="P680" s="32" t="s">
        <v>506</v>
      </c>
      <c r="Q680" s="81" t="s">
        <v>92</v>
      </c>
      <c r="R680" s="82" t="s">
        <v>870</v>
      </c>
      <c r="S680" s="32">
        <v>400</v>
      </c>
      <c r="T680" s="32">
        <v>280</v>
      </c>
      <c r="U680" s="32">
        <v>280</v>
      </c>
      <c r="V680" s="74" t="s">
        <v>77</v>
      </c>
      <c r="W680" s="15"/>
      <c r="X680" s="15"/>
      <c r="Y680" s="16"/>
      <c r="Z680" s="17"/>
      <c r="AA680" s="16"/>
      <c r="AB680" s="99">
        <v>299.60000000000002</v>
      </c>
      <c r="AC680" s="20">
        <v>38.988489208633155</v>
      </c>
      <c r="AD680" s="21">
        <v>46046</v>
      </c>
      <c r="AE680" s="22">
        <v>614657.38539947965</v>
      </c>
      <c r="AF680" s="23">
        <v>472553.02593333367</v>
      </c>
      <c r="AG680" s="24">
        <v>572253.42593333381</v>
      </c>
      <c r="AH680" s="15">
        <v>0.5</v>
      </c>
      <c r="AI680" s="25" t="s">
        <v>871</v>
      </c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</row>
    <row r="681" spans="1:73" ht="15" customHeight="1" x14ac:dyDescent="0.25">
      <c r="A681" s="1">
        <f t="shared" si="43"/>
        <v>317</v>
      </c>
      <c r="B681" s="1" t="str">
        <f t="shared" si="40"/>
        <v xml:space="preserve">Drake </v>
      </c>
      <c r="C681" s="1">
        <f t="shared" si="41"/>
        <v>0</v>
      </c>
      <c r="D681" s="2" t="str">
        <f t="shared" si="42"/>
        <v>2026-01</v>
      </c>
      <c r="E681" s="3" t="s">
        <v>872</v>
      </c>
      <c r="F681" s="4" t="s">
        <v>805</v>
      </c>
      <c r="G681" s="39">
        <v>46046</v>
      </c>
      <c r="H681" s="40">
        <v>-188</v>
      </c>
      <c r="I681" s="40">
        <v>137</v>
      </c>
      <c r="J681" s="7">
        <v>-103</v>
      </c>
      <c r="K681" s="8">
        <v>0.19709706673188901</v>
      </c>
      <c r="L681" s="9">
        <v>0.1000049156324363</v>
      </c>
      <c r="M681" s="10">
        <v>-154.70833333333329</v>
      </c>
      <c r="N681" s="11">
        <v>1.970873786407767</v>
      </c>
      <c r="O681" s="12">
        <v>57779.136557604004</v>
      </c>
      <c r="P681" s="32" t="s">
        <v>506</v>
      </c>
      <c r="Q681" s="81" t="s">
        <v>76</v>
      </c>
      <c r="R681" s="82" t="s">
        <v>873</v>
      </c>
      <c r="S681" s="32">
        <v>450</v>
      </c>
      <c r="T681" s="32">
        <v>315</v>
      </c>
      <c r="U681" s="32">
        <v>315</v>
      </c>
      <c r="V681" s="74" t="s">
        <v>77</v>
      </c>
      <c r="W681" s="15"/>
      <c r="X681" s="15"/>
      <c r="Y681" s="16"/>
      <c r="Z681" s="17"/>
      <c r="AA681" s="16"/>
      <c r="AB681" s="99">
        <v>305.83</v>
      </c>
      <c r="AC681" s="20">
        <v>62.085576020545041</v>
      </c>
      <c r="AD681" s="21">
        <v>46046</v>
      </c>
      <c r="AE681" s="22">
        <v>614371.34145105677</v>
      </c>
      <c r="AF681" s="23">
        <v>469530.4259333337</v>
      </c>
      <c r="AG681" s="24">
        <v>569224.59593333385</v>
      </c>
      <c r="AH681" s="15">
        <v>0.5</v>
      </c>
      <c r="AI681" s="25" t="s">
        <v>874</v>
      </c>
      <c r="AJ681" s="25">
        <v>-188</v>
      </c>
      <c r="AK681" s="25">
        <v>1500</v>
      </c>
      <c r="AL681" s="25">
        <v>137</v>
      </c>
      <c r="AM681" s="25">
        <v>1500</v>
      </c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</row>
    <row r="682" spans="1:73" ht="15" customHeight="1" x14ac:dyDescent="0.25">
      <c r="A682" s="1">
        <f t="shared" si="43"/>
        <v>317</v>
      </c>
      <c r="B682" s="1" t="str">
        <f t="shared" si="40"/>
        <v xml:space="preserve">Drake </v>
      </c>
      <c r="C682" s="1">
        <f t="shared" si="41"/>
        <v>0</v>
      </c>
      <c r="D682" s="2" t="str">
        <f t="shared" si="42"/>
        <v>2026-01</v>
      </c>
      <c r="E682" s="3" t="s">
        <v>875</v>
      </c>
      <c r="F682" s="4" t="s">
        <v>805</v>
      </c>
      <c r="G682" s="39">
        <v>46046</v>
      </c>
      <c r="H682" s="40">
        <v>-124</v>
      </c>
      <c r="I682" s="40">
        <v>101</v>
      </c>
      <c r="J682" s="7">
        <v>108</v>
      </c>
      <c r="K682" s="8">
        <v>9.5467838728763382E-2</v>
      </c>
      <c r="L682" s="9">
        <v>4.5897999388828548E-2</v>
      </c>
      <c r="M682" s="10">
        <v>-111.26785714285711</v>
      </c>
      <c r="N682" s="11">
        <v>2.08</v>
      </c>
      <c r="O682" s="12">
        <v>25172.147617651586</v>
      </c>
      <c r="P682" s="32" t="s">
        <v>506</v>
      </c>
      <c r="Q682" s="81" t="s">
        <v>76</v>
      </c>
      <c r="R682" s="82" t="s">
        <v>873</v>
      </c>
      <c r="S682" s="32">
        <v>400</v>
      </c>
      <c r="T682" s="32">
        <v>280</v>
      </c>
      <c r="U682" s="32">
        <v>280</v>
      </c>
      <c r="V682" s="74" t="s">
        <v>77</v>
      </c>
      <c r="W682" s="15"/>
      <c r="X682" s="15"/>
      <c r="Y682" s="16"/>
      <c r="Z682" s="17"/>
      <c r="AA682" s="16"/>
      <c r="AB682" s="99">
        <v>302.39999999999998</v>
      </c>
      <c r="AC682" s="20">
        <v>26.730994844053747</v>
      </c>
      <c r="AD682" s="21">
        <v>46046</v>
      </c>
      <c r="AE682" s="22">
        <v>614398.07244590088</v>
      </c>
      <c r="AF682" s="23">
        <v>469832.82593333372</v>
      </c>
      <c r="AG682" s="24">
        <v>569530.42593333381</v>
      </c>
      <c r="AH682" s="15">
        <v>0.5</v>
      </c>
      <c r="AI682" s="25" t="s">
        <v>876</v>
      </c>
      <c r="AJ682" s="25">
        <v>-124</v>
      </c>
      <c r="AK682" s="25">
        <v>3000</v>
      </c>
      <c r="AL682" s="25">
        <v>101</v>
      </c>
      <c r="AM682" s="25">
        <v>3000</v>
      </c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>
        <v>-1236</v>
      </c>
      <c r="AY682" s="25">
        <v>367</v>
      </c>
      <c r="AZ682" s="25">
        <v>-2580</v>
      </c>
      <c r="BA682" s="25">
        <v>268</v>
      </c>
      <c r="BB682" s="25">
        <v>-130</v>
      </c>
      <c r="BC682" s="25">
        <v>-102</v>
      </c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</row>
    <row r="683" spans="1:73" ht="15" customHeight="1" x14ac:dyDescent="0.25">
      <c r="A683" s="1">
        <f t="shared" si="43"/>
        <v>318</v>
      </c>
      <c r="B683" s="1" t="str">
        <f t="shared" si="40"/>
        <v xml:space="preserve">Eastern </v>
      </c>
      <c r="C683" s="1">
        <f t="shared" si="41"/>
        <v>0</v>
      </c>
      <c r="D683" s="2" t="str">
        <f t="shared" si="42"/>
        <v>2026-01</v>
      </c>
      <c r="E683" s="100" t="s">
        <v>877</v>
      </c>
      <c r="F683" s="101" t="s">
        <v>805</v>
      </c>
      <c r="G683" s="5">
        <v>46046</v>
      </c>
      <c r="H683" s="6">
        <v>325</v>
      </c>
      <c r="I683" s="6">
        <v>-490</v>
      </c>
      <c r="J683" s="115">
        <v>600</v>
      </c>
      <c r="K683" s="8">
        <v>0.54536950420954189</v>
      </c>
      <c r="L683" s="9">
        <v>7.7909929172791687E-2</v>
      </c>
      <c r="M683" s="10">
        <v>352.96610169491527</v>
      </c>
      <c r="N683" s="11">
        <v>7</v>
      </c>
      <c r="O683" s="12">
        <v>26068.487143680526</v>
      </c>
      <c r="P683" s="13" t="s">
        <v>506</v>
      </c>
      <c r="Q683" s="13" t="s">
        <v>81</v>
      </c>
      <c r="R683" s="14" t="s">
        <v>878</v>
      </c>
      <c r="S683" s="13">
        <v>100</v>
      </c>
      <c r="T683" s="13">
        <v>70</v>
      </c>
      <c r="U683" s="13">
        <v>70</v>
      </c>
      <c r="V683" s="31" t="s">
        <v>82</v>
      </c>
      <c r="W683" s="105"/>
      <c r="X683" s="105"/>
      <c r="Y683" s="114"/>
      <c r="Z683" s="8"/>
      <c r="AA683" s="10"/>
      <c r="AB683" s="106">
        <v>-70</v>
      </c>
      <c r="AC683" s="107">
        <v>38.175865294667929</v>
      </c>
      <c r="AD683" s="108">
        <v>46046</v>
      </c>
      <c r="AE683" s="109">
        <v>615148.36280202726</v>
      </c>
      <c r="AF683" s="110">
        <v>473526.14593333367</v>
      </c>
      <c r="AG683" s="106">
        <v>573596.14593333378</v>
      </c>
      <c r="AH683" s="15">
        <v>0.5</v>
      </c>
      <c r="AI683" s="25" t="s">
        <v>879</v>
      </c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</row>
    <row r="684" spans="1:73" ht="15" customHeight="1" x14ac:dyDescent="0.25">
      <c r="A684" s="1">
        <f t="shared" si="43"/>
        <v>319</v>
      </c>
      <c r="B684" s="1" t="str">
        <f t="shared" si="40"/>
        <v xml:space="preserve">Elon </v>
      </c>
      <c r="C684" s="1">
        <f t="shared" si="41"/>
        <v>0</v>
      </c>
      <c r="D684" s="2" t="str">
        <f t="shared" si="42"/>
        <v>2026-01</v>
      </c>
      <c r="E684" s="3" t="s">
        <v>880</v>
      </c>
      <c r="F684" s="4" t="s">
        <v>805</v>
      </c>
      <c r="G684" s="39">
        <v>46046</v>
      </c>
      <c r="H684" s="40">
        <v>188</v>
      </c>
      <c r="I684" s="40">
        <v>-255</v>
      </c>
      <c r="J684" s="7">
        <v>260</v>
      </c>
      <c r="K684" s="8">
        <v>0.17312281990086267</v>
      </c>
      <c r="L684" s="9">
        <v>4.8089672194684074E-2</v>
      </c>
      <c r="M684" s="10">
        <v>206.87323943661977</v>
      </c>
      <c r="N684" s="11">
        <v>3.6</v>
      </c>
      <c r="O684" s="12">
        <v>19206.194899278828</v>
      </c>
      <c r="P684" s="32" t="s">
        <v>506</v>
      </c>
      <c r="Q684" s="81" t="s">
        <v>81</v>
      </c>
      <c r="R684" s="82" t="s">
        <v>714</v>
      </c>
      <c r="S684" s="32">
        <v>250</v>
      </c>
      <c r="T684" s="32">
        <v>175</v>
      </c>
      <c r="U684" s="32">
        <v>175</v>
      </c>
      <c r="V684" s="74" t="s">
        <v>82</v>
      </c>
      <c r="W684" s="15"/>
      <c r="X684" s="15"/>
      <c r="Y684" s="16"/>
      <c r="Z684" s="17"/>
      <c r="AA684" s="16"/>
      <c r="AB684" s="99">
        <v>-175</v>
      </c>
      <c r="AC684" s="20">
        <v>30.296493482650966</v>
      </c>
      <c r="AD684" s="21">
        <v>46046</v>
      </c>
      <c r="AE684" s="22">
        <v>612848.70647046098</v>
      </c>
      <c r="AF684" s="23">
        <v>476711.47593333368</v>
      </c>
      <c r="AG684" s="24">
        <v>576886.47593333386</v>
      </c>
      <c r="AH684" s="15">
        <v>0.5</v>
      </c>
      <c r="AI684" s="25" t="s">
        <v>881</v>
      </c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</row>
    <row r="685" spans="1:73" ht="15" customHeight="1" x14ac:dyDescent="0.25">
      <c r="A685" s="1">
        <f t="shared" si="43"/>
        <v>320</v>
      </c>
      <c r="B685" s="1" t="str">
        <f t="shared" si="40"/>
        <v xml:space="preserve">Florida </v>
      </c>
      <c r="C685" s="1">
        <f t="shared" si="41"/>
        <v>0</v>
      </c>
      <c r="D685" s="2" t="str">
        <f t="shared" si="42"/>
        <v>2026-01</v>
      </c>
      <c r="E685" s="100" t="s">
        <v>882</v>
      </c>
      <c r="F685" s="101" t="s">
        <v>805</v>
      </c>
      <c r="G685" s="5">
        <v>46046</v>
      </c>
      <c r="H685" s="6">
        <v>-260</v>
      </c>
      <c r="I685" s="6">
        <v>187</v>
      </c>
      <c r="J685" s="115">
        <v>-167</v>
      </c>
      <c r="K685" s="8">
        <v>7.8490641208993933E-2</v>
      </c>
      <c r="L685" s="9">
        <v>4.9093397310494336E-2</v>
      </c>
      <c r="M685" s="10">
        <v>-207.27777777777777</v>
      </c>
      <c r="N685" s="116">
        <v>1.5988023952095807</v>
      </c>
      <c r="O685" s="12">
        <v>37646.101862381707</v>
      </c>
      <c r="P685" s="13" t="s">
        <v>506</v>
      </c>
      <c r="Q685" s="13" t="s">
        <v>81</v>
      </c>
      <c r="R685" s="14" t="s">
        <v>560</v>
      </c>
      <c r="S685" s="13">
        <v>1150</v>
      </c>
      <c r="T685" s="13">
        <v>805</v>
      </c>
      <c r="U685" s="13">
        <v>805</v>
      </c>
      <c r="V685" s="31" t="s">
        <v>82</v>
      </c>
      <c r="W685" s="105"/>
      <c r="X685" s="105"/>
      <c r="Y685" s="114"/>
      <c r="Z685" s="8"/>
      <c r="AA685" s="10"/>
      <c r="AB685" s="106">
        <v>-805</v>
      </c>
      <c r="AC685" s="107">
        <v>63.184966173240113</v>
      </c>
      <c r="AD685" s="108">
        <v>46046</v>
      </c>
      <c r="AE685" s="109">
        <v>614931.69214459509</v>
      </c>
      <c r="AF685" s="110">
        <v>473596.62593333365</v>
      </c>
      <c r="AG685" s="106">
        <v>574401.62593333377</v>
      </c>
      <c r="AH685" s="15">
        <v>0.5</v>
      </c>
      <c r="AI685" s="25" t="s">
        <v>883</v>
      </c>
      <c r="AJ685" s="25"/>
      <c r="AK685" s="25"/>
      <c r="AL685" s="25"/>
      <c r="AM685" s="25"/>
      <c r="AN685" s="25">
        <v>-260</v>
      </c>
      <c r="AO685" s="25">
        <v>187</v>
      </c>
      <c r="AP685" s="25">
        <v>-223</v>
      </c>
      <c r="AQ685" s="25">
        <v>42</v>
      </c>
      <c r="AR685" s="25">
        <v>178</v>
      </c>
      <c r="AS685" s="25">
        <v>99</v>
      </c>
      <c r="AT685" s="25"/>
      <c r="AU685" s="25"/>
      <c r="AV685" s="25"/>
      <c r="AW685" s="25"/>
      <c r="AX685" s="25">
        <v>-239</v>
      </c>
      <c r="AY685" s="25">
        <v>11200</v>
      </c>
      <c r="AZ685" s="25">
        <v>181</v>
      </c>
      <c r="BA685" s="25">
        <v>6200</v>
      </c>
      <c r="BB685" s="25">
        <v>-245</v>
      </c>
      <c r="BC685" s="25">
        <v>186</v>
      </c>
      <c r="BD685" s="25"/>
      <c r="BE685" s="25"/>
      <c r="BF685" s="25"/>
      <c r="BG685" s="25"/>
      <c r="BH685" s="25"/>
      <c r="BI685" s="25"/>
      <c r="BJ685" s="25">
        <v>-1011</v>
      </c>
      <c r="BK685" s="25">
        <v>505</v>
      </c>
      <c r="BL685" s="25">
        <v>-195</v>
      </c>
      <c r="BM685" s="25">
        <v>194</v>
      </c>
      <c r="BN685" s="25">
        <v>167</v>
      </c>
      <c r="BO685" s="25">
        <v>58</v>
      </c>
      <c r="BP685" s="25">
        <v>-280</v>
      </c>
      <c r="BQ685" s="1">
        <v>215</v>
      </c>
      <c r="BR685" s="1">
        <v>1000</v>
      </c>
      <c r="BS685" s="1">
        <v>1000</v>
      </c>
      <c r="BT685" s="1">
        <v>-238</v>
      </c>
      <c r="BU685" s="1">
        <v>180</v>
      </c>
    </row>
    <row r="686" spans="1:73" ht="15" customHeight="1" x14ac:dyDescent="0.25">
      <c r="A686" s="1">
        <f t="shared" si="43"/>
        <v>320</v>
      </c>
      <c r="B686" s="1" t="str">
        <f t="shared" si="40"/>
        <v xml:space="preserve">Florida </v>
      </c>
      <c r="C686" s="1">
        <f t="shared" si="41"/>
        <v>0</v>
      </c>
      <c r="D686" s="2" t="str">
        <f t="shared" si="42"/>
        <v>2026-01</v>
      </c>
      <c r="E686" s="100" t="s">
        <v>884</v>
      </c>
      <c r="F686" s="101" t="s">
        <v>805</v>
      </c>
      <c r="G686" s="5">
        <v>46046</v>
      </c>
      <c r="H686" s="6">
        <v>-121</v>
      </c>
      <c r="I686" s="6">
        <v>-114</v>
      </c>
      <c r="J686" s="115">
        <v>135</v>
      </c>
      <c r="K686" s="8">
        <v>0.1910996711556531</v>
      </c>
      <c r="L686" s="117">
        <v>8.1319009002405573E-2</v>
      </c>
      <c r="M686" s="118">
        <v>-102.77843931094708</v>
      </c>
      <c r="N686" s="116">
        <v>2.35</v>
      </c>
      <c r="O686" s="119">
        <v>40615.131216090078</v>
      </c>
      <c r="P686" s="13" t="s">
        <v>506</v>
      </c>
      <c r="Q686" s="13" t="s">
        <v>76</v>
      </c>
      <c r="R686" s="14" t="s">
        <v>560</v>
      </c>
      <c r="S686" s="13">
        <v>350</v>
      </c>
      <c r="T686" s="13">
        <v>244.99999999999997</v>
      </c>
      <c r="U686" s="13">
        <v>244.99999999999997</v>
      </c>
      <c r="V686" s="31" t="s">
        <v>82</v>
      </c>
      <c r="W686" s="105"/>
      <c r="X686" s="105"/>
      <c r="Y686" s="114"/>
      <c r="Z686" s="8"/>
      <c r="AA686" s="10"/>
      <c r="AB686" s="106">
        <v>-244.99999999999997</v>
      </c>
      <c r="AC686" s="107">
        <v>46.819419433135003</v>
      </c>
      <c r="AD686" s="108">
        <v>46046</v>
      </c>
      <c r="AE686" s="109">
        <v>615110.18693673261</v>
      </c>
      <c r="AF686" s="110">
        <v>473596.14593333367</v>
      </c>
      <c r="AG686" s="106">
        <v>573841.14593333378</v>
      </c>
      <c r="AH686" s="15">
        <v>0.5</v>
      </c>
      <c r="AI686" s="25" t="s">
        <v>885</v>
      </c>
      <c r="AJ686" s="25"/>
      <c r="AK686" s="25"/>
      <c r="AL686" s="25"/>
      <c r="AM686" s="25"/>
      <c r="AN686" s="25">
        <v>-121</v>
      </c>
      <c r="AO686" s="25">
        <v>-114</v>
      </c>
      <c r="AP686" s="25"/>
      <c r="AQ686" s="25"/>
      <c r="AR686" s="25"/>
      <c r="AS686" s="25"/>
      <c r="AT686" s="25"/>
      <c r="AU686" s="25"/>
      <c r="AV686" s="25"/>
      <c r="AW686" s="25"/>
      <c r="AX686" s="25">
        <v>-103</v>
      </c>
      <c r="AY686" s="25">
        <v>478</v>
      </c>
      <c r="AZ686" s="25">
        <v>-142</v>
      </c>
      <c r="BA686" s="25">
        <v>2800</v>
      </c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>
        <v>-105</v>
      </c>
      <c r="BQ686" s="1">
        <v>-135</v>
      </c>
      <c r="BR686" s="1">
        <v>1000</v>
      </c>
      <c r="BS686" s="1">
        <v>1000</v>
      </c>
    </row>
    <row r="687" spans="1:73" ht="15" customHeight="1" x14ac:dyDescent="0.25">
      <c r="A687" s="1">
        <f t="shared" si="43"/>
        <v>320</v>
      </c>
      <c r="B687" s="1" t="str">
        <f t="shared" si="40"/>
        <v xml:space="preserve">Florida </v>
      </c>
      <c r="C687" s="1">
        <f t="shared" si="41"/>
        <v>0</v>
      </c>
      <c r="D687" s="2" t="str">
        <f t="shared" si="42"/>
        <v>2026-01</v>
      </c>
      <c r="E687" s="100" t="s">
        <v>884</v>
      </c>
      <c r="F687" s="101" t="s">
        <v>805</v>
      </c>
      <c r="G687" s="5">
        <v>46046</v>
      </c>
      <c r="H687" s="6">
        <v>128</v>
      </c>
      <c r="I687" s="6">
        <v>-104</v>
      </c>
      <c r="J687" s="115">
        <v>132</v>
      </c>
      <c r="K687" s="8">
        <v>7.2905331882480981E-2</v>
      </c>
      <c r="L687" s="9">
        <v>3.1424712018310763E-2</v>
      </c>
      <c r="M687" s="10">
        <v>116.23529411764707</v>
      </c>
      <c r="N687" s="11">
        <v>2.3200000000000003</v>
      </c>
      <c r="O687" s="12">
        <v>15846.854711780496</v>
      </c>
      <c r="P687" s="13" t="s">
        <v>506</v>
      </c>
      <c r="Q687" s="13" t="s">
        <v>76</v>
      </c>
      <c r="R687" s="14" t="s">
        <v>560</v>
      </c>
      <c r="S687" s="13">
        <v>1700</v>
      </c>
      <c r="T687" s="13">
        <v>1190</v>
      </c>
      <c r="U687" s="13">
        <v>1190</v>
      </c>
      <c r="V687" s="31" t="s">
        <v>82</v>
      </c>
      <c r="W687" s="105"/>
      <c r="X687" s="105"/>
      <c r="Y687" s="114"/>
      <c r="Z687" s="8"/>
      <c r="AA687" s="10"/>
      <c r="AB687" s="106">
        <v>-1190</v>
      </c>
      <c r="AC687" s="107">
        <v>86.757344940152365</v>
      </c>
      <c r="AD687" s="108">
        <v>46046</v>
      </c>
      <c r="AE687" s="109">
        <v>615267.0788848314</v>
      </c>
      <c r="AF687" s="110">
        <v>472645.89593333367</v>
      </c>
      <c r="AG687" s="106">
        <v>573835.89593333378</v>
      </c>
      <c r="AH687" s="15">
        <v>0.5</v>
      </c>
      <c r="AI687" s="25" t="s">
        <v>886</v>
      </c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</row>
    <row r="688" spans="1:73" ht="15" customHeight="1" x14ac:dyDescent="0.25">
      <c r="A688" s="1">
        <f t="shared" si="43"/>
        <v>320</v>
      </c>
      <c r="B688" s="1" t="str">
        <f t="shared" si="40"/>
        <v xml:space="preserve">Florida </v>
      </c>
      <c r="C688" s="1">
        <f t="shared" si="41"/>
        <v>0</v>
      </c>
      <c r="D688" s="2" t="str">
        <f t="shared" si="42"/>
        <v>2026-01</v>
      </c>
      <c r="E688" s="3" t="s">
        <v>887</v>
      </c>
      <c r="F688" s="4" t="s">
        <v>805</v>
      </c>
      <c r="G688" s="102">
        <v>46046</v>
      </c>
      <c r="H688" s="4">
        <v>-155</v>
      </c>
      <c r="I688" s="4">
        <v>114</v>
      </c>
      <c r="J688" s="7">
        <v>-103</v>
      </c>
      <c r="K688" s="8">
        <v>0.11426424910764653</v>
      </c>
      <c r="L688" s="117">
        <v>5.7976441665456124E-2</v>
      </c>
      <c r="M688" s="118">
        <v>-130.07843137254901</v>
      </c>
      <c r="N688" s="116">
        <v>1.970873786407767</v>
      </c>
      <c r="O688" s="119">
        <v>33816.835930370413</v>
      </c>
      <c r="P688" s="13" t="s">
        <v>506</v>
      </c>
      <c r="Q688" s="13" t="s">
        <v>76</v>
      </c>
      <c r="R688" s="14" t="s">
        <v>888</v>
      </c>
      <c r="S688" s="13">
        <v>725</v>
      </c>
      <c r="T688" s="13">
        <v>507.49999999999994</v>
      </c>
      <c r="U688" s="13">
        <v>507.49999999999994</v>
      </c>
      <c r="V688" s="120" t="s">
        <v>77</v>
      </c>
      <c r="W688" s="105"/>
      <c r="X688" s="105"/>
      <c r="Y688" s="114"/>
      <c r="Z688" s="8"/>
      <c r="AA688" s="10"/>
      <c r="AB688" s="106">
        <v>492.72</v>
      </c>
      <c r="AC688" s="107">
        <v>57.989106422130604</v>
      </c>
      <c r="AD688" s="108">
        <v>46046</v>
      </c>
      <c r="AE688" s="109">
        <v>615642.27487186703</v>
      </c>
      <c r="AF688" s="110">
        <v>475158.54593333363</v>
      </c>
      <c r="AG688" s="106">
        <v>574665.82593333372</v>
      </c>
      <c r="AH688" s="15">
        <v>0.5</v>
      </c>
      <c r="AI688" s="25" t="s">
        <v>889</v>
      </c>
      <c r="AJ688" s="25">
        <v>-155</v>
      </c>
      <c r="AK688" s="25">
        <v>1200</v>
      </c>
      <c r="AL688" s="25">
        <v>114</v>
      </c>
      <c r="AM688" s="25">
        <v>1200</v>
      </c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>
        <v>-168</v>
      </c>
      <c r="AY688" s="25">
        <v>172</v>
      </c>
      <c r="AZ688" s="25">
        <v>124</v>
      </c>
      <c r="BA688" s="25">
        <v>72</v>
      </c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>
        <v>-135</v>
      </c>
      <c r="BQ688" s="1">
        <v>-105</v>
      </c>
      <c r="BT688" s="1">
        <v>-145</v>
      </c>
      <c r="BU688" s="1">
        <v>105</v>
      </c>
    </row>
    <row r="689" spans="1:73" ht="15" customHeight="1" x14ac:dyDescent="0.25">
      <c r="A689" s="1">
        <f t="shared" si="43"/>
        <v>320</v>
      </c>
      <c r="B689" s="1" t="str">
        <f t="shared" si="40"/>
        <v xml:space="preserve">Florida </v>
      </c>
      <c r="C689" s="1">
        <f t="shared" si="41"/>
        <v>0</v>
      </c>
      <c r="D689" s="2" t="str">
        <f t="shared" si="42"/>
        <v>2026-01</v>
      </c>
      <c r="E689" s="100" t="s">
        <v>882</v>
      </c>
      <c r="F689" s="101" t="s">
        <v>814</v>
      </c>
      <c r="G689" s="102">
        <v>46046</v>
      </c>
      <c r="H689" s="6">
        <v>-128</v>
      </c>
      <c r="I689" s="6">
        <v>100</v>
      </c>
      <c r="J689" s="115">
        <v>116</v>
      </c>
      <c r="K689" s="8">
        <v>0.14247933884297537</v>
      </c>
      <c r="L689" s="9">
        <v>6.5962656871747849E-2</v>
      </c>
      <c r="M689" s="10">
        <v>-112.28070175438597</v>
      </c>
      <c r="N689" s="11">
        <v>2.16</v>
      </c>
      <c r="O689" s="12">
        <v>35320.607582967663</v>
      </c>
      <c r="P689" s="13" t="s">
        <v>506</v>
      </c>
      <c r="Q689" s="13" t="s">
        <v>76</v>
      </c>
      <c r="R689" s="14" t="s">
        <v>560</v>
      </c>
      <c r="S689" s="13">
        <v>2000</v>
      </c>
      <c r="T689" s="13">
        <v>1400</v>
      </c>
      <c r="U689" s="104">
        <v>1400</v>
      </c>
      <c r="V689" s="31" t="s">
        <v>82</v>
      </c>
      <c r="W689" s="105"/>
      <c r="X689" s="105"/>
      <c r="Y689" s="10"/>
      <c r="Z689" s="8"/>
      <c r="AA689" s="10"/>
      <c r="AB689" s="106">
        <v>-1400</v>
      </c>
      <c r="AC689" s="107">
        <v>199.4710743801655</v>
      </c>
      <c r="AD689" s="108">
        <v>46046</v>
      </c>
      <c r="AE689" s="109">
        <v>616255.20650306682</v>
      </c>
      <c r="AF689" s="110">
        <v>473727.66593333363</v>
      </c>
      <c r="AG689" s="24">
        <v>575127.66593333369</v>
      </c>
      <c r="AH689" s="15">
        <v>0.5</v>
      </c>
      <c r="AI689" s="25" t="s">
        <v>890</v>
      </c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</row>
    <row r="690" spans="1:73" ht="15" customHeight="1" x14ac:dyDescent="0.25">
      <c r="A690" s="1">
        <f t="shared" si="43"/>
        <v>321</v>
      </c>
      <c r="B690" s="1" t="str">
        <f t="shared" si="40"/>
        <v xml:space="preserve">Florida </v>
      </c>
      <c r="C690" s="1">
        <f t="shared" si="41"/>
        <v>1</v>
      </c>
      <c r="D690" s="2" t="str">
        <f t="shared" si="42"/>
        <v>2026-01</v>
      </c>
      <c r="E690" s="100" t="s">
        <v>891</v>
      </c>
      <c r="F690" s="101" t="s">
        <v>814</v>
      </c>
      <c r="G690" s="102">
        <v>46046</v>
      </c>
      <c r="H690" s="6">
        <v>100</v>
      </c>
      <c r="I690" s="6">
        <v>-100</v>
      </c>
      <c r="J690" s="115">
        <v>108</v>
      </c>
      <c r="K690" s="8">
        <v>4.0000000000000091E-2</v>
      </c>
      <c r="L690" s="9">
        <v>1.9230769230769273E-2</v>
      </c>
      <c r="M690" s="10">
        <v>100</v>
      </c>
      <c r="N690" s="11">
        <v>2.08</v>
      </c>
      <c r="O690" s="12">
        <v>10655.697517283981</v>
      </c>
      <c r="P690" s="13" t="s">
        <v>506</v>
      </c>
      <c r="Q690" s="13" t="s">
        <v>92</v>
      </c>
      <c r="R690" s="14" t="s">
        <v>888</v>
      </c>
      <c r="S690" s="13">
        <v>400</v>
      </c>
      <c r="T690" s="13">
        <v>280</v>
      </c>
      <c r="U690" s="104">
        <v>280</v>
      </c>
      <c r="V690" s="74" t="s">
        <v>82</v>
      </c>
      <c r="W690" s="105"/>
      <c r="X690" s="105"/>
      <c r="Y690" s="10"/>
      <c r="Z690" s="8"/>
      <c r="AA690" s="10"/>
      <c r="AB690" s="106">
        <v>-280</v>
      </c>
      <c r="AC690" s="107">
        <v>11.200000000000026</v>
      </c>
      <c r="AD690" s="108">
        <v>46046</v>
      </c>
      <c r="AE690" s="109">
        <v>616055.7354286866</v>
      </c>
      <c r="AF690" s="110">
        <v>475127.66593333363</v>
      </c>
      <c r="AG690" s="24">
        <v>575407.66593333369</v>
      </c>
      <c r="AH690" s="15">
        <v>0.5</v>
      </c>
      <c r="AI690" s="25" t="s">
        <v>892</v>
      </c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</row>
    <row r="691" spans="1:73" ht="15" customHeight="1" x14ac:dyDescent="0.25">
      <c r="A691" s="1">
        <f t="shared" si="43"/>
        <v>322</v>
      </c>
      <c r="B691" s="1" t="str">
        <f t="shared" si="40"/>
        <v xml:space="preserve">Georgia </v>
      </c>
      <c r="C691" s="1">
        <f t="shared" si="41"/>
        <v>0</v>
      </c>
      <c r="D691" s="2" t="str">
        <f t="shared" si="42"/>
        <v>2026-01</v>
      </c>
      <c r="E691" s="3" t="s">
        <v>579</v>
      </c>
      <c r="F691" s="4" t="s">
        <v>805</v>
      </c>
      <c r="G691" s="39">
        <v>46046</v>
      </c>
      <c r="H691" s="40">
        <v>138</v>
      </c>
      <c r="I691" s="40">
        <v>-179</v>
      </c>
      <c r="J691" s="7">
        <v>170</v>
      </c>
      <c r="K691" s="8">
        <v>6.8480326799239752E-2</v>
      </c>
      <c r="L691" s="9">
        <v>2.5363083999718428E-2</v>
      </c>
      <c r="M691" s="10">
        <v>152.69534050179212</v>
      </c>
      <c r="N691" s="11">
        <v>2.7</v>
      </c>
      <c r="O691" s="12">
        <v>11521.259607179003</v>
      </c>
      <c r="P691" s="32" t="s">
        <v>506</v>
      </c>
      <c r="Q691" s="81" t="s">
        <v>81</v>
      </c>
      <c r="R691" s="82" t="s">
        <v>660</v>
      </c>
      <c r="S691" s="32">
        <v>400</v>
      </c>
      <c r="T691" s="32">
        <v>280</v>
      </c>
      <c r="U691" s="32">
        <v>280</v>
      </c>
      <c r="V691" s="74" t="s">
        <v>77</v>
      </c>
      <c r="W691" s="15"/>
      <c r="X691" s="15"/>
      <c r="Y691" s="16"/>
      <c r="Z691" s="17"/>
      <c r="AA691" s="16"/>
      <c r="AB691" s="99">
        <v>476</v>
      </c>
      <c r="AC691" s="20">
        <v>19.174491503787131</v>
      </c>
      <c r="AD691" s="21">
        <v>46046</v>
      </c>
      <c r="AE691" s="22">
        <v>614593.8698085011</v>
      </c>
      <c r="AF691" s="23">
        <v>472498.4259333337</v>
      </c>
      <c r="AG691" s="24">
        <v>572022.42593333381</v>
      </c>
      <c r="AH691" s="15">
        <v>0.5</v>
      </c>
      <c r="AI691" s="25" t="s">
        <v>893</v>
      </c>
      <c r="AJ691" s="25"/>
      <c r="AK691" s="25"/>
      <c r="AL691" s="25"/>
      <c r="AM691" s="25"/>
      <c r="AN691" s="25">
        <v>113</v>
      </c>
      <c r="AO691" s="25">
        <v>-151</v>
      </c>
      <c r="AP691" s="25">
        <v>133</v>
      </c>
      <c r="AQ691" s="25">
        <v>40</v>
      </c>
      <c r="AR691" s="25">
        <v>-178</v>
      </c>
      <c r="AS691" s="25">
        <v>45</v>
      </c>
      <c r="AT691" s="25"/>
      <c r="AU691" s="25"/>
      <c r="AV691" s="25"/>
      <c r="AW691" s="25"/>
      <c r="AX691" s="25">
        <v>124</v>
      </c>
      <c r="AY691" s="25">
        <v>43</v>
      </c>
      <c r="AZ691" s="25">
        <v>-161</v>
      </c>
      <c r="BA691" s="25">
        <v>500</v>
      </c>
      <c r="BB691" s="25">
        <v>116</v>
      </c>
      <c r="BC691" s="25">
        <v>-152</v>
      </c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R691" s="1">
        <v>1000</v>
      </c>
      <c r="BS691" s="1">
        <v>1000</v>
      </c>
      <c r="BT691" s="1">
        <v>110</v>
      </c>
      <c r="BU691" s="1">
        <v>-140</v>
      </c>
    </row>
    <row r="692" spans="1:73" ht="15" customHeight="1" x14ac:dyDescent="0.25">
      <c r="A692" s="1">
        <f t="shared" si="43"/>
        <v>323</v>
      </c>
      <c r="B692" s="1" t="str">
        <f t="shared" si="40"/>
        <v xml:space="preserve">Georgia </v>
      </c>
      <c r="C692" s="1">
        <f t="shared" si="41"/>
        <v>1</v>
      </c>
      <c r="D692" s="2" t="str">
        <f t="shared" si="42"/>
        <v>2026-01</v>
      </c>
      <c r="E692" s="3" t="s">
        <v>894</v>
      </c>
      <c r="F692" s="4" t="s">
        <v>805</v>
      </c>
      <c r="G692" s="39">
        <v>46046</v>
      </c>
      <c r="H692" s="40">
        <v>-130</v>
      </c>
      <c r="I692" s="40">
        <v>102</v>
      </c>
      <c r="J692" s="7">
        <v>125</v>
      </c>
      <c r="K692" s="8">
        <v>0.19945188794153479</v>
      </c>
      <c r="L692" s="9">
        <v>8.8645283529571017E-2</v>
      </c>
      <c r="M692" s="10">
        <v>-114.17391304347827</v>
      </c>
      <c r="N692" s="11">
        <v>2.25</v>
      </c>
      <c r="O692" s="12">
        <v>45498.831118920069</v>
      </c>
      <c r="P692" s="32" t="s">
        <v>506</v>
      </c>
      <c r="Q692" s="81" t="s">
        <v>92</v>
      </c>
      <c r="R692" s="82" t="s">
        <v>895</v>
      </c>
      <c r="S692" s="32">
        <v>350</v>
      </c>
      <c r="T692" s="32">
        <v>244.99999999999997</v>
      </c>
      <c r="U692" s="32">
        <v>244.99999999999997</v>
      </c>
      <c r="V692" s="74" t="s">
        <v>77</v>
      </c>
      <c r="W692" s="15"/>
      <c r="X692" s="15"/>
      <c r="Y692" s="16"/>
      <c r="Z692" s="17"/>
      <c r="AA692" s="16"/>
      <c r="AB692" s="99">
        <v>306.25</v>
      </c>
      <c r="AC692" s="20">
        <v>48.865712545676018</v>
      </c>
      <c r="AD692" s="21">
        <v>46046</v>
      </c>
      <c r="AE692" s="22">
        <v>614482.10063956969</v>
      </c>
      <c r="AF692" s="23">
        <v>470604.57593333372</v>
      </c>
      <c r="AG692" s="24">
        <v>570298.32593333384</v>
      </c>
      <c r="AH692" s="15">
        <v>0.5</v>
      </c>
      <c r="AI692" s="25" t="s">
        <v>896</v>
      </c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</row>
    <row r="693" spans="1:73" ht="15" customHeight="1" x14ac:dyDescent="0.25">
      <c r="A693" s="1">
        <f t="shared" si="43"/>
        <v>324</v>
      </c>
      <c r="B693" s="1" t="str">
        <f t="shared" si="40"/>
        <v xml:space="preserve">Grand </v>
      </c>
      <c r="C693" s="1">
        <f t="shared" si="41"/>
        <v>0</v>
      </c>
      <c r="D693" s="2" t="str">
        <f t="shared" si="42"/>
        <v>2026-01</v>
      </c>
      <c r="E693" s="100" t="s">
        <v>897</v>
      </c>
      <c r="F693" s="101" t="s">
        <v>805</v>
      </c>
      <c r="G693" s="5">
        <v>46046</v>
      </c>
      <c r="H693" s="6">
        <v>-120</v>
      </c>
      <c r="I693" s="6">
        <v>-107</v>
      </c>
      <c r="J693" s="115">
        <v>100</v>
      </c>
      <c r="K693" s="8">
        <v>2.6870607689127635E-2</v>
      </c>
      <c r="L693" s="9">
        <v>1.3435303844563817E-2</v>
      </c>
      <c r="M693" s="10">
        <v>-105.52251486830923</v>
      </c>
      <c r="N693" s="11">
        <v>2</v>
      </c>
      <c r="O693" s="12">
        <v>7719.591264089815</v>
      </c>
      <c r="P693" s="13" t="s">
        <v>506</v>
      </c>
      <c r="Q693" s="13" t="s">
        <v>76</v>
      </c>
      <c r="R693" s="14" t="s">
        <v>898</v>
      </c>
      <c r="S693" s="13">
        <v>700</v>
      </c>
      <c r="T693" s="13">
        <v>489.99999999999994</v>
      </c>
      <c r="U693" s="13">
        <v>489.99999999999994</v>
      </c>
      <c r="V693" s="31" t="s">
        <v>77</v>
      </c>
      <c r="W693" s="15"/>
      <c r="X693" s="15"/>
      <c r="Y693" s="16"/>
      <c r="Z693" s="17"/>
      <c r="AA693" s="16"/>
      <c r="AB693" s="24">
        <v>490</v>
      </c>
      <c r="AC693" s="20">
        <v>13.16659776767254</v>
      </c>
      <c r="AD693" s="21">
        <v>46046</v>
      </c>
      <c r="AE693" s="22">
        <v>617996.97273119586</v>
      </c>
      <c r="AF693" s="23">
        <v>475065.1159333337</v>
      </c>
      <c r="AG693" s="24">
        <v>574575.11593333341</v>
      </c>
      <c r="AH693" s="15">
        <v>0.5</v>
      </c>
      <c r="AI693" s="25" t="s">
        <v>899</v>
      </c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</row>
    <row r="694" spans="1:73" ht="15" customHeight="1" x14ac:dyDescent="0.25">
      <c r="A694" s="1">
        <f t="shared" si="43"/>
        <v>325</v>
      </c>
      <c r="B694" s="1" t="str">
        <f t="shared" si="40"/>
        <v xml:space="preserve">Houston </v>
      </c>
      <c r="C694" s="1">
        <f t="shared" si="41"/>
        <v>1</v>
      </c>
      <c r="D694" s="2" t="str">
        <f t="shared" si="42"/>
        <v>2026-01</v>
      </c>
      <c r="E694" s="3" t="s">
        <v>900</v>
      </c>
      <c r="F694" s="4" t="s">
        <v>805</v>
      </c>
      <c r="G694" s="39">
        <v>46046</v>
      </c>
      <c r="H694" s="40">
        <v>180</v>
      </c>
      <c r="I694" s="40">
        <v>-180</v>
      </c>
      <c r="J694" s="7">
        <v>180</v>
      </c>
      <c r="K694" s="8">
        <v>0</v>
      </c>
      <c r="L694" s="9">
        <v>0</v>
      </c>
      <c r="M694" s="10">
        <v>179.99999999999997</v>
      </c>
      <c r="N694" s="11">
        <v>2.8</v>
      </c>
      <c r="O694" s="12">
        <v>0</v>
      </c>
      <c r="P694" s="32" t="s">
        <v>506</v>
      </c>
      <c r="Q694" s="81" t="s">
        <v>92</v>
      </c>
      <c r="R694" s="82" t="s">
        <v>901</v>
      </c>
      <c r="S694" s="32">
        <v>250</v>
      </c>
      <c r="T694" s="32">
        <v>175</v>
      </c>
      <c r="U694" s="32">
        <v>175</v>
      </c>
      <c r="V694" s="74" t="s">
        <v>77</v>
      </c>
      <c r="W694" s="15"/>
      <c r="X694" s="15"/>
      <c r="Y694" s="16"/>
      <c r="Z694" s="17"/>
      <c r="AA694" s="16"/>
      <c r="AB694" s="99">
        <v>315</v>
      </c>
      <c r="AC694" s="20">
        <v>0</v>
      </c>
      <c r="AD694" s="21">
        <v>46046</v>
      </c>
      <c r="AE694" s="22">
        <v>614482.10063956969</v>
      </c>
      <c r="AF694" s="23">
        <v>470919.57593333372</v>
      </c>
      <c r="AG694" s="24">
        <v>570604.57593333384</v>
      </c>
      <c r="AH694" s="15">
        <v>0.5</v>
      </c>
      <c r="AI694" s="25" t="s">
        <v>902</v>
      </c>
      <c r="AJ694" s="25"/>
      <c r="AK694" s="25"/>
      <c r="AL694" s="25"/>
      <c r="AM694" s="25"/>
      <c r="AN694" s="25">
        <v>-103</v>
      </c>
      <c r="AO694" s="25">
        <v>-134</v>
      </c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>
        <v>125</v>
      </c>
      <c r="BQ694" s="1">
        <v>-180</v>
      </c>
      <c r="BR694" s="1">
        <v>1000</v>
      </c>
      <c r="BS694" s="1">
        <v>1000</v>
      </c>
      <c r="BT694" s="1">
        <v>115</v>
      </c>
      <c r="BU694" s="1">
        <v>-155</v>
      </c>
    </row>
    <row r="695" spans="1:73" ht="15" customHeight="1" x14ac:dyDescent="0.25">
      <c r="A695" s="1">
        <f t="shared" si="43"/>
        <v>325</v>
      </c>
      <c r="B695" s="1" t="str">
        <f t="shared" si="40"/>
        <v xml:space="preserve">Houston </v>
      </c>
      <c r="C695" s="1">
        <f t="shared" si="41"/>
        <v>1</v>
      </c>
      <c r="D695" s="2" t="str">
        <f t="shared" si="42"/>
        <v>2026-01</v>
      </c>
      <c r="E695" s="3" t="s">
        <v>903</v>
      </c>
      <c r="F695" s="4" t="s">
        <v>805</v>
      </c>
      <c r="G695" s="39">
        <v>46046</v>
      </c>
      <c r="H695" s="40">
        <v>-112</v>
      </c>
      <c r="I695" s="40">
        <v>-118</v>
      </c>
      <c r="J695" s="7">
        <v>123</v>
      </c>
      <c r="K695" s="8">
        <v>0.10146625667583759</v>
      </c>
      <c r="L695" s="9">
        <v>4.5500563531765736E-2</v>
      </c>
      <c r="M695" s="10">
        <v>102.45740498034075</v>
      </c>
      <c r="N695" s="11">
        <v>2.23</v>
      </c>
      <c r="O695" s="12">
        <v>23659.78194924345</v>
      </c>
      <c r="P695" s="32" t="s">
        <v>506</v>
      </c>
      <c r="Q695" s="81" t="s">
        <v>92</v>
      </c>
      <c r="R695" s="82" t="s">
        <v>901</v>
      </c>
      <c r="S695" s="32">
        <v>350</v>
      </c>
      <c r="T695" s="32">
        <v>244.99999999999997</v>
      </c>
      <c r="U695" s="32">
        <v>244.99999999999997</v>
      </c>
      <c r="V695" s="74" t="s">
        <v>82</v>
      </c>
      <c r="W695" s="15"/>
      <c r="X695" s="15"/>
      <c r="Y695" s="16"/>
      <c r="Z695" s="17"/>
      <c r="AA695" s="16"/>
      <c r="AB695" s="99">
        <v>-244.99999999999997</v>
      </c>
      <c r="AC695" s="20">
        <v>24.859232885580205</v>
      </c>
      <c r="AD695" s="21">
        <v>46046</v>
      </c>
      <c r="AE695" s="22">
        <v>614774.28093273647</v>
      </c>
      <c r="AF695" s="23">
        <v>473374.89593333367</v>
      </c>
      <c r="AG695" s="24">
        <v>573619.89593333378</v>
      </c>
      <c r="AH695" s="15">
        <v>0.5</v>
      </c>
      <c r="AI695" s="25" t="s">
        <v>904</v>
      </c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</row>
    <row r="696" spans="1:73" ht="15" customHeight="1" x14ac:dyDescent="0.25">
      <c r="A696" s="1">
        <f t="shared" si="43"/>
        <v>326</v>
      </c>
      <c r="B696" s="1" t="str">
        <f t="shared" si="40"/>
        <v xml:space="preserve">Indiana </v>
      </c>
      <c r="C696" s="1">
        <f t="shared" si="41"/>
        <v>0</v>
      </c>
      <c r="D696" s="2" t="str">
        <f t="shared" si="42"/>
        <v>2026-01</v>
      </c>
      <c r="E696" s="3" t="s">
        <v>905</v>
      </c>
      <c r="F696" s="4" t="s">
        <v>814</v>
      </c>
      <c r="G696" s="39">
        <v>46046</v>
      </c>
      <c r="H696" s="40">
        <v>-110</v>
      </c>
      <c r="I696" s="40">
        <v>100</v>
      </c>
      <c r="J696" s="7">
        <v>112</v>
      </c>
      <c r="K696" s="8">
        <v>8.4651162790697829E-2</v>
      </c>
      <c r="L696" s="9">
        <v>3.9929793769197086E-2</v>
      </c>
      <c r="M696" s="10">
        <v>-104.76190476190477</v>
      </c>
      <c r="N696" s="11">
        <v>2.12</v>
      </c>
      <c r="O696" s="12">
        <v>21665.47106724812</v>
      </c>
      <c r="P696" s="32" t="s">
        <v>506</v>
      </c>
      <c r="Q696" s="81" t="s">
        <v>76</v>
      </c>
      <c r="R696" s="82" t="s">
        <v>622</v>
      </c>
      <c r="S696" s="32">
        <v>425</v>
      </c>
      <c r="T696" s="32">
        <v>297.5</v>
      </c>
      <c r="U696" s="32">
        <v>297.5</v>
      </c>
      <c r="V696" s="74" t="s">
        <v>82</v>
      </c>
      <c r="W696" s="15"/>
      <c r="X696" s="15"/>
      <c r="Y696" s="16"/>
      <c r="Z696" s="17"/>
      <c r="AA696" s="16"/>
      <c r="AB696" s="99">
        <v>-297.5</v>
      </c>
      <c r="AC696" s="20">
        <v>25.183720930232603</v>
      </c>
      <c r="AD696" s="21">
        <v>46046</v>
      </c>
      <c r="AE696" s="22">
        <v>613400.91323859466</v>
      </c>
      <c r="AF696" s="23">
        <v>473004.19593333366</v>
      </c>
      <c r="AG696" s="24">
        <v>573301.69593333383</v>
      </c>
      <c r="AH696" s="15">
        <v>0.5</v>
      </c>
      <c r="AI696" s="25" t="s">
        <v>906</v>
      </c>
      <c r="AJ696" s="25">
        <v>-135</v>
      </c>
      <c r="AK696" s="25">
        <v>1500</v>
      </c>
      <c r="AL696" s="25">
        <v>100</v>
      </c>
      <c r="AM696" s="25">
        <v>1500</v>
      </c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>
        <v>-161</v>
      </c>
      <c r="AY696" s="25">
        <v>273</v>
      </c>
      <c r="AZ696" s="25">
        <v>-175</v>
      </c>
      <c r="BA696" s="25">
        <v>323</v>
      </c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T696" s="1">
        <v>-110</v>
      </c>
      <c r="BU696" s="1">
        <v>-120</v>
      </c>
    </row>
    <row r="697" spans="1:73" ht="15" customHeight="1" x14ac:dyDescent="0.25">
      <c r="A697" s="1">
        <f t="shared" si="43"/>
        <v>327</v>
      </c>
      <c r="B697" s="1" t="str">
        <f t="shared" si="40"/>
        <v xml:space="preserve">Iona </v>
      </c>
      <c r="C697" s="1">
        <f t="shared" si="41"/>
        <v>0</v>
      </c>
      <c r="D697" s="2" t="str">
        <f t="shared" si="42"/>
        <v>2026-01</v>
      </c>
      <c r="E697" s="100" t="s">
        <v>907</v>
      </c>
      <c r="F697" s="101" t="s">
        <v>805</v>
      </c>
      <c r="G697" s="5">
        <v>46046</v>
      </c>
      <c r="H697" s="6">
        <v>-113</v>
      </c>
      <c r="I697" s="6">
        <v>113</v>
      </c>
      <c r="J697" s="115">
        <v>-113</v>
      </c>
      <c r="K697" s="8">
        <v>0</v>
      </c>
      <c r="L697" s="9">
        <v>0</v>
      </c>
      <c r="M697" s="10">
        <v>-113</v>
      </c>
      <c r="N697" s="11">
        <v>1.8849557522123894</v>
      </c>
      <c r="O697" s="12">
        <v>0</v>
      </c>
      <c r="P697" s="13" t="s">
        <v>506</v>
      </c>
      <c r="Q697" s="13" t="s">
        <v>76</v>
      </c>
      <c r="R697" s="14" t="s">
        <v>908</v>
      </c>
      <c r="S697" s="13">
        <v>600</v>
      </c>
      <c r="T697" s="13">
        <v>420</v>
      </c>
      <c r="U697" s="104">
        <v>420</v>
      </c>
      <c r="V697" s="31" t="s">
        <v>82</v>
      </c>
      <c r="W697" s="15"/>
      <c r="X697" s="15"/>
      <c r="Y697" s="16"/>
      <c r="Z697" s="17"/>
      <c r="AA697" s="16"/>
      <c r="AB697" s="24">
        <v>-420</v>
      </c>
      <c r="AC697" s="20">
        <v>0</v>
      </c>
      <c r="AD697" s="21">
        <v>46046</v>
      </c>
      <c r="AE697" s="22">
        <v>617757.32329653192</v>
      </c>
      <c r="AF697" s="23">
        <v>472710.21593333367</v>
      </c>
      <c r="AG697" s="24">
        <v>573130.2159333335</v>
      </c>
      <c r="AH697" s="15">
        <v>0.5</v>
      </c>
      <c r="AI697" s="25" t="s">
        <v>909</v>
      </c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</row>
    <row r="698" spans="1:73" ht="15" customHeight="1" x14ac:dyDescent="0.25">
      <c r="A698" s="1">
        <f t="shared" si="43"/>
        <v>328</v>
      </c>
      <c r="B698" s="1" t="str">
        <f t="shared" si="40"/>
        <v xml:space="preserve">Jacksonville </v>
      </c>
      <c r="C698" s="1">
        <f t="shared" si="41"/>
        <v>0</v>
      </c>
      <c r="D698" s="2" t="str">
        <f t="shared" si="42"/>
        <v>2026-01</v>
      </c>
      <c r="E698" s="3" t="s">
        <v>910</v>
      </c>
      <c r="F698" s="4" t="s">
        <v>805</v>
      </c>
      <c r="G698" s="39">
        <v>46046</v>
      </c>
      <c r="H698" s="40">
        <v>162</v>
      </c>
      <c r="I698" s="40">
        <v>-220</v>
      </c>
      <c r="J698" s="7">
        <v>185</v>
      </c>
      <c r="K698" s="8">
        <v>1.7402945113788485E-2</v>
      </c>
      <c r="L698" s="9">
        <v>6.1062965311538542E-3</v>
      </c>
      <c r="M698" s="10">
        <v>180.125</v>
      </c>
      <c r="N698" s="11">
        <v>2.85</v>
      </c>
      <c r="O698" s="12">
        <v>2699.2978932426417</v>
      </c>
      <c r="P698" s="32" t="s">
        <v>506</v>
      </c>
      <c r="Q698" s="81" t="s">
        <v>81</v>
      </c>
      <c r="R698" s="82" t="s">
        <v>911</v>
      </c>
      <c r="S698" s="32">
        <v>375</v>
      </c>
      <c r="T698" s="32">
        <v>262.5</v>
      </c>
      <c r="U698" s="32">
        <v>262.5</v>
      </c>
      <c r="V698" s="74" t="s">
        <v>77</v>
      </c>
      <c r="W698" s="15"/>
      <c r="X698" s="15"/>
      <c r="Y698" s="16"/>
      <c r="Z698" s="17"/>
      <c r="AA698" s="16"/>
      <c r="AB698" s="99">
        <v>485.63</v>
      </c>
      <c r="AC698" s="20">
        <v>4.568273092369477</v>
      </c>
      <c r="AD698" s="21">
        <v>46046</v>
      </c>
      <c r="AE698" s="22">
        <v>614807.03816288407</v>
      </c>
      <c r="AF698" s="23">
        <v>474377.12593333365</v>
      </c>
      <c r="AG698" s="24">
        <v>573891.49593333376</v>
      </c>
      <c r="AH698" s="15">
        <v>0.5</v>
      </c>
      <c r="AI698" s="25" t="s">
        <v>912</v>
      </c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</row>
    <row r="699" spans="1:73" ht="15" customHeight="1" x14ac:dyDescent="0.25">
      <c r="A699" s="1">
        <f t="shared" si="43"/>
        <v>329</v>
      </c>
      <c r="B699" s="1" t="str">
        <f t="shared" si="40"/>
        <v xml:space="preserve">Kent </v>
      </c>
      <c r="C699" s="1">
        <f t="shared" si="41"/>
        <v>0</v>
      </c>
      <c r="D699" s="2" t="str">
        <f t="shared" si="42"/>
        <v>2026-01</v>
      </c>
      <c r="E699" s="100" t="s">
        <v>913</v>
      </c>
      <c r="F699" s="101" t="s">
        <v>805</v>
      </c>
      <c r="G699" s="5">
        <v>46046</v>
      </c>
      <c r="H699" s="6">
        <v>-188</v>
      </c>
      <c r="I699" s="6">
        <v>146</v>
      </c>
      <c r="J699" s="115">
        <v>-132</v>
      </c>
      <c r="K699" s="121">
        <v>8.3098332218894649E-2</v>
      </c>
      <c r="L699" s="117">
        <v>4.7280085572819375E-2</v>
      </c>
      <c r="M699" s="118">
        <v>-160.58333333333326</v>
      </c>
      <c r="N699" s="116">
        <v>1.7575757575757576</v>
      </c>
      <c r="O699" s="119">
        <v>31446.084017450034</v>
      </c>
      <c r="P699" s="13" t="s">
        <v>506</v>
      </c>
      <c r="Q699" s="13" t="s">
        <v>81</v>
      </c>
      <c r="R699" s="14" t="s">
        <v>914</v>
      </c>
      <c r="S699" s="13">
        <v>900</v>
      </c>
      <c r="T699" s="13">
        <v>630</v>
      </c>
      <c r="U699" s="13">
        <v>630</v>
      </c>
      <c r="V699" s="31" t="s">
        <v>77</v>
      </c>
      <c r="W699" s="105"/>
      <c r="X699" s="105"/>
      <c r="Y699" s="114"/>
      <c r="Z699" s="8"/>
      <c r="AA699" s="10"/>
      <c r="AB699" s="106">
        <v>477.27</v>
      </c>
      <c r="AC699" s="107">
        <v>52.35194929790363</v>
      </c>
      <c r="AD699" s="108">
        <v>46046</v>
      </c>
      <c r="AE699" s="109">
        <v>615063.36751729948</v>
      </c>
      <c r="AF699" s="110">
        <v>473841.14593333367</v>
      </c>
      <c r="AG699" s="106">
        <v>573363.87593333377</v>
      </c>
      <c r="AH699" s="15">
        <v>0.5</v>
      </c>
      <c r="AI699" s="25" t="s">
        <v>915</v>
      </c>
      <c r="AJ699" s="25"/>
      <c r="AK699" s="25"/>
      <c r="AL699" s="25"/>
      <c r="AM699" s="25"/>
      <c r="AN699" s="25">
        <v>-197</v>
      </c>
      <c r="AO699" s="25">
        <v>146</v>
      </c>
      <c r="AP699" s="25">
        <v>-186</v>
      </c>
      <c r="AQ699" s="25">
        <v>826</v>
      </c>
      <c r="AR699" s="25">
        <v>144</v>
      </c>
      <c r="AS699" s="25">
        <v>134</v>
      </c>
      <c r="AT699" s="25"/>
      <c r="AU699" s="25"/>
      <c r="AV699" s="25"/>
      <c r="AW699" s="25"/>
      <c r="AX699" s="25">
        <v>-199</v>
      </c>
      <c r="AY699" s="25">
        <v>1200</v>
      </c>
      <c r="AZ699" s="25">
        <v>146</v>
      </c>
      <c r="BA699" s="25">
        <v>2300</v>
      </c>
      <c r="BB699" s="25">
        <v>-188</v>
      </c>
      <c r="BC699" s="25">
        <v>146</v>
      </c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R699" s="1">
        <v>1000</v>
      </c>
      <c r="BS699" s="1">
        <v>1000</v>
      </c>
      <c r="BT699" s="1">
        <v>-195</v>
      </c>
      <c r="BU699" s="1">
        <v>150</v>
      </c>
    </row>
    <row r="700" spans="1:73" ht="15" customHeight="1" x14ac:dyDescent="0.25">
      <c r="A700" s="1">
        <f t="shared" si="43"/>
        <v>329</v>
      </c>
      <c r="B700" s="1" t="str">
        <f t="shared" si="40"/>
        <v xml:space="preserve">Kent </v>
      </c>
      <c r="C700" s="1">
        <f t="shared" si="41"/>
        <v>0</v>
      </c>
      <c r="D700" s="2" t="str">
        <f t="shared" si="42"/>
        <v>2026-01</v>
      </c>
      <c r="E700" s="100" t="s">
        <v>913</v>
      </c>
      <c r="F700" s="101" t="s">
        <v>805</v>
      </c>
      <c r="G700" s="5">
        <v>46046</v>
      </c>
      <c r="H700" s="6">
        <v>-174</v>
      </c>
      <c r="I700" s="6">
        <v>136</v>
      </c>
      <c r="J700" s="115">
        <v>-115</v>
      </c>
      <c r="K700" s="8">
        <v>0.12134590568702544</v>
      </c>
      <c r="L700" s="9">
        <v>6.4905949553525244E-2</v>
      </c>
      <c r="M700" s="10">
        <v>-149.86861313868613</v>
      </c>
      <c r="N700" s="11">
        <v>1.8695652173913042</v>
      </c>
      <c r="O700" s="12">
        <v>39955.735055993398</v>
      </c>
      <c r="P700" s="13" t="s">
        <v>506</v>
      </c>
      <c r="Q700" s="13" t="s">
        <v>81</v>
      </c>
      <c r="R700" s="14" t="s">
        <v>914</v>
      </c>
      <c r="S700" s="13">
        <v>800</v>
      </c>
      <c r="T700" s="13">
        <v>560</v>
      </c>
      <c r="U700" s="13">
        <v>560</v>
      </c>
      <c r="V700" s="31" t="s">
        <v>77</v>
      </c>
      <c r="W700" s="105"/>
      <c r="X700" s="105"/>
      <c r="Y700" s="114"/>
      <c r="Z700" s="8"/>
      <c r="AA700" s="10"/>
      <c r="AB700" s="106">
        <v>486.96</v>
      </c>
      <c r="AC700" s="107">
        <v>67.953707184734242</v>
      </c>
      <c r="AD700" s="108">
        <v>46046</v>
      </c>
      <c r="AE700" s="109">
        <v>615335.03259201616</v>
      </c>
      <c r="AF700" s="110">
        <v>473132.85593333369</v>
      </c>
      <c r="AG700" s="106">
        <v>572645.89593333378</v>
      </c>
      <c r="AH700" s="15">
        <v>0.5</v>
      </c>
      <c r="AI700" s="25" t="s">
        <v>916</v>
      </c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</row>
    <row r="701" spans="1:73" ht="15" customHeight="1" x14ac:dyDescent="0.25">
      <c r="A701" s="1">
        <f t="shared" si="43"/>
        <v>329</v>
      </c>
      <c r="B701" s="1" t="str">
        <f t="shared" si="40"/>
        <v xml:space="preserve">Kent </v>
      </c>
      <c r="C701" s="1">
        <f t="shared" si="41"/>
        <v>0</v>
      </c>
      <c r="D701" s="2" t="str">
        <f t="shared" si="42"/>
        <v>2026-01</v>
      </c>
      <c r="E701" s="100" t="s">
        <v>913</v>
      </c>
      <c r="F701" s="101" t="s">
        <v>814</v>
      </c>
      <c r="G701" s="102">
        <v>46046</v>
      </c>
      <c r="H701" s="6">
        <v>116</v>
      </c>
      <c r="I701" s="6">
        <v>-162</v>
      </c>
      <c r="J701" s="115">
        <v>185</v>
      </c>
      <c r="K701" s="8">
        <v>0.22025755000653688</v>
      </c>
      <c r="L701" s="9">
        <v>7.7283350879486623E-2</v>
      </c>
      <c r="M701" s="10">
        <v>133.55725190839695</v>
      </c>
      <c r="N701" s="11">
        <v>2.85</v>
      </c>
      <c r="O701" s="12">
        <v>34269.368347520576</v>
      </c>
      <c r="P701" s="13" t="s">
        <v>506</v>
      </c>
      <c r="Q701" s="13" t="s">
        <v>81</v>
      </c>
      <c r="R701" s="14" t="s">
        <v>914</v>
      </c>
      <c r="S701" s="13">
        <v>375</v>
      </c>
      <c r="T701" s="13">
        <v>262.5</v>
      </c>
      <c r="U701" s="104">
        <v>262.5</v>
      </c>
      <c r="V701" s="31" t="s">
        <v>77</v>
      </c>
      <c r="W701" s="105"/>
      <c r="X701" s="105"/>
      <c r="Y701" s="10"/>
      <c r="Z701" s="8"/>
      <c r="AA701" s="10"/>
      <c r="AB701" s="106">
        <v>485.63</v>
      </c>
      <c r="AC701" s="107">
        <v>57.817606876715928</v>
      </c>
      <c r="AD701" s="108">
        <v>46046</v>
      </c>
      <c r="AE701" s="109">
        <v>615946.79583221755</v>
      </c>
      <c r="AF701" s="110">
        <v>476160.16593333363</v>
      </c>
      <c r="AG701" s="24">
        <v>575674.53593333368</v>
      </c>
      <c r="AH701" s="15">
        <v>0.5</v>
      </c>
      <c r="AI701" s="25" t="s">
        <v>917</v>
      </c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</row>
    <row r="702" spans="1:73" ht="15" customHeight="1" x14ac:dyDescent="0.25">
      <c r="A702" s="1">
        <f t="shared" si="43"/>
        <v>330</v>
      </c>
      <c r="B702" s="1" t="str">
        <f t="shared" si="40"/>
        <v xml:space="preserve">Kentucky </v>
      </c>
      <c r="C702" s="1">
        <f t="shared" si="41"/>
        <v>0</v>
      </c>
      <c r="D702" s="2" t="str">
        <f t="shared" si="42"/>
        <v>2026-01</v>
      </c>
      <c r="E702" s="3" t="s">
        <v>918</v>
      </c>
      <c r="F702" s="4" t="s">
        <v>805</v>
      </c>
      <c r="G702" s="39">
        <v>46046</v>
      </c>
      <c r="H702" s="40">
        <v>-113</v>
      </c>
      <c r="I702" s="40">
        <v>-102</v>
      </c>
      <c r="J702" s="7">
        <v>118</v>
      </c>
      <c r="K702" s="8">
        <v>0.11691237205961556</v>
      </c>
      <c r="L702" s="9">
        <v>5.3629528467713572E-2</v>
      </c>
      <c r="M702" s="10">
        <v>-105.0630580870846</v>
      </c>
      <c r="N702" s="11">
        <v>2.1799999999999997</v>
      </c>
      <c r="O702" s="12">
        <v>28591.932470364412</v>
      </c>
      <c r="P702" s="32" t="s">
        <v>506</v>
      </c>
      <c r="Q702" s="81" t="s">
        <v>76</v>
      </c>
      <c r="R702" s="82" t="s">
        <v>919</v>
      </c>
      <c r="S702" s="32">
        <v>375</v>
      </c>
      <c r="T702" s="32">
        <v>262.5</v>
      </c>
      <c r="U702" s="32">
        <v>262.5</v>
      </c>
      <c r="V702" s="74" t="s">
        <v>77</v>
      </c>
      <c r="W702" s="15"/>
      <c r="X702" s="15"/>
      <c r="Y702" s="16"/>
      <c r="Z702" s="17"/>
      <c r="AA702" s="16"/>
      <c r="AB702" s="99">
        <v>309.75</v>
      </c>
      <c r="AC702" s="20">
        <v>30.689497665649085</v>
      </c>
      <c r="AD702" s="21">
        <v>46046</v>
      </c>
      <c r="AE702" s="22">
        <v>612847.8959681266</v>
      </c>
      <c r="AF702" s="23">
        <v>477468.1759333337</v>
      </c>
      <c r="AG702" s="24">
        <v>577158.42593333381</v>
      </c>
      <c r="AH702" s="15">
        <v>0.5</v>
      </c>
      <c r="AI702" s="25" t="s">
        <v>920</v>
      </c>
      <c r="AJ702" s="25">
        <v>-132</v>
      </c>
      <c r="AK702" s="25">
        <v>1500</v>
      </c>
      <c r="AL702" s="25">
        <v>-102</v>
      </c>
      <c r="AM702" s="25">
        <v>1500</v>
      </c>
      <c r="AN702" s="25">
        <v>-113</v>
      </c>
      <c r="AO702" s="25">
        <v>-122</v>
      </c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R702" s="1">
        <v>1000</v>
      </c>
      <c r="BS702" s="1">
        <v>1000</v>
      </c>
      <c r="BT702" s="1">
        <v>-105</v>
      </c>
      <c r="BU702" s="1">
        <v>-130</v>
      </c>
    </row>
    <row r="703" spans="1:73" ht="15" customHeight="1" x14ac:dyDescent="0.25">
      <c r="A703" s="1">
        <f t="shared" si="43"/>
        <v>331</v>
      </c>
      <c r="B703" s="1" t="str">
        <f t="shared" si="40"/>
        <v xml:space="preserve">Lafayette </v>
      </c>
      <c r="C703" s="1">
        <f t="shared" si="41"/>
        <v>0</v>
      </c>
      <c r="D703" s="2" t="str">
        <f t="shared" si="42"/>
        <v>2026-01</v>
      </c>
      <c r="E703" s="100" t="s">
        <v>921</v>
      </c>
      <c r="F703" s="101" t="s">
        <v>805</v>
      </c>
      <c r="G703" s="5">
        <v>46046</v>
      </c>
      <c r="H703" s="6">
        <v>-125</v>
      </c>
      <c r="I703" s="6">
        <v>-105</v>
      </c>
      <c r="J703" s="115">
        <v>117</v>
      </c>
      <c r="K703" s="8">
        <v>0.12906091370558387</v>
      </c>
      <c r="L703" s="9">
        <v>5.9475075440361236E-2</v>
      </c>
      <c r="M703" s="10">
        <v>-108.4656084656085</v>
      </c>
      <c r="N703" s="11">
        <v>2.17</v>
      </c>
      <c r="O703" s="12">
        <v>31600.000268677642</v>
      </c>
      <c r="P703" s="13" t="s">
        <v>506</v>
      </c>
      <c r="Q703" s="13" t="s">
        <v>76</v>
      </c>
      <c r="R703" s="14" t="s">
        <v>922</v>
      </c>
      <c r="S703" s="13">
        <v>575</v>
      </c>
      <c r="T703" s="13">
        <v>402.5</v>
      </c>
      <c r="U703" s="104">
        <v>402.5</v>
      </c>
      <c r="V703" s="31" t="s">
        <v>82</v>
      </c>
      <c r="W703" s="15"/>
      <c r="X703" s="15"/>
      <c r="Y703" s="16"/>
      <c r="Z703" s="17"/>
      <c r="AA703" s="16"/>
      <c r="AB703" s="24">
        <v>-402.5</v>
      </c>
      <c r="AC703" s="20">
        <v>51.94701776649751</v>
      </c>
      <c r="AD703" s="21">
        <v>46046</v>
      </c>
      <c r="AE703" s="22">
        <v>617306.90948627738</v>
      </c>
      <c r="AF703" s="23">
        <v>472536.26593333366</v>
      </c>
      <c r="AG703" s="24">
        <v>572938.76593333355</v>
      </c>
      <c r="AH703" s="15">
        <v>0.5</v>
      </c>
      <c r="AI703" s="25" t="s">
        <v>923</v>
      </c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</row>
    <row r="704" spans="1:73" ht="15" customHeight="1" x14ac:dyDescent="0.25">
      <c r="A704" s="1">
        <f t="shared" si="43"/>
        <v>331</v>
      </c>
      <c r="B704" s="1" t="str">
        <f t="shared" si="40"/>
        <v xml:space="preserve">Lafayette </v>
      </c>
      <c r="C704" s="1">
        <f t="shared" si="41"/>
        <v>0</v>
      </c>
      <c r="D704" s="2" t="str">
        <f t="shared" si="42"/>
        <v>2026-01</v>
      </c>
      <c r="E704" s="100" t="s">
        <v>924</v>
      </c>
      <c r="F704" s="101" t="s">
        <v>805</v>
      </c>
      <c r="G704" s="5">
        <v>46046</v>
      </c>
      <c r="H704" s="6">
        <v>315</v>
      </c>
      <c r="I704" s="6">
        <v>-315</v>
      </c>
      <c r="J704" s="115">
        <v>400</v>
      </c>
      <c r="K704" s="8">
        <v>0.20481927710843353</v>
      </c>
      <c r="L704" s="9">
        <v>4.0963855421686707E-2</v>
      </c>
      <c r="M704" s="10">
        <v>315.00000000000006</v>
      </c>
      <c r="N704" s="11">
        <v>5</v>
      </c>
      <c r="O704" s="12">
        <v>14683.254745281112</v>
      </c>
      <c r="P704" s="13" t="s">
        <v>506</v>
      </c>
      <c r="Q704" s="13" t="s">
        <v>81</v>
      </c>
      <c r="R704" s="14" t="s">
        <v>922</v>
      </c>
      <c r="S704" s="13">
        <v>175</v>
      </c>
      <c r="T704" s="13">
        <v>122.49999999999999</v>
      </c>
      <c r="U704" s="104">
        <v>122.49999999999999</v>
      </c>
      <c r="V704" s="31" t="s">
        <v>82</v>
      </c>
      <c r="W704" s="15"/>
      <c r="X704" s="15"/>
      <c r="Y704" s="16"/>
      <c r="Z704" s="17"/>
      <c r="AA704" s="16"/>
      <c r="AB704" s="24">
        <v>-122.49999999999999</v>
      </c>
      <c r="AC704" s="20">
        <v>25.090361445783106</v>
      </c>
      <c r="AD704" s="21">
        <v>46046</v>
      </c>
      <c r="AE704" s="22">
        <v>617906.31869776547</v>
      </c>
      <c r="AF704" s="23">
        <v>473388.15593333368</v>
      </c>
      <c r="AG704" s="24">
        <v>573510.65593333344</v>
      </c>
      <c r="AH704" s="15">
        <v>0.5</v>
      </c>
      <c r="AI704" s="25" t="s">
        <v>925</v>
      </c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</row>
    <row r="705" spans="1:73" ht="15" customHeight="1" x14ac:dyDescent="0.25">
      <c r="A705" s="1">
        <f t="shared" si="43"/>
        <v>332</v>
      </c>
      <c r="B705" s="1" t="str">
        <f t="shared" si="40"/>
        <v xml:space="preserve">LSU </v>
      </c>
      <c r="C705" s="1">
        <f t="shared" si="41"/>
        <v>1</v>
      </c>
      <c r="D705" s="2" t="str">
        <f t="shared" si="42"/>
        <v>2026-01</v>
      </c>
      <c r="E705" s="100" t="s">
        <v>926</v>
      </c>
      <c r="F705" s="101" t="s">
        <v>805</v>
      </c>
      <c r="G705" s="5">
        <v>46046</v>
      </c>
      <c r="H705" s="6">
        <v>-110</v>
      </c>
      <c r="I705" s="6">
        <v>-120</v>
      </c>
      <c r="J705" s="115">
        <v>143</v>
      </c>
      <c r="K705" s="17">
        <v>0.19040485829959511</v>
      </c>
      <c r="L705" s="111">
        <v>7.8355908765265492E-2</v>
      </c>
      <c r="M705" s="16">
        <v>104.13223140495865</v>
      </c>
      <c r="N705" s="112">
        <v>2.4299999999999997</v>
      </c>
      <c r="O705" s="113">
        <v>38265.126174718556</v>
      </c>
      <c r="P705" s="13" t="s">
        <v>506</v>
      </c>
      <c r="Q705" s="13" t="s">
        <v>92</v>
      </c>
      <c r="R705" s="14" t="s">
        <v>927</v>
      </c>
      <c r="S705" s="13">
        <v>979</v>
      </c>
      <c r="T705" s="13">
        <v>685.3</v>
      </c>
      <c r="U705" s="104">
        <v>685.3</v>
      </c>
      <c r="V705" s="31" t="s">
        <v>82</v>
      </c>
      <c r="W705" s="15"/>
      <c r="X705" s="15"/>
      <c r="Y705" s="16"/>
      <c r="Z705" s="17"/>
      <c r="AA705" s="16"/>
      <c r="AB705" s="24">
        <v>-685.3</v>
      </c>
      <c r="AC705" s="20">
        <v>130.48444939271252</v>
      </c>
      <c r="AD705" s="21">
        <v>46046</v>
      </c>
      <c r="AE705" s="22">
        <v>616887.83972875972</v>
      </c>
      <c r="AF705" s="23">
        <v>474080.81593333365</v>
      </c>
      <c r="AG705" s="24">
        <v>574766.11593333364</v>
      </c>
      <c r="AH705" s="15">
        <v>0.5</v>
      </c>
      <c r="AI705" s="25" t="s">
        <v>928</v>
      </c>
      <c r="AJ705" s="25"/>
      <c r="AK705" s="25"/>
      <c r="AL705" s="25"/>
      <c r="AM705" s="25"/>
      <c r="AN705" s="25">
        <v>-110</v>
      </c>
      <c r="AO705" s="25">
        <v>-120</v>
      </c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>
        <v>150</v>
      </c>
      <c r="BQ705" s="1">
        <v>-220</v>
      </c>
      <c r="BR705" s="1">
        <v>1000</v>
      </c>
      <c r="BS705" s="1">
        <v>1000</v>
      </c>
    </row>
    <row r="706" spans="1:73" ht="15" customHeight="1" x14ac:dyDescent="0.25">
      <c r="A706" s="1">
        <f t="shared" si="43"/>
        <v>333</v>
      </c>
      <c r="B706" s="1" t="str">
        <f t="shared" ref="B706:B769" si="44">LEFT(E706, FIND(" ", E706))</f>
        <v xml:space="preserve">Manhattan </v>
      </c>
      <c r="C706" s="1">
        <f t="shared" ref="C706:C769" si="45">IF(Q706="total", 1, 0)</f>
        <v>1</v>
      </c>
      <c r="D706" s="2" t="str">
        <f t="shared" ref="D706:D769" si="46">YEAR(G706)&amp;"-"&amp;IF(MONTH(G706)&lt;10, "0", "")&amp;MONTH(G706)</f>
        <v>2026-01</v>
      </c>
      <c r="E706" s="100" t="s">
        <v>929</v>
      </c>
      <c r="F706" s="101" t="s">
        <v>805</v>
      </c>
      <c r="G706" s="5">
        <v>46046</v>
      </c>
      <c r="H706" s="6">
        <v>-108</v>
      </c>
      <c r="I706" s="6">
        <v>108</v>
      </c>
      <c r="J706" s="115">
        <v>112</v>
      </c>
      <c r="K706" s="8">
        <v>0.10076923076923097</v>
      </c>
      <c r="L706" s="9">
        <v>4.7532656023222153E-2</v>
      </c>
      <c r="M706" s="10">
        <v>-108.00000000000001</v>
      </c>
      <c r="N706" s="11">
        <v>2.12</v>
      </c>
      <c r="O706" s="12">
        <v>25764.092818429541</v>
      </c>
      <c r="P706" s="13" t="s">
        <v>506</v>
      </c>
      <c r="Q706" s="13" t="s">
        <v>92</v>
      </c>
      <c r="R706" s="14" t="s">
        <v>930</v>
      </c>
      <c r="S706" s="13">
        <v>400</v>
      </c>
      <c r="T706" s="13">
        <v>280</v>
      </c>
      <c r="U706" s="104">
        <v>280</v>
      </c>
      <c r="V706" s="31" t="s">
        <v>77</v>
      </c>
      <c r="W706" s="15"/>
      <c r="X706" s="15"/>
      <c r="Y706" s="16"/>
      <c r="Z706" s="17"/>
      <c r="AA706" s="16"/>
      <c r="AB706" s="24">
        <v>313.60000000000002</v>
      </c>
      <c r="AC706" s="20">
        <v>28.215384615384671</v>
      </c>
      <c r="AD706" s="21">
        <v>46046</v>
      </c>
      <c r="AE706" s="22">
        <v>617785.53868114727</v>
      </c>
      <c r="AF706" s="23">
        <v>473023.81593333365</v>
      </c>
      <c r="AG706" s="24">
        <v>572710.2159333335</v>
      </c>
      <c r="AH706" s="15">
        <v>0.5</v>
      </c>
      <c r="AI706" s="25" t="s">
        <v>931</v>
      </c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</row>
    <row r="707" spans="1:73" ht="15" customHeight="1" x14ac:dyDescent="0.25">
      <c r="A707" s="1">
        <f t="shared" si="43"/>
        <v>334</v>
      </c>
      <c r="B707" s="1" t="str">
        <f t="shared" si="44"/>
        <v xml:space="preserve">Maryland </v>
      </c>
      <c r="C707" s="1">
        <f t="shared" si="45"/>
        <v>0</v>
      </c>
      <c r="D707" s="2" t="str">
        <f t="shared" si="46"/>
        <v>2026-01</v>
      </c>
      <c r="E707" s="3" t="s">
        <v>932</v>
      </c>
      <c r="F707" s="4" t="s">
        <v>814</v>
      </c>
      <c r="G707" s="39">
        <v>46046</v>
      </c>
      <c r="H707" s="40">
        <v>104</v>
      </c>
      <c r="I707" s="40">
        <v>-104</v>
      </c>
      <c r="J707" s="7">
        <v>123</v>
      </c>
      <c r="K707" s="8">
        <v>9.3137254901960689E-2</v>
      </c>
      <c r="L707" s="9">
        <v>4.176558515782991E-2</v>
      </c>
      <c r="M707" s="10">
        <v>104.00000000000001</v>
      </c>
      <c r="N707" s="11">
        <v>2.23</v>
      </c>
      <c r="O707" s="12">
        <v>21544.254090413942</v>
      </c>
      <c r="P707" s="32" t="s">
        <v>506</v>
      </c>
      <c r="Q707" s="81" t="s">
        <v>76</v>
      </c>
      <c r="R707" s="82" t="s">
        <v>479</v>
      </c>
      <c r="S707" s="32">
        <v>350</v>
      </c>
      <c r="T707" s="32">
        <v>244.99999999999997</v>
      </c>
      <c r="U707" s="32">
        <v>244.99999999999997</v>
      </c>
      <c r="V707" s="74" t="s">
        <v>82</v>
      </c>
      <c r="W707" s="15"/>
      <c r="X707" s="15"/>
      <c r="Y707" s="16"/>
      <c r="Z707" s="17"/>
      <c r="AA707" s="16"/>
      <c r="AB707" s="99">
        <v>-244.99999999999997</v>
      </c>
      <c r="AC707" s="20">
        <v>22.818627450980365</v>
      </c>
      <c r="AD707" s="21">
        <v>46046</v>
      </c>
      <c r="AE707" s="22">
        <v>613853.7469622296</v>
      </c>
      <c r="AF707" s="23">
        <v>468795.44593333366</v>
      </c>
      <c r="AG707" s="24">
        <v>569040.44593333383</v>
      </c>
      <c r="AH707" s="15">
        <v>0.5</v>
      </c>
      <c r="AI707" s="25" t="s">
        <v>933</v>
      </c>
      <c r="AJ707" s="25"/>
      <c r="AK707" s="25"/>
      <c r="AL707" s="25"/>
      <c r="AM707" s="25"/>
      <c r="AN707" s="25">
        <v>-125</v>
      </c>
      <c r="AO707" s="25">
        <v>-105</v>
      </c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>
        <v>100</v>
      </c>
      <c r="BQ707" s="1">
        <v>-130</v>
      </c>
    </row>
    <row r="708" spans="1:73" ht="15" customHeight="1" x14ac:dyDescent="0.25">
      <c r="A708" s="1">
        <f t="shared" ref="A708:A771" si="47">IF(AND(B708=B707, C708=C707, G708=G707), A707, A707+1)</f>
        <v>334</v>
      </c>
      <c r="B708" s="1" t="str">
        <f t="shared" si="44"/>
        <v xml:space="preserve">Maryland </v>
      </c>
      <c r="C708" s="1">
        <f t="shared" si="45"/>
        <v>0</v>
      </c>
      <c r="D708" s="2" t="str">
        <f t="shared" si="46"/>
        <v>2026-01</v>
      </c>
      <c r="E708" s="3" t="s">
        <v>934</v>
      </c>
      <c r="F708" s="4" t="s">
        <v>814</v>
      </c>
      <c r="G708" s="39">
        <v>46046</v>
      </c>
      <c r="H708" s="40">
        <v>116</v>
      </c>
      <c r="I708" s="40">
        <v>-116</v>
      </c>
      <c r="J708" s="7">
        <v>116</v>
      </c>
      <c r="K708" s="8">
        <v>0</v>
      </c>
      <c r="L708" s="9">
        <v>0</v>
      </c>
      <c r="M708" s="10">
        <v>116.00000000000003</v>
      </c>
      <c r="N708" s="11">
        <v>2.16</v>
      </c>
      <c r="O708" s="12">
        <v>0</v>
      </c>
      <c r="P708" s="32" t="s">
        <v>506</v>
      </c>
      <c r="Q708" s="81" t="s">
        <v>76</v>
      </c>
      <c r="R708" s="82" t="s">
        <v>479</v>
      </c>
      <c r="S708" s="32">
        <v>375</v>
      </c>
      <c r="T708" s="32">
        <v>262.5</v>
      </c>
      <c r="U708" s="32">
        <v>262.5</v>
      </c>
      <c r="V708" s="74" t="s">
        <v>82</v>
      </c>
      <c r="W708" s="15"/>
      <c r="X708" s="15"/>
      <c r="Y708" s="16"/>
      <c r="Z708" s="17"/>
      <c r="AA708" s="16"/>
      <c r="AB708" s="99">
        <v>-262.5</v>
      </c>
      <c r="AC708" s="20">
        <v>0</v>
      </c>
      <c r="AD708" s="21">
        <v>46046</v>
      </c>
      <c r="AE708" s="22">
        <v>613897.5965025262</v>
      </c>
      <c r="AF708" s="23">
        <v>469140.19593333366</v>
      </c>
      <c r="AG708" s="24">
        <v>569402.69593333383</v>
      </c>
      <c r="AH708" s="15">
        <v>0.5</v>
      </c>
      <c r="AI708" s="25" t="s">
        <v>935</v>
      </c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</row>
    <row r="709" spans="1:73" ht="15" customHeight="1" x14ac:dyDescent="0.25">
      <c r="A709" s="1">
        <f t="shared" si="47"/>
        <v>335</v>
      </c>
      <c r="B709" s="1" t="str">
        <f t="shared" si="44"/>
        <v xml:space="preserve">Memphis </v>
      </c>
      <c r="C709" s="1">
        <f t="shared" si="45"/>
        <v>0</v>
      </c>
      <c r="D709" s="2" t="str">
        <f t="shared" si="46"/>
        <v>2026-01</v>
      </c>
      <c r="E709" s="100" t="s">
        <v>936</v>
      </c>
      <c r="F709" s="101" t="s">
        <v>805</v>
      </c>
      <c r="G709" s="5">
        <v>46046</v>
      </c>
      <c r="H709" s="6">
        <v>-171</v>
      </c>
      <c r="I709" s="6">
        <v>113</v>
      </c>
      <c r="J709" s="115">
        <v>114</v>
      </c>
      <c r="K709" s="8">
        <v>0.22703934008154517</v>
      </c>
      <c r="L709" s="9">
        <v>0.1060931495708155</v>
      </c>
      <c r="M709" s="10">
        <v>-134.40221402214021</v>
      </c>
      <c r="N709" s="11">
        <v>2.1399999999999997</v>
      </c>
      <c r="O709" s="12">
        <v>57273.51610130052</v>
      </c>
      <c r="P709" s="13" t="s">
        <v>506</v>
      </c>
      <c r="Q709" s="13" t="s">
        <v>76</v>
      </c>
      <c r="R709" s="14" t="s">
        <v>937</v>
      </c>
      <c r="S709" s="13">
        <v>600</v>
      </c>
      <c r="T709" s="13">
        <v>420</v>
      </c>
      <c r="U709" s="13">
        <v>420</v>
      </c>
      <c r="V709" s="31" t="s">
        <v>77</v>
      </c>
      <c r="W709" s="105"/>
      <c r="X709" s="105"/>
      <c r="Y709" s="114"/>
      <c r="Z709" s="8"/>
      <c r="AA709" s="10"/>
      <c r="AB709" s="106">
        <v>478.8</v>
      </c>
      <c r="AC709" s="107">
        <v>95.356522834248963</v>
      </c>
      <c r="AD709" s="108">
        <v>46046</v>
      </c>
      <c r="AE709" s="109">
        <v>615737.63139470131</v>
      </c>
      <c r="AF709" s="110">
        <v>475637.34593333362</v>
      </c>
      <c r="AG709" s="106">
        <v>575158.54593333369</v>
      </c>
      <c r="AH709" s="15">
        <v>0.5</v>
      </c>
      <c r="AI709" s="25" t="s">
        <v>938</v>
      </c>
      <c r="AJ709" s="25"/>
      <c r="AK709" s="25"/>
      <c r="AL709" s="25"/>
      <c r="AM709" s="25"/>
      <c r="AN709" s="25">
        <v>-171</v>
      </c>
      <c r="AO709" s="25">
        <v>113</v>
      </c>
      <c r="AP709" s="25"/>
      <c r="AQ709" s="25"/>
      <c r="AR709" s="25"/>
      <c r="AS709" s="25"/>
      <c r="AT709" s="25"/>
      <c r="AU709" s="25"/>
      <c r="AV709" s="25"/>
      <c r="AW709" s="25"/>
      <c r="AX709" s="25">
        <v>-148</v>
      </c>
      <c r="AY709" s="25">
        <v>324</v>
      </c>
      <c r="AZ709" s="25">
        <v>-161</v>
      </c>
      <c r="BA709" s="25">
        <v>257</v>
      </c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>
        <v>-105</v>
      </c>
      <c r="BQ709" s="1">
        <v>-125</v>
      </c>
      <c r="BR709" s="1">
        <v>1000</v>
      </c>
      <c r="BS709" s="1">
        <v>1000</v>
      </c>
      <c r="BT709" s="1">
        <v>-150</v>
      </c>
      <c r="BU709" s="1">
        <v>110</v>
      </c>
    </row>
    <row r="710" spans="1:73" ht="15" customHeight="1" x14ac:dyDescent="0.25">
      <c r="A710" s="1">
        <f t="shared" si="47"/>
        <v>335</v>
      </c>
      <c r="B710" s="1" t="str">
        <f t="shared" si="44"/>
        <v xml:space="preserve">Memphis </v>
      </c>
      <c r="C710" s="1">
        <f t="shared" si="45"/>
        <v>0</v>
      </c>
      <c r="D710" s="2" t="str">
        <f t="shared" si="46"/>
        <v>2026-01</v>
      </c>
      <c r="E710" s="100" t="s">
        <v>939</v>
      </c>
      <c r="F710" s="101" t="s">
        <v>814</v>
      </c>
      <c r="G710" s="102">
        <v>46046</v>
      </c>
      <c r="H710" s="6">
        <v>-280</v>
      </c>
      <c r="I710" s="6">
        <v>200</v>
      </c>
      <c r="J710" s="115">
        <v>-156</v>
      </c>
      <c r="K710" s="8">
        <v>0.12988650693568707</v>
      </c>
      <c r="L710" s="9">
        <v>7.9149590163934302E-2</v>
      </c>
      <c r="M710" s="10">
        <v>-221.05263157894734</v>
      </c>
      <c r="N710" s="11">
        <v>1.641025641025641</v>
      </c>
      <c r="O710" s="12">
        <v>58371.636483081922</v>
      </c>
      <c r="P710" s="13" t="s">
        <v>506</v>
      </c>
      <c r="Q710" s="13" t="s">
        <v>76</v>
      </c>
      <c r="R710" s="14" t="s">
        <v>937</v>
      </c>
      <c r="S710" s="13">
        <v>1075</v>
      </c>
      <c r="T710" s="13">
        <v>752.5</v>
      </c>
      <c r="U710" s="104">
        <v>752.5</v>
      </c>
      <c r="V710" s="31" t="s">
        <v>82</v>
      </c>
      <c r="W710" s="105"/>
      <c r="X710" s="105"/>
      <c r="Y710" s="10"/>
      <c r="Z710" s="8"/>
      <c r="AA710" s="10"/>
      <c r="AB710" s="106">
        <v>-752.5</v>
      </c>
      <c r="AC710" s="107">
        <v>97.739596469104512</v>
      </c>
      <c r="AD710" s="108">
        <v>46046</v>
      </c>
      <c r="AE710" s="109">
        <v>616044.53542868665</v>
      </c>
      <c r="AF710" s="110">
        <v>475407.66593333363</v>
      </c>
      <c r="AG710" s="24">
        <v>576160.16593333369</v>
      </c>
      <c r="AH710" s="15">
        <v>0.5</v>
      </c>
      <c r="AI710" s="25" t="s">
        <v>940</v>
      </c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</row>
    <row r="711" spans="1:73" ht="15" customHeight="1" x14ac:dyDescent="0.25">
      <c r="A711" s="1">
        <f t="shared" si="47"/>
        <v>336</v>
      </c>
      <c r="B711" s="1" t="str">
        <f t="shared" si="44"/>
        <v xml:space="preserve">Mercer </v>
      </c>
      <c r="C711" s="1">
        <f t="shared" si="45"/>
        <v>0</v>
      </c>
      <c r="D711" s="2" t="str">
        <f t="shared" si="46"/>
        <v>2026-01</v>
      </c>
      <c r="E711" s="3" t="s">
        <v>941</v>
      </c>
      <c r="F711" s="4" t="s">
        <v>942</v>
      </c>
      <c r="G711" s="39">
        <v>46046</v>
      </c>
      <c r="H711" s="40">
        <v>-140</v>
      </c>
      <c r="I711" s="40">
        <v>114</v>
      </c>
      <c r="J711" s="7">
        <v>100</v>
      </c>
      <c r="K711" s="8">
        <v>0.11045218680504076</v>
      </c>
      <c r="L711" s="9">
        <v>5.5226093402520382E-2</v>
      </c>
      <c r="M711" s="10">
        <v>-124.83333333333333</v>
      </c>
      <c r="N711" s="11">
        <v>2</v>
      </c>
      <c r="O711" s="12">
        <v>31703.737099357575</v>
      </c>
      <c r="P711" s="32" t="s">
        <v>506</v>
      </c>
      <c r="Q711" s="81" t="s">
        <v>76</v>
      </c>
      <c r="R711" s="82" t="s">
        <v>943</v>
      </c>
      <c r="S711" s="32">
        <v>450</v>
      </c>
      <c r="T711" s="32">
        <v>315</v>
      </c>
      <c r="U711" s="32">
        <v>315</v>
      </c>
      <c r="V711" s="74" t="s">
        <v>82</v>
      </c>
      <c r="W711" s="15"/>
      <c r="X711" s="15"/>
      <c r="Y711" s="16"/>
      <c r="Z711" s="17"/>
      <c r="AA711" s="16"/>
      <c r="AB711" s="99">
        <v>-315</v>
      </c>
      <c r="AC711" s="20">
        <v>34.792438843587838</v>
      </c>
      <c r="AD711" s="21">
        <v>46046</v>
      </c>
      <c r="AE711" s="22">
        <v>613296.7128660077</v>
      </c>
      <c r="AF711" s="23">
        <v>473756.69593333366</v>
      </c>
      <c r="AG711" s="24">
        <v>574071.69593333383</v>
      </c>
      <c r="AH711" s="15">
        <v>0.5</v>
      </c>
      <c r="AI711" s="25" t="s">
        <v>944</v>
      </c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</row>
    <row r="712" spans="1:73" ht="15" customHeight="1" x14ac:dyDescent="0.25">
      <c r="A712" s="1">
        <f t="shared" si="47"/>
        <v>337</v>
      </c>
      <c r="B712" s="1" t="str">
        <f t="shared" si="44"/>
        <v xml:space="preserve">Miami </v>
      </c>
      <c r="C712" s="1">
        <f t="shared" si="45"/>
        <v>0</v>
      </c>
      <c r="D712" s="2" t="str">
        <f t="shared" si="46"/>
        <v>2026-01</v>
      </c>
      <c r="E712" s="3" t="s">
        <v>945</v>
      </c>
      <c r="F712" s="4" t="s">
        <v>805</v>
      </c>
      <c r="G712" s="39">
        <v>46046</v>
      </c>
      <c r="H712" s="40">
        <v>-110</v>
      </c>
      <c r="I712" s="40">
        <v>-121</v>
      </c>
      <c r="J712" s="7">
        <v>125</v>
      </c>
      <c r="K712" s="8">
        <v>0.10011061946902619</v>
      </c>
      <c r="L712" s="9">
        <v>4.4493608652900529E-2</v>
      </c>
      <c r="M712" s="10">
        <v>104.5248868778281</v>
      </c>
      <c r="N712" s="11">
        <v>2.25</v>
      </c>
      <c r="O712" s="12">
        <v>22925.268826091382</v>
      </c>
      <c r="P712" s="32" t="s">
        <v>506</v>
      </c>
      <c r="Q712" s="81" t="s">
        <v>76</v>
      </c>
      <c r="R712" s="82" t="s">
        <v>946</v>
      </c>
      <c r="S712" s="32">
        <v>350</v>
      </c>
      <c r="T712" s="32">
        <v>244.99999999999997</v>
      </c>
      <c r="U712" s="32">
        <v>244.99999999999997</v>
      </c>
      <c r="V712" s="74" t="s">
        <v>82</v>
      </c>
      <c r="W712" s="15"/>
      <c r="X712" s="15"/>
      <c r="Y712" s="16"/>
      <c r="Z712" s="17"/>
      <c r="AA712" s="16"/>
      <c r="AB712" s="99">
        <v>-244.99999999999997</v>
      </c>
      <c r="AC712" s="20">
        <v>24.527101769911415</v>
      </c>
      <c r="AD712" s="21">
        <v>46046</v>
      </c>
      <c r="AE712" s="22">
        <v>614618.39691027103</v>
      </c>
      <c r="AF712" s="23">
        <v>472253.4259333337</v>
      </c>
      <c r="AG712" s="24">
        <v>572498.42593333381</v>
      </c>
      <c r="AH712" s="15">
        <v>0.5</v>
      </c>
      <c r="AI712" s="25" t="s">
        <v>947</v>
      </c>
      <c r="AJ712" s="25">
        <v>-110</v>
      </c>
      <c r="AK712" s="25">
        <v>1000</v>
      </c>
      <c r="AL712" s="25">
        <v>-121</v>
      </c>
      <c r="AM712" s="25">
        <v>1000</v>
      </c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>
        <v>-381</v>
      </c>
      <c r="AY712" s="25">
        <v>780</v>
      </c>
      <c r="AZ712" s="25">
        <v>-199</v>
      </c>
      <c r="BA712" s="25">
        <v>245</v>
      </c>
      <c r="BB712" s="25">
        <v>-106</v>
      </c>
      <c r="BC712" s="25">
        <v>-125</v>
      </c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>
        <v>-120</v>
      </c>
      <c r="BQ712" s="1">
        <v>-110</v>
      </c>
    </row>
    <row r="713" spans="1:73" ht="15" customHeight="1" x14ac:dyDescent="0.25">
      <c r="A713" s="1">
        <f t="shared" si="47"/>
        <v>338</v>
      </c>
      <c r="B713" s="1" t="str">
        <f t="shared" si="44"/>
        <v xml:space="preserve">Michigan </v>
      </c>
      <c r="C713" s="1">
        <f t="shared" si="45"/>
        <v>0</v>
      </c>
      <c r="D713" s="2" t="str">
        <f t="shared" si="46"/>
        <v>2026-01</v>
      </c>
      <c r="E713" s="3" t="s">
        <v>948</v>
      </c>
      <c r="F713" s="4" t="s">
        <v>805</v>
      </c>
      <c r="G713" s="39">
        <v>46046</v>
      </c>
      <c r="H713" s="40">
        <v>-115</v>
      </c>
      <c r="I713" s="40">
        <v>-115</v>
      </c>
      <c r="J713" s="7">
        <v>120</v>
      </c>
      <c r="K713" s="8">
        <v>0.10000000000000003</v>
      </c>
      <c r="L713" s="9">
        <v>4.545454545454547E-2</v>
      </c>
      <c r="M713" s="10">
        <v>100</v>
      </c>
      <c r="N713" s="11">
        <v>2.2000000000000002</v>
      </c>
      <c r="O713" s="12">
        <v>24074.36858055558</v>
      </c>
      <c r="P713" s="32" t="s">
        <v>506</v>
      </c>
      <c r="Q713" s="81" t="s">
        <v>76</v>
      </c>
      <c r="R713" s="82" t="s">
        <v>614</v>
      </c>
      <c r="S713" s="32">
        <v>375</v>
      </c>
      <c r="T713" s="32">
        <v>262.5</v>
      </c>
      <c r="U713" s="32">
        <v>262.5</v>
      </c>
      <c r="V713" s="74" t="s">
        <v>77</v>
      </c>
      <c r="W713" s="15"/>
      <c r="X713" s="15"/>
      <c r="Y713" s="16"/>
      <c r="Z713" s="17"/>
      <c r="AA713" s="16"/>
      <c r="AB713" s="99">
        <v>315</v>
      </c>
      <c r="AC713" s="20">
        <v>26.250000000000007</v>
      </c>
      <c r="AD713" s="21">
        <v>46046</v>
      </c>
      <c r="AE713" s="22">
        <v>612846.38189188391</v>
      </c>
      <c r="AF713" s="23">
        <v>478099.84593333368</v>
      </c>
      <c r="AG713" s="24">
        <v>577784.84593333385</v>
      </c>
      <c r="AH713" s="15">
        <v>0.5</v>
      </c>
      <c r="AI713" s="25" t="s">
        <v>949</v>
      </c>
      <c r="AJ713" s="25"/>
      <c r="AK713" s="25"/>
      <c r="AL713" s="25"/>
      <c r="AM713" s="25"/>
      <c r="AN713" s="25">
        <v>-115</v>
      </c>
      <c r="AO713" s="25">
        <v>-115</v>
      </c>
      <c r="AP713" s="25"/>
      <c r="AQ713" s="25"/>
      <c r="AR713" s="25"/>
      <c r="AS713" s="25"/>
      <c r="AT713" s="25"/>
      <c r="AU713" s="25"/>
      <c r="AV713" s="25"/>
      <c r="AW713" s="25"/>
      <c r="AX713" s="25">
        <v>105</v>
      </c>
      <c r="AY713" s="25">
        <v>282</v>
      </c>
      <c r="AZ713" s="25">
        <v>-148</v>
      </c>
      <c r="BA713" s="25">
        <v>350</v>
      </c>
      <c r="BB713" s="25">
        <v>-120</v>
      </c>
      <c r="BC713" s="25">
        <v>-110</v>
      </c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>
        <v>-110</v>
      </c>
      <c r="BQ713" s="1">
        <v>-120</v>
      </c>
      <c r="BR713" s="1">
        <v>1000</v>
      </c>
      <c r="BS713" s="1">
        <v>1000</v>
      </c>
      <c r="BT713" s="1">
        <v>-115</v>
      </c>
      <c r="BU713" s="1">
        <v>-115</v>
      </c>
    </row>
    <row r="714" spans="1:73" ht="15" customHeight="1" x14ac:dyDescent="0.25">
      <c r="A714" s="1">
        <f t="shared" si="47"/>
        <v>338</v>
      </c>
      <c r="B714" s="1" t="str">
        <f t="shared" si="44"/>
        <v xml:space="preserve">Michigan </v>
      </c>
      <c r="C714" s="1">
        <f t="shared" si="45"/>
        <v>0</v>
      </c>
      <c r="D714" s="2" t="str">
        <f t="shared" si="46"/>
        <v>2026-01</v>
      </c>
      <c r="E714" s="3" t="s">
        <v>950</v>
      </c>
      <c r="F714" s="4" t="s">
        <v>805</v>
      </c>
      <c r="G714" s="39">
        <v>46046</v>
      </c>
      <c r="H714" s="40">
        <v>-109</v>
      </c>
      <c r="I714" s="40">
        <v>-126</v>
      </c>
      <c r="J714" s="7">
        <v>128</v>
      </c>
      <c r="K714" s="8">
        <v>0.10197614189295234</v>
      </c>
      <c r="L714" s="9">
        <v>4.4726378023224711E-2</v>
      </c>
      <c r="M714" s="10">
        <v>106.90103109523423</v>
      </c>
      <c r="N714" s="11">
        <v>2.2800000000000002</v>
      </c>
      <c r="O714" s="12">
        <v>23028.278092652941</v>
      </c>
      <c r="P714" s="32" t="s">
        <v>506</v>
      </c>
      <c r="Q714" s="81" t="s">
        <v>76</v>
      </c>
      <c r="R714" s="82" t="s">
        <v>614</v>
      </c>
      <c r="S714" s="32">
        <v>350</v>
      </c>
      <c r="T714" s="32">
        <v>244.99999999999997</v>
      </c>
      <c r="U714" s="32">
        <v>244.99999999999997</v>
      </c>
      <c r="V714" s="74" t="s">
        <v>77</v>
      </c>
      <c r="W714" s="15"/>
      <c r="X714" s="15"/>
      <c r="Y714" s="16"/>
      <c r="Z714" s="17"/>
      <c r="AA714" s="16"/>
      <c r="AB714" s="99">
        <v>313.60000000000002</v>
      </c>
      <c r="AC714" s="20">
        <v>24.984154763773322</v>
      </c>
      <c r="AD714" s="21">
        <v>46046</v>
      </c>
      <c r="AE714" s="22">
        <v>612871.36604664766</v>
      </c>
      <c r="AF714" s="23">
        <v>478413.44593333366</v>
      </c>
      <c r="AG714" s="24">
        <v>578099.84593333385</v>
      </c>
      <c r="AH714" s="15">
        <v>0.5</v>
      </c>
      <c r="AI714" s="25" t="s">
        <v>951</v>
      </c>
      <c r="AJ714" s="25"/>
      <c r="AK714" s="25"/>
      <c r="AL714" s="25"/>
      <c r="AM714" s="25"/>
      <c r="AN714" s="25">
        <v>-109</v>
      </c>
      <c r="AO714" s="25">
        <v>-126</v>
      </c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>
        <v>-106</v>
      </c>
      <c r="BC714" s="25">
        <v>-122</v>
      </c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>
        <v>-105</v>
      </c>
      <c r="BQ714" s="1">
        <v>-135</v>
      </c>
      <c r="BR714" s="1">
        <v>1000</v>
      </c>
      <c r="BS714" s="1">
        <v>1000</v>
      </c>
      <c r="BT714" s="1">
        <v>-115</v>
      </c>
      <c r="BU714" s="1">
        <v>-115</v>
      </c>
    </row>
    <row r="715" spans="1:73" ht="15" customHeight="1" x14ac:dyDescent="0.25">
      <c r="A715" s="1">
        <f t="shared" si="47"/>
        <v>338</v>
      </c>
      <c r="B715" s="1" t="str">
        <f t="shared" si="44"/>
        <v xml:space="preserve">Michigan </v>
      </c>
      <c r="C715" s="1">
        <f t="shared" si="45"/>
        <v>0</v>
      </c>
      <c r="D715" s="2" t="str">
        <f t="shared" si="46"/>
        <v>2026-01</v>
      </c>
      <c r="E715" s="3" t="s">
        <v>952</v>
      </c>
      <c r="F715" s="4" t="s">
        <v>805</v>
      </c>
      <c r="G715" s="39">
        <v>46046</v>
      </c>
      <c r="H715" s="40">
        <v>-110</v>
      </c>
      <c r="I715" s="40">
        <v>-126</v>
      </c>
      <c r="J715" s="7">
        <v>130</v>
      </c>
      <c r="K715" s="8">
        <v>0.11414653156664056</v>
      </c>
      <c r="L715" s="9">
        <v>4.9628926768104598E-2</v>
      </c>
      <c r="M715" s="10">
        <v>106.43604183427193</v>
      </c>
      <c r="N715" s="11">
        <v>2.2999999999999998</v>
      </c>
      <c r="O715" s="12">
        <v>25282.400708057037</v>
      </c>
      <c r="P715" s="32" t="s">
        <v>506</v>
      </c>
      <c r="Q715" s="81" t="s">
        <v>76</v>
      </c>
      <c r="R715" s="82" t="s">
        <v>614</v>
      </c>
      <c r="S715" s="32">
        <v>325</v>
      </c>
      <c r="T715" s="32">
        <v>227.49999999999997</v>
      </c>
      <c r="U715" s="32">
        <v>227.49999999999997</v>
      </c>
      <c r="V715" s="74" t="s">
        <v>77</v>
      </c>
      <c r="W715" s="15"/>
      <c r="X715" s="15"/>
      <c r="Y715" s="16"/>
      <c r="Z715" s="17"/>
      <c r="AA715" s="16"/>
      <c r="AB715" s="99">
        <v>295.75</v>
      </c>
      <c r="AC715" s="20">
        <v>25.968335931410724</v>
      </c>
      <c r="AD715" s="21">
        <v>46046</v>
      </c>
      <c r="AE715" s="22">
        <v>613036.82558707451</v>
      </c>
      <c r="AF715" s="23">
        <v>476171.69593333366</v>
      </c>
      <c r="AG715" s="24">
        <v>575875.94593333383</v>
      </c>
      <c r="AH715" s="15">
        <v>0.5</v>
      </c>
      <c r="AI715" s="25" t="s">
        <v>953</v>
      </c>
      <c r="AJ715" s="25"/>
      <c r="AK715" s="25"/>
      <c r="AL715" s="25"/>
      <c r="AM715" s="25"/>
      <c r="AN715" s="25">
        <v>-110</v>
      </c>
      <c r="AO715" s="25">
        <v>-126</v>
      </c>
      <c r="AP715" s="25"/>
      <c r="AQ715" s="25"/>
      <c r="AR715" s="25"/>
      <c r="AS715" s="25"/>
      <c r="AT715" s="25"/>
      <c r="AU715" s="25"/>
      <c r="AV715" s="25"/>
      <c r="AW715" s="25"/>
      <c r="AX715" s="25">
        <v>105</v>
      </c>
      <c r="AY715" s="25">
        <v>289</v>
      </c>
      <c r="AZ715" s="25">
        <v>-131</v>
      </c>
      <c r="BA715" s="25">
        <v>660</v>
      </c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R715" s="1">
        <v>1000</v>
      </c>
      <c r="BS715" s="1">
        <v>1000</v>
      </c>
      <c r="BT715" s="1">
        <v>-105</v>
      </c>
      <c r="BU715" s="1">
        <v>-130</v>
      </c>
    </row>
    <row r="716" spans="1:73" ht="15" customHeight="1" x14ac:dyDescent="0.25">
      <c r="A716" s="1">
        <f t="shared" si="47"/>
        <v>339</v>
      </c>
      <c r="B716" s="1" t="str">
        <f t="shared" si="44"/>
        <v xml:space="preserve">Milwaukee </v>
      </c>
      <c r="C716" s="1">
        <f t="shared" si="45"/>
        <v>0</v>
      </c>
      <c r="D716" s="2" t="str">
        <f t="shared" si="46"/>
        <v>2026-01</v>
      </c>
      <c r="E716" s="3" t="s">
        <v>954</v>
      </c>
      <c r="F716" s="4" t="s">
        <v>805</v>
      </c>
      <c r="G716" s="39">
        <v>46046</v>
      </c>
      <c r="H716" s="40">
        <v>138</v>
      </c>
      <c r="I716" s="40">
        <v>-182</v>
      </c>
      <c r="J716" s="7">
        <v>190</v>
      </c>
      <c r="K716" s="8">
        <v>0.14352033111471535</v>
      </c>
      <c r="L716" s="9">
        <v>4.9489769349901847E-2</v>
      </c>
      <c r="M716" s="10">
        <v>153.60283687943263</v>
      </c>
      <c r="N716" s="11">
        <v>2.9</v>
      </c>
      <c r="O716" s="12">
        <v>21521.735752101587</v>
      </c>
      <c r="P716" s="32" t="s">
        <v>506</v>
      </c>
      <c r="Q716" s="81" t="s">
        <v>81</v>
      </c>
      <c r="R716" s="82" t="s">
        <v>955</v>
      </c>
      <c r="S716" s="32">
        <v>350</v>
      </c>
      <c r="T716" s="32">
        <v>244.99999999999997</v>
      </c>
      <c r="U716" s="32">
        <v>244.99999999999997</v>
      </c>
      <c r="V716" s="74" t="s">
        <v>77</v>
      </c>
      <c r="W716" s="15"/>
      <c r="X716" s="15"/>
      <c r="Y716" s="16"/>
      <c r="Z716" s="17"/>
      <c r="AA716" s="16"/>
      <c r="AB716" s="99">
        <v>465.5</v>
      </c>
      <c r="AC716" s="20">
        <v>35.162481123105259</v>
      </c>
      <c r="AD716" s="21">
        <v>46046</v>
      </c>
      <c r="AE716" s="22">
        <v>614433.23492702399</v>
      </c>
      <c r="AF716" s="23">
        <v>470298.32593333372</v>
      </c>
      <c r="AG716" s="24">
        <v>569832.82593333384</v>
      </c>
      <c r="AH716" s="15">
        <v>0.5</v>
      </c>
      <c r="AI716" s="25" t="s">
        <v>956</v>
      </c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</row>
    <row r="717" spans="1:73" ht="15" customHeight="1" x14ac:dyDescent="0.25">
      <c r="A717" s="1">
        <f t="shared" si="47"/>
        <v>340</v>
      </c>
      <c r="B717" s="1" t="str">
        <f t="shared" si="44"/>
        <v xml:space="preserve">Missouri </v>
      </c>
      <c r="C717" s="1">
        <f t="shared" si="45"/>
        <v>0</v>
      </c>
      <c r="D717" s="2" t="str">
        <f t="shared" si="46"/>
        <v>2026-01</v>
      </c>
      <c r="E717" s="3" t="s">
        <v>957</v>
      </c>
      <c r="F717" s="4" t="s">
        <v>805</v>
      </c>
      <c r="G717" s="39">
        <v>46046</v>
      </c>
      <c r="H717" s="40">
        <v>-104</v>
      </c>
      <c r="I717" s="40">
        <v>-125</v>
      </c>
      <c r="J717" s="7">
        <v>123</v>
      </c>
      <c r="K717" s="8">
        <v>6.7116564417177782E-2</v>
      </c>
      <c r="L717" s="9">
        <v>3.0097114088420529E-2</v>
      </c>
      <c r="M717" s="10">
        <v>108.97435897435899</v>
      </c>
      <c r="N717" s="11">
        <v>2.23</v>
      </c>
      <c r="O717" s="12">
        <v>15643.476885407401</v>
      </c>
      <c r="P717" s="32" t="s">
        <v>506</v>
      </c>
      <c r="Q717" s="81" t="s">
        <v>81</v>
      </c>
      <c r="R717" s="82" t="s">
        <v>958</v>
      </c>
      <c r="S717" s="32">
        <v>600</v>
      </c>
      <c r="T717" s="32">
        <v>420</v>
      </c>
      <c r="U717" s="32">
        <v>420</v>
      </c>
      <c r="V717" s="74" t="s">
        <v>77</v>
      </c>
      <c r="W717" s="15"/>
      <c r="X717" s="15"/>
      <c r="Y717" s="16"/>
      <c r="Z717" s="17"/>
      <c r="AA717" s="16"/>
      <c r="AB717" s="99">
        <v>516.6</v>
      </c>
      <c r="AC717" s="20">
        <v>28.188957055214669</v>
      </c>
      <c r="AD717" s="21">
        <v>46046</v>
      </c>
      <c r="AE717" s="22">
        <v>614802.46988979168</v>
      </c>
      <c r="AF717" s="23">
        <v>473891.49593333364</v>
      </c>
      <c r="AG717" s="24">
        <v>573374.89593333378</v>
      </c>
      <c r="AH717" s="15">
        <v>0.5</v>
      </c>
      <c r="AI717" s="25" t="s">
        <v>959</v>
      </c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</row>
    <row r="718" spans="1:73" ht="15" customHeight="1" x14ac:dyDescent="0.25">
      <c r="A718" s="1">
        <f t="shared" si="47"/>
        <v>341</v>
      </c>
      <c r="B718" s="1" t="str">
        <f t="shared" si="44"/>
        <v xml:space="preserve">Montana </v>
      </c>
      <c r="C718" s="1">
        <f t="shared" si="45"/>
        <v>0</v>
      </c>
      <c r="D718" s="2" t="str">
        <f t="shared" si="46"/>
        <v>2026-01</v>
      </c>
      <c r="E718" s="100" t="s">
        <v>960</v>
      </c>
      <c r="F718" s="101" t="s">
        <v>805</v>
      </c>
      <c r="G718" s="5">
        <v>46046</v>
      </c>
      <c r="H718" s="6">
        <v>-190</v>
      </c>
      <c r="I718" s="6">
        <v>190</v>
      </c>
      <c r="J718" s="115">
        <v>-133</v>
      </c>
      <c r="K718" s="8">
        <v>0.14778325123152727</v>
      </c>
      <c r="L718" s="9">
        <v>8.4356963149326725E-2</v>
      </c>
      <c r="M718" s="10">
        <v>-190.00000000000006</v>
      </c>
      <c r="N718" s="11">
        <v>1.7518796992481203</v>
      </c>
      <c r="O718" s="12">
        <v>56314.409496896638</v>
      </c>
      <c r="P718" s="13" t="s">
        <v>506</v>
      </c>
      <c r="Q718" s="13" t="s">
        <v>81</v>
      </c>
      <c r="R718" s="14" t="s">
        <v>961</v>
      </c>
      <c r="S718" s="13">
        <v>925</v>
      </c>
      <c r="T718" s="13">
        <v>647.5</v>
      </c>
      <c r="U718" s="104">
        <v>647.5</v>
      </c>
      <c r="V718" s="31" t="s">
        <v>77</v>
      </c>
      <c r="W718" s="15"/>
      <c r="X718" s="15"/>
      <c r="Y718" s="16"/>
      <c r="Z718" s="17"/>
      <c r="AA718" s="16"/>
      <c r="AB718" s="24">
        <v>486.84</v>
      </c>
      <c r="AC718" s="20">
        <v>95.689655172413907</v>
      </c>
      <c r="AD718" s="21">
        <v>46046</v>
      </c>
      <c r="AE718" s="22">
        <v>617881.22833631968</v>
      </c>
      <c r="AF718" s="23">
        <v>473510.65593333368</v>
      </c>
      <c r="AG718" s="24">
        <v>573023.81593333348</v>
      </c>
      <c r="AH718" s="15">
        <v>0.5</v>
      </c>
      <c r="AI718" s="25" t="s">
        <v>962</v>
      </c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</row>
    <row r="719" spans="1:73" ht="15" customHeight="1" x14ac:dyDescent="0.25">
      <c r="A719" s="1">
        <f t="shared" si="47"/>
        <v>342</v>
      </c>
      <c r="B719" s="1" t="str">
        <f t="shared" si="44"/>
        <v xml:space="preserve">North </v>
      </c>
      <c r="C719" s="1">
        <f t="shared" si="45"/>
        <v>0</v>
      </c>
      <c r="D719" s="2" t="str">
        <f t="shared" si="46"/>
        <v>2026-01</v>
      </c>
      <c r="E719" s="3" t="s">
        <v>963</v>
      </c>
      <c r="F719" s="4" t="s">
        <v>814</v>
      </c>
      <c r="G719" s="39">
        <v>46046</v>
      </c>
      <c r="H719" s="40">
        <v>-130</v>
      </c>
      <c r="I719" s="40">
        <v>-102</v>
      </c>
      <c r="J719" s="7">
        <v>110</v>
      </c>
      <c r="K719" s="8">
        <v>0.10913113435237344</v>
      </c>
      <c r="L719" s="9">
        <v>5.1967206834463542E-2</v>
      </c>
      <c r="M719" s="10">
        <v>-111.93520886615518</v>
      </c>
      <c r="N719" s="11">
        <v>2.1</v>
      </c>
      <c r="O719" s="12">
        <v>28229.977145965346</v>
      </c>
      <c r="P719" s="32" t="s">
        <v>506</v>
      </c>
      <c r="Q719" s="81" t="s">
        <v>76</v>
      </c>
      <c r="R719" s="82" t="s">
        <v>964</v>
      </c>
      <c r="S719" s="32">
        <v>400</v>
      </c>
      <c r="T719" s="32">
        <v>280</v>
      </c>
      <c r="U719" s="32">
        <v>280</v>
      </c>
      <c r="V719" s="74" t="s">
        <v>77</v>
      </c>
      <c r="W719" s="15"/>
      <c r="X719" s="15"/>
      <c r="Y719" s="16"/>
      <c r="Z719" s="17"/>
      <c r="AA719" s="16"/>
      <c r="AB719" s="99">
        <v>308</v>
      </c>
      <c r="AC719" s="20">
        <v>30.556717618664564</v>
      </c>
      <c r="AD719" s="21">
        <v>46046</v>
      </c>
      <c r="AE719" s="22">
        <v>613897.5965025262</v>
      </c>
      <c r="AF719" s="23">
        <v>469402.69593333366</v>
      </c>
      <c r="AG719" s="24">
        <v>569094.69593333383</v>
      </c>
      <c r="AH719" s="15">
        <v>0.5</v>
      </c>
      <c r="AI719" s="25" t="s">
        <v>965</v>
      </c>
      <c r="AJ719" s="25">
        <v>-130</v>
      </c>
      <c r="AK719" s="25">
        <v>500</v>
      </c>
      <c r="AL719" s="25">
        <v>-102</v>
      </c>
      <c r="AM719" s="25">
        <v>500</v>
      </c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>
        <v>-140</v>
      </c>
      <c r="BC719" s="25">
        <v>106</v>
      </c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>
        <v>-125</v>
      </c>
      <c r="BQ719" s="1">
        <v>-105</v>
      </c>
      <c r="BT719" s="1">
        <v>-135</v>
      </c>
      <c r="BU719" s="1">
        <v>105</v>
      </c>
    </row>
    <row r="720" spans="1:73" ht="15" customHeight="1" x14ac:dyDescent="0.25">
      <c r="A720" s="1">
        <f t="shared" si="47"/>
        <v>343</v>
      </c>
      <c r="B720" s="1" t="str">
        <f t="shared" si="44"/>
        <v xml:space="preserve">Northern </v>
      </c>
      <c r="C720" s="1">
        <f t="shared" si="45"/>
        <v>0</v>
      </c>
      <c r="D720" s="2" t="str">
        <f t="shared" si="46"/>
        <v>2026-01</v>
      </c>
      <c r="E720" s="3" t="s">
        <v>966</v>
      </c>
      <c r="F720" s="4" t="s">
        <v>805</v>
      </c>
      <c r="G720" s="39">
        <v>46046</v>
      </c>
      <c r="H720" s="40">
        <v>-137</v>
      </c>
      <c r="I720" s="40">
        <v>-105</v>
      </c>
      <c r="J720" s="7">
        <v>112</v>
      </c>
      <c r="K720" s="8">
        <v>0.12403624693222595</v>
      </c>
      <c r="L720" s="9">
        <v>5.8507663647276387E-2</v>
      </c>
      <c r="M720" s="10">
        <v>-112.85915209965844</v>
      </c>
      <c r="N720" s="11">
        <v>2.12</v>
      </c>
      <c r="O720" s="12">
        <v>31805.170993075546</v>
      </c>
      <c r="P720" s="32" t="s">
        <v>506</v>
      </c>
      <c r="Q720" s="81" t="s">
        <v>76</v>
      </c>
      <c r="R720" s="82" t="s">
        <v>967</v>
      </c>
      <c r="S720" s="32">
        <v>400</v>
      </c>
      <c r="T720" s="32">
        <v>280</v>
      </c>
      <c r="U720" s="32">
        <v>280</v>
      </c>
      <c r="V720" s="74" t="s">
        <v>82</v>
      </c>
      <c r="W720" s="15"/>
      <c r="X720" s="15"/>
      <c r="Y720" s="16"/>
      <c r="Z720" s="17"/>
      <c r="AA720" s="16"/>
      <c r="AB720" s="99">
        <v>-280</v>
      </c>
      <c r="AC720" s="20">
        <v>34.730149141023269</v>
      </c>
      <c r="AD720" s="21">
        <v>46046</v>
      </c>
      <c r="AE720" s="22">
        <v>614841.76831202512</v>
      </c>
      <c r="AF720" s="23">
        <v>474097.12593333365</v>
      </c>
      <c r="AG720" s="24">
        <v>574377.12593333377</v>
      </c>
      <c r="AH720" s="15">
        <v>0.5</v>
      </c>
      <c r="AI720" s="25" t="s">
        <v>968</v>
      </c>
      <c r="AJ720" s="25"/>
      <c r="AK720" s="25"/>
      <c r="AL720" s="25"/>
      <c r="AM720" s="25"/>
      <c r="AN720" s="25">
        <v>-137</v>
      </c>
      <c r="AO720" s="25">
        <v>-105</v>
      </c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>
        <v>-125</v>
      </c>
      <c r="BQ720" s="1">
        <v>-105</v>
      </c>
      <c r="BR720" s="1">
        <v>1000</v>
      </c>
      <c r="BS720" s="1">
        <v>1000</v>
      </c>
      <c r="BT720" s="1">
        <v>-120</v>
      </c>
      <c r="BU720" s="1">
        <v>-110</v>
      </c>
    </row>
    <row r="721" spans="1:73" ht="15" customHeight="1" x14ac:dyDescent="0.25">
      <c r="A721" s="1">
        <f t="shared" si="47"/>
        <v>343</v>
      </c>
      <c r="B721" s="1" t="str">
        <f t="shared" si="44"/>
        <v xml:space="preserve">Northern </v>
      </c>
      <c r="C721" s="1">
        <f t="shared" si="45"/>
        <v>0</v>
      </c>
      <c r="D721" s="2" t="str">
        <f t="shared" si="46"/>
        <v>2026-01</v>
      </c>
      <c r="E721" s="100" t="s">
        <v>969</v>
      </c>
      <c r="F721" s="101" t="s">
        <v>805</v>
      </c>
      <c r="G721" s="102">
        <v>46046</v>
      </c>
      <c r="H721" s="6">
        <v>-265</v>
      </c>
      <c r="I721" s="6">
        <v>269</v>
      </c>
      <c r="J721" s="115">
        <v>-192</v>
      </c>
      <c r="K721" s="8">
        <v>0.10745569125367689</v>
      </c>
      <c r="L721" s="9">
        <v>7.0655796988719044E-2</v>
      </c>
      <c r="M721" s="10">
        <v>-267.90410958904107</v>
      </c>
      <c r="N721" s="11">
        <v>1.5208333333333335</v>
      </c>
      <c r="O721" s="12">
        <v>59381.288561950358</v>
      </c>
      <c r="P721" s="13" t="s">
        <v>506</v>
      </c>
      <c r="Q721" s="13" t="s">
        <v>81</v>
      </c>
      <c r="R721" s="14" t="s">
        <v>967</v>
      </c>
      <c r="S721" s="13">
        <v>1350</v>
      </c>
      <c r="T721" s="13">
        <v>944.99999999999989</v>
      </c>
      <c r="U721" s="104">
        <v>944.99999999999989</v>
      </c>
      <c r="V721" s="31" t="s">
        <v>77</v>
      </c>
      <c r="W721" s="105"/>
      <c r="X721" s="105"/>
      <c r="Y721" s="10"/>
      <c r="Z721" s="8"/>
      <c r="AA721" s="10"/>
      <c r="AB721" s="106">
        <v>492.19</v>
      </c>
      <c r="AC721" s="107">
        <v>101.54562823472465</v>
      </c>
      <c r="AD721" s="122">
        <v>46046</v>
      </c>
      <c r="AE721" s="109">
        <v>615839.17702293606</v>
      </c>
      <c r="AF721" s="110">
        <v>476129.53593333362</v>
      </c>
      <c r="AG721" s="24">
        <v>575637.34593333374</v>
      </c>
      <c r="AH721" s="15">
        <v>0.5</v>
      </c>
      <c r="AI721" s="25" t="s">
        <v>970</v>
      </c>
      <c r="AJ721" s="25"/>
      <c r="AK721" s="25"/>
      <c r="AL721" s="25"/>
      <c r="AM721" s="25"/>
      <c r="AN721" s="25">
        <v>-397</v>
      </c>
      <c r="AO721" s="25">
        <v>269</v>
      </c>
      <c r="AP721" s="25">
        <v>-355</v>
      </c>
      <c r="AQ721" s="25">
        <v>43</v>
      </c>
      <c r="AR721" s="25">
        <v>178</v>
      </c>
      <c r="AS721" s="25">
        <v>17</v>
      </c>
      <c r="AT721" s="25"/>
      <c r="AU721" s="25"/>
      <c r="AV721" s="25"/>
      <c r="AW721" s="25"/>
      <c r="AX721" s="25">
        <v>-404</v>
      </c>
      <c r="AY721" s="25">
        <v>30</v>
      </c>
      <c r="AZ721" s="25">
        <v>166</v>
      </c>
      <c r="BA721" s="25">
        <v>482</v>
      </c>
      <c r="BB721" s="25">
        <v>-265</v>
      </c>
      <c r="BC721" s="25">
        <v>200</v>
      </c>
      <c r="BD721" s="25"/>
      <c r="BE721" s="25"/>
      <c r="BF721" s="25"/>
      <c r="BG721" s="25"/>
      <c r="BH721" s="25"/>
      <c r="BI721" s="25"/>
      <c r="BJ721" s="25"/>
      <c r="BK721" s="25"/>
      <c r="BL721" s="25">
        <v>-252</v>
      </c>
      <c r="BM721" s="25">
        <v>111</v>
      </c>
      <c r="BN721" s="25">
        <v>213</v>
      </c>
      <c r="BO721" s="25">
        <v>49</v>
      </c>
      <c r="BP721" s="25">
        <v>-240</v>
      </c>
      <c r="BQ721" s="1">
        <v>185</v>
      </c>
      <c r="BR721" s="1">
        <v>1000</v>
      </c>
      <c r="BS721" s="1">
        <v>1000</v>
      </c>
      <c r="BT721" s="1">
        <v>-270</v>
      </c>
      <c r="BU721" s="1">
        <v>200</v>
      </c>
    </row>
    <row r="722" spans="1:73" ht="15" customHeight="1" x14ac:dyDescent="0.25">
      <c r="A722" s="1">
        <f t="shared" si="47"/>
        <v>344</v>
      </c>
      <c r="B722" s="1" t="str">
        <f t="shared" si="44"/>
        <v xml:space="preserve">Oklahoma </v>
      </c>
      <c r="C722" s="1">
        <f t="shared" si="45"/>
        <v>1</v>
      </c>
      <c r="D722" s="2" t="str">
        <f t="shared" si="46"/>
        <v>2026-01</v>
      </c>
      <c r="E722" s="3" t="s">
        <v>971</v>
      </c>
      <c r="F722" s="4" t="s">
        <v>805</v>
      </c>
      <c r="G722" s="39">
        <v>46046</v>
      </c>
      <c r="H722" s="40">
        <v>-114</v>
      </c>
      <c r="I722" s="40">
        <v>-101</v>
      </c>
      <c r="J722" s="7">
        <v>112</v>
      </c>
      <c r="K722" s="8">
        <v>9.0946819978440493E-2</v>
      </c>
      <c r="L722" s="9">
        <v>4.2899443386056835E-2</v>
      </c>
      <c r="M722" s="10">
        <v>-106.01462015360411</v>
      </c>
      <c r="N722" s="11">
        <v>2.12</v>
      </c>
      <c r="O722" s="12">
        <v>23276.957361051533</v>
      </c>
      <c r="P722" s="32" t="s">
        <v>506</v>
      </c>
      <c r="Q722" s="81" t="s">
        <v>92</v>
      </c>
      <c r="R722" s="82" t="s">
        <v>708</v>
      </c>
      <c r="S722" s="32">
        <v>400</v>
      </c>
      <c r="T722" s="32">
        <v>280</v>
      </c>
      <c r="U722" s="32">
        <v>280</v>
      </c>
      <c r="V722" s="74" t="s">
        <v>77</v>
      </c>
      <c r="W722" s="15"/>
      <c r="X722" s="15"/>
      <c r="Y722" s="16"/>
      <c r="Z722" s="17"/>
      <c r="AA722" s="16"/>
      <c r="AB722" s="99">
        <v>313.60000000000002</v>
      </c>
      <c r="AC722" s="20">
        <v>25.465109593963337</v>
      </c>
      <c r="AD722" s="21">
        <v>46046</v>
      </c>
      <c r="AE722" s="22">
        <v>614749.42169985094</v>
      </c>
      <c r="AF722" s="23">
        <v>473619.89593333367</v>
      </c>
      <c r="AG722" s="24">
        <v>573306.29593333381</v>
      </c>
      <c r="AH722" s="15">
        <v>0.5</v>
      </c>
      <c r="AI722" s="25" t="s">
        <v>972</v>
      </c>
      <c r="AJ722" s="25">
        <v>-114</v>
      </c>
      <c r="AK722" s="25">
        <v>500</v>
      </c>
      <c r="AL722" s="25">
        <v>-116</v>
      </c>
      <c r="AM722" s="25">
        <v>500</v>
      </c>
      <c r="AN722" s="25">
        <v>-131</v>
      </c>
      <c r="AO722" s="25">
        <v>-101</v>
      </c>
      <c r="AP722" s="25">
        <v>-1567</v>
      </c>
      <c r="AQ722" s="25">
        <v>1800</v>
      </c>
      <c r="AR722" s="25">
        <v>-4900</v>
      </c>
      <c r="AS722" s="25">
        <v>1900</v>
      </c>
      <c r="AT722" s="25"/>
      <c r="AU722" s="25"/>
      <c r="AV722" s="25"/>
      <c r="AW722" s="25"/>
      <c r="AX722" s="25">
        <v>-168</v>
      </c>
      <c r="AY722" s="25">
        <v>183</v>
      </c>
      <c r="AZ722" s="25">
        <v>-137</v>
      </c>
      <c r="BA722" s="25">
        <v>168</v>
      </c>
      <c r="BB722" s="25">
        <v>-118</v>
      </c>
      <c r="BC722" s="25">
        <v>-112</v>
      </c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>
        <v>-110</v>
      </c>
      <c r="BQ722" s="1">
        <v>-120</v>
      </c>
      <c r="BR722" s="1">
        <v>1000</v>
      </c>
      <c r="BS722" s="1">
        <v>1000</v>
      </c>
    </row>
    <row r="723" spans="1:73" ht="15" customHeight="1" x14ac:dyDescent="0.25">
      <c r="A723" s="1">
        <f t="shared" si="47"/>
        <v>345</v>
      </c>
      <c r="B723" s="1" t="str">
        <f t="shared" si="44"/>
        <v xml:space="preserve">Ole </v>
      </c>
      <c r="C723" s="1">
        <f t="shared" si="45"/>
        <v>0</v>
      </c>
      <c r="D723" s="2" t="str">
        <f t="shared" si="46"/>
        <v>2026-01</v>
      </c>
      <c r="E723" s="3" t="s">
        <v>973</v>
      </c>
      <c r="F723" s="4" t="s">
        <v>805</v>
      </c>
      <c r="G723" s="39">
        <v>46046</v>
      </c>
      <c r="H723" s="40">
        <v>246</v>
      </c>
      <c r="I723" s="40">
        <v>-356</v>
      </c>
      <c r="J723" s="7">
        <v>480</v>
      </c>
      <c r="K723" s="8">
        <v>0.56704744750438441</v>
      </c>
      <c r="L723" s="9">
        <v>9.7766801293859396E-2</v>
      </c>
      <c r="M723" s="10">
        <v>270.12280701754389</v>
      </c>
      <c r="N723" s="11">
        <v>5.8</v>
      </c>
      <c r="O723" s="12">
        <v>33890.340616411057</v>
      </c>
      <c r="P723" s="32" t="s">
        <v>506</v>
      </c>
      <c r="Q723" s="81" t="s">
        <v>81</v>
      </c>
      <c r="R723" s="82" t="s">
        <v>591</v>
      </c>
      <c r="S723" s="32">
        <v>125</v>
      </c>
      <c r="T723" s="32">
        <v>87.5</v>
      </c>
      <c r="U723" s="32">
        <v>87.5</v>
      </c>
      <c r="V723" s="74" t="s">
        <v>82</v>
      </c>
      <c r="W723" s="15"/>
      <c r="X723" s="15"/>
      <c r="Y723" s="16"/>
      <c r="Z723" s="17"/>
      <c r="AA723" s="16"/>
      <c r="AB723" s="99">
        <v>-87.5</v>
      </c>
      <c r="AC723" s="20">
        <v>49.616651656633636</v>
      </c>
      <c r="AD723" s="21">
        <v>46046</v>
      </c>
      <c r="AE723" s="22">
        <v>613346.32951766439</v>
      </c>
      <c r="AF723" s="23">
        <v>473669.19593333366</v>
      </c>
      <c r="AG723" s="24">
        <v>573756.69593333383</v>
      </c>
      <c r="AH723" s="15">
        <v>0.5</v>
      </c>
      <c r="AI723" s="25" t="s">
        <v>974</v>
      </c>
      <c r="AJ723" s="25"/>
      <c r="AK723" s="25"/>
      <c r="AL723" s="25"/>
      <c r="AM723" s="25"/>
      <c r="AN723" s="25">
        <v>280</v>
      </c>
      <c r="AO723" s="25">
        <v>-395</v>
      </c>
      <c r="AP723" s="25">
        <v>280</v>
      </c>
      <c r="AQ723" s="25">
        <v>46</v>
      </c>
      <c r="AR723" s="25">
        <v>-322</v>
      </c>
      <c r="AS723" s="25">
        <v>1600</v>
      </c>
      <c r="AT723" s="25"/>
      <c r="AU723" s="25"/>
      <c r="AV723" s="25"/>
      <c r="AW723" s="25"/>
      <c r="AX723" s="25">
        <v>280</v>
      </c>
      <c r="AY723" s="25"/>
      <c r="AZ723" s="25">
        <v>-380</v>
      </c>
      <c r="BA723" s="25"/>
      <c r="BB723" s="25">
        <v>240</v>
      </c>
      <c r="BC723" s="25">
        <v>-325</v>
      </c>
      <c r="BD723" s="25"/>
      <c r="BE723" s="25"/>
      <c r="BF723" s="25"/>
      <c r="BG723" s="25"/>
      <c r="BH723" s="25">
        <v>282</v>
      </c>
      <c r="BI723" s="25">
        <v>348</v>
      </c>
      <c r="BJ723" s="25"/>
      <c r="BK723" s="25"/>
      <c r="BL723" s="25"/>
      <c r="BM723" s="25"/>
      <c r="BN723" s="25"/>
      <c r="BO723" s="25"/>
      <c r="BP723" s="25"/>
      <c r="BT723" s="1">
        <v>285</v>
      </c>
      <c r="BU723" s="1">
        <v>-400</v>
      </c>
    </row>
    <row r="724" spans="1:73" ht="15" customHeight="1" x14ac:dyDescent="0.25">
      <c r="A724" s="1">
        <f t="shared" si="47"/>
        <v>346</v>
      </c>
      <c r="B724" s="1" t="str">
        <f t="shared" si="44"/>
        <v xml:space="preserve">Orlando </v>
      </c>
      <c r="C724" s="1">
        <f t="shared" si="45"/>
        <v>0</v>
      </c>
      <c r="D724" s="2" t="str">
        <f t="shared" si="46"/>
        <v>2026-01</v>
      </c>
      <c r="E724" s="100" t="s">
        <v>975</v>
      </c>
      <c r="F724" s="101" t="s">
        <v>805</v>
      </c>
      <c r="G724" s="5">
        <v>46046</v>
      </c>
      <c r="H724" s="6">
        <v>164</v>
      </c>
      <c r="I724" s="6">
        <v>-213</v>
      </c>
      <c r="J724" s="115">
        <v>280</v>
      </c>
      <c r="K724" s="8">
        <v>0.35881734679888533</v>
      </c>
      <c r="L724" s="9">
        <v>9.4425617578654031E-2</v>
      </c>
      <c r="M724" s="10">
        <v>179.65495207667726</v>
      </c>
      <c r="N724" s="11">
        <v>3.8</v>
      </c>
      <c r="O724" s="12">
        <v>36684.98998006068</v>
      </c>
      <c r="P724" s="13" t="s">
        <v>506</v>
      </c>
      <c r="Q724" s="13" t="s">
        <v>976</v>
      </c>
      <c r="R724" s="14" t="s">
        <v>977</v>
      </c>
      <c r="S724" s="13">
        <v>450</v>
      </c>
      <c r="T724" s="13">
        <v>315</v>
      </c>
      <c r="U724" s="104">
        <v>315</v>
      </c>
      <c r="V724" s="31" t="s">
        <v>82</v>
      </c>
      <c r="W724" s="15"/>
      <c r="X724" s="15"/>
      <c r="Y724" s="16"/>
      <c r="Z724" s="17"/>
      <c r="AA724" s="16"/>
      <c r="AB724" s="24">
        <v>-315</v>
      </c>
      <c r="AC724" s="20">
        <v>113.02746424164887</v>
      </c>
      <c r="AD724" s="21">
        <v>46046</v>
      </c>
      <c r="AE724" s="22">
        <v>617419.93695051898</v>
      </c>
      <c r="AF724" s="23">
        <v>472221.26593333366</v>
      </c>
      <c r="AG724" s="24">
        <v>572536.26593333355</v>
      </c>
      <c r="AH724" s="15">
        <v>0.5</v>
      </c>
      <c r="AI724" s="25" t="s">
        <v>978</v>
      </c>
      <c r="AJ724" s="25">
        <v>159</v>
      </c>
      <c r="AK724" s="25">
        <v>800</v>
      </c>
      <c r="AL724" s="25">
        <v>-216</v>
      </c>
      <c r="AM724" s="25">
        <v>800</v>
      </c>
      <c r="AN724" s="25">
        <v>164</v>
      </c>
      <c r="AO724" s="25">
        <v>-213</v>
      </c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>
        <v>162</v>
      </c>
      <c r="BC724" s="25">
        <v>-210</v>
      </c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R724" s="1">
        <v>1000</v>
      </c>
      <c r="BS724" s="1">
        <v>1000</v>
      </c>
      <c r="BT724" s="1">
        <v>175</v>
      </c>
      <c r="BU724" s="1">
        <v>-230</v>
      </c>
    </row>
    <row r="725" spans="1:73" ht="15" customHeight="1" x14ac:dyDescent="0.25">
      <c r="A725" s="1">
        <f t="shared" si="47"/>
        <v>347</v>
      </c>
      <c r="B725" s="1" t="str">
        <f t="shared" si="44"/>
        <v xml:space="preserve">Princeton </v>
      </c>
      <c r="C725" s="1">
        <f t="shared" si="45"/>
        <v>0</v>
      </c>
      <c r="D725" s="2" t="str">
        <f t="shared" si="46"/>
        <v>2026-01</v>
      </c>
      <c r="E725" s="3" t="s">
        <v>979</v>
      </c>
      <c r="F725" s="4" t="s">
        <v>814</v>
      </c>
      <c r="G725" s="39">
        <v>46046</v>
      </c>
      <c r="H725" s="40">
        <v>-135</v>
      </c>
      <c r="I725" s="40">
        <v>100</v>
      </c>
      <c r="J725" s="7">
        <v>108</v>
      </c>
      <c r="K725" s="8">
        <v>0.11207920792079225</v>
      </c>
      <c r="L725" s="9">
        <v>5.3884234577303958E-2</v>
      </c>
      <c r="M725" s="10">
        <v>-114.89361702127661</v>
      </c>
      <c r="N725" s="11">
        <v>2.08</v>
      </c>
      <c r="O725" s="12">
        <v>29510.976714179262</v>
      </c>
      <c r="P725" s="32" t="s">
        <v>506</v>
      </c>
      <c r="Q725" s="81" t="s">
        <v>76</v>
      </c>
      <c r="R725" s="82" t="s">
        <v>980</v>
      </c>
      <c r="S725" s="32">
        <v>400</v>
      </c>
      <c r="T725" s="32">
        <v>280</v>
      </c>
      <c r="U725" s="32">
        <v>280</v>
      </c>
      <c r="V725" s="74" t="s">
        <v>77</v>
      </c>
      <c r="W725" s="15"/>
      <c r="X725" s="15"/>
      <c r="Y725" s="16"/>
      <c r="Z725" s="17"/>
      <c r="AA725" s="16"/>
      <c r="AB725" s="99">
        <v>302.39999999999998</v>
      </c>
      <c r="AC725" s="20">
        <v>31.382178217821828</v>
      </c>
      <c r="AD725" s="21">
        <v>46046</v>
      </c>
      <c r="AE725" s="22">
        <v>613830.92833477864</v>
      </c>
      <c r="AF725" s="23">
        <v>469040.44593333366</v>
      </c>
      <c r="AG725" s="24">
        <v>568738.04593333381</v>
      </c>
      <c r="AH725" s="15">
        <v>0.5</v>
      </c>
      <c r="AI725" s="25" t="s">
        <v>981</v>
      </c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</row>
    <row r="726" spans="1:73" ht="15" customHeight="1" x14ac:dyDescent="0.25">
      <c r="A726" s="1">
        <f t="shared" si="47"/>
        <v>348</v>
      </c>
      <c r="B726" s="1" t="str">
        <f t="shared" si="44"/>
        <v xml:space="preserve">Providence </v>
      </c>
      <c r="C726" s="1">
        <f t="shared" si="45"/>
        <v>0</v>
      </c>
      <c r="D726" s="2" t="str">
        <f t="shared" si="46"/>
        <v>2026-01</v>
      </c>
      <c r="E726" s="3" t="s">
        <v>652</v>
      </c>
      <c r="F726" s="4" t="s">
        <v>805</v>
      </c>
      <c r="G726" s="39">
        <v>46046</v>
      </c>
      <c r="H726" s="40">
        <v>-111</v>
      </c>
      <c r="I726" s="40">
        <v>-105</v>
      </c>
      <c r="J726" s="7">
        <v>105</v>
      </c>
      <c r="K726" s="8">
        <v>3.8694054776219101E-2</v>
      </c>
      <c r="L726" s="9">
        <v>1.8875148671326392E-2</v>
      </c>
      <c r="M726" s="10">
        <v>-102.70819228165202</v>
      </c>
      <c r="N726" s="11">
        <v>2.0499999999999998</v>
      </c>
      <c r="O726" s="12">
        <v>10477.230226226538</v>
      </c>
      <c r="P726" s="32" t="s">
        <v>506</v>
      </c>
      <c r="Q726" s="81" t="s">
        <v>81</v>
      </c>
      <c r="R726" s="82" t="s">
        <v>671</v>
      </c>
      <c r="S726" s="32">
        <v>650</v>
      </c>
      <c r="T726" s="32">
        <v>454.99999999999994</v>
      </c>
      <c r="U726" s="32">
        <v>454.99999999999994</v>
      </c>
      <c r="V726" s="74" t="s">
        <v>82</v>
      </c>
      <c r="W726" s="15"/>
      <c r="X726" s="15"/>
      <c r="Y726" s="16"/>
      <c r="Z726" s="17"/>
      <c r="AA726" s="16"/>
      <c r="AB726" s="99">
        <v>-454.99999999999994</v>
      </c>
      <c r="AC726" s="20">
        <v>17.60579492317969</v>
      </c>
      <c r="AD726" s="21">
        <v>46046</v>
      </c>
      <c r="AE726" s="22">
        <v>614150.10558201477</v>
      </c>
      <c r="AF726" s="23">
        <v>468164.22593333368</v>
      </c>
      <c r="AG726" s="24">
        <v>568619.22593333386</v>
      </c>
      <c r="AH726" s="15">
        <v>0.5</v>
      </c>
      <c r="AI726" s="25" t="s">
        <v>982</v>
      </c>
      <c r="AJ726" s="25">
        <v>-341</v>
      </c>
      <c r="AK726" s="25">
        <v>1500</v>
      </c>
      <c r="AL726" s="25">
        <v>238</v>
      </c>
      <c r="AM726" s="25">
        <v>1500</v>
      </c>
      <c r="AN726" s="25">
        <v>-385</v>
      </c>
      <c r="AO726" s="25">
        <v>262</v>
      </c>
      <c r="AP726" s="25">
        <v>-308</v>
      </c>
      <c r="AQ726" s="25">
        <v>139</v>
      </c>
      <c r="AR726" s="25">
        <v>-138</v>
      </c>
      <c r="AS726" s="25">
        <v>297</v>
      </c>
      <c r="AT726" s="25"/>
      <c r="AU726" s="25"/>
      <c r="AV726" s="25"/>
      <c r="AW726" s="25"/>
      <c r="AX726" s="25">
        <v>-306</v>
      </c>
      <c r="AY726" s="25">
        <v>111</v>
      </c>
      <c r="AZ726" s="25">
        <v>229</v>
      </c>
      <c r="BA726" s="25">
        <v>289</v>
      </c>
      <c r="BB726" s="25">
        <v>-390</v>
      </c>
      <c r="BC726" s="25">
        <v>280</v>
      </c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>
        <v>-200</v>
      </c>
      <c r="BQ726" s="1">
        <v>160</v>
      </c>
      <c r="BR726" s="1">
        <v>1000</v>
      </c>
      <c r="BS726" s="1">
        <v>1000</v>
      </c>
      <c r="BT726" s="1">
        <v>-345</v>
      </c>
      <c r="BU726" s="1">
        <v>250</v>
      </c>
    </row>
    <row r="727" spans="1:73" ht="15" customHeight="1" x14ac:dyDescent="0.25">
      <c r="A727" s="1">
        <f t="shared" si="47"/>
        <v>349</v>
      </c>
      <c r="B727" s="1" t="str">
        <f t="shared" si="44"/>
        <v xml:space="preserve">Seattle </v>
      </c>
      <c r="C727" s="1">
        <f t="shared" si="45"/>
        <v>0</v>
      </c>
      <c r="D727" s="2" t="str">
        <f t="shared" si="46"/>
        <v>2026-01</v>
      </c>
      <c r="E727" s="100" t="s">
        <v>983</v>
      </c>
      <c r="F727" s="101" t="s">
        <v>805</v>
      </c>
      <c r="G727" s="5">
        <v>46046</v>
      </c>
      <c r="H727" s="6">
        <v>-114</v>
      </c>
      <c r="I727" s="6">
        <v>-114</v>
      </c>
      <c r="J727" s="115">
        <v>116</v>
      </c>
      <c r="K727" s="8">
        <v>8.0000000000000127E-2</v>
      </c>
      <c r="L727" s="9">
        <v>3.703703703703709E-2</v>
      </c>
      <c r="M727" s="10">
        <v>100</v>
      </c>
      <c r="N727" s="11">
        <v>2.16</v>
      </c>
      <c r="O727" s="12">
        <v>19739.70917011498</v>
      </c>
      <c r="P727" s="13" t="s">
        <v>506</v>
      </c>
      <c r="Q727" s="13" t="s">
        <v>76</v>
      </c>
      <c r="R727" s="14" t="s">
        <v>984</v>
      </c>
      <c r="S727" s="13">
        <v>600</v>
      </c>
      <c r="T727" s="13">
        <v>420</v>
      </c>
      <c r="U727" s="104">
        <v>420</v>
      </c>
      <c r="V727" s="31" t="s">
        <v>77</v>
      </c>
      <c r="W727" s="15"/>
      <c r="X727" s="15"/>
      <c r="Y727" s="16"/>
      <c r="Z727" s="17"/>
      <c r="AA727" s="16"/>
      <c r="AB727" s="24">
        <v>487.2</v>
      </c>
      <c r="AC727" s="20">
        <v>33.600000000000051</v>
      </c>
      <c r="AD727" s="21">
        <v>46046</v>
      </c>
      <c r="AE727" s="22">
        <v>617254.96246851084</v>
      </c>
      <c r="AF727" s="23">
        <v>472938.76593333366</v>
      </c>
      <c r="AG727" s="24">
        <v>572451.56593333359</v>
      </c>
      <c r="AH727" s="15">
        <v>0.5</v>
      </c>
      <c r="AI727" s="25" t="s">
        <v>985</v>
      </c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</row>
    <row r="728" spans="1:73" ht="15" customHeight="1" x14ac:dyDescent="0.25">
      <c r="A728" s="1">
        <f t="shared" si="47"/>
        <v>350</v>
      </c>
      <c r="B728" s="1" t="str">
        <f t="shared" si="44"/>
        <v xml:space="preserve">South </v>
      </c>
      <c r="C728" s="1">
        <f t="shared" si="45"/>
        <v>0</v>
      </c>
      <c r="D728" s="2" t="str">
        <f t="shared" si="46"/>
        <v>2026-01</v>
      </c>
      <c r="E728" s="3" t="s">
        <v>986</v>
      </c>
      <c r="F728" s="4" t="s">
        <v>805</v>
      </c>
      <c r="G728" s="39">
        <v>46046</v>
      </c>
      <c r="H728" s="40">
        <v>-127</v>
      </c>
      <c r="I728" s="40">
        <v>-104</v>
      </c>
      <c r="J728" s="7">
        <v>117</v>
      </c>
      <c r="K728" s="8">
        <v>0.13539785119961223</v>
      </c>
      <c r="L728" s="9">
        <v>6.2395323133461855E-2</v>
      </c>
      <c r="M728" s="10">
        <v>-109.74246018298882</v>
      </c>
      <c r="N728" s="11">
        <v>2.17</v>
      </c>
      <c r="O728" s="12">
        <v>32865.959190153902</v>
      </c>
      <c r="P728" s="32" t="s">
        <v>506</v>
      </c>
      <c r="Q728" s="81" t="s">
        <v>76</v>
      </c>
      <c r="R728" s="82" t="s">
        <v>987</v>
      </c>
      <c r="S728" s="32">
        <v>375</v>
      </c>
      <c r="T728" s="32">
        <v>262.5</v>
      </c>
      <c r="U728" s="32">
        <v>262.5</v>
      </c>
      <c r="V728" s="74" t="s">
        <v>77</v>
      </c>
      <c r="W728" s="15"/>
      <c r="X728" s="15"/>
      <c r="Y728" s="16"/>
      <c r="Z728" s="17"/>
      <c r="AA728" s="16"/>
      <c r="AB728" s="99">
        <v>307.13</v>
      </c>
      <c r="AC728" s="20">
        <v>35.54193593989821</v>
      </c>
      <c r="AD728" s="21">
        <v>46046</v>
      </c>
      <c r="AE728" s="22">
        <v>614069.44296052342</v>
      </c>
      <c r="AF728" s="23">
        <v>468309.82593333366</v>
      </c>
      <c r="AG728" s="24">
        <v>568002.69593333383</v>
      </c>
      <c r="AH728" s="15">
        <v>0.5</v>
      </c>
      <c r="AI728" s="25" t="s">
        <v>988</v>
      </c>
      <c r="AJ728" s="25"/>
      <c r="AK728" s="25"/>
      <c r="AL728" s="25"/>
      <c r="AM728" s="25"/>
      <c r="AN728" s="25">
        <v>-127</v>
      </c>
      <c r="AO728" s="25">
        <v>-104</v>
      </c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R728" s="1">
        <v>1000</v>
      </c>
      <c r="BS728" s="1">
        <v>1000</v>
      </c>
      <c r="BT728" s="1">
        <v>-105</v>
      </c>
      <c r="BU728" s="1">
        <v>-125</v>
      </c>
    </row>
    <row r="729" spans="1:73" ht="15" customHeight="1" x14ac:dyDescent="0.25">
      <c r="A729" s="1">
        <f t="shared" si="47"/>
        <v>351</v>
      </c>
      <c r="B729" s="1" t="str">
        <f t="shared" si="44"/>
        <v xml:space="preserve">South </v>
      </c>
      <c r="C729" s="1">
        <f t="shared" si="45"/>
        <v>1</v>
      </c>
      <c r="D729" s="2" t="str">
        <f t="shared" si="46"/>
        <v>2026-01</v>
      </c>
      <c r="E729" s="3" t="s">
        <v>989</v>
      </c>
      <c r="F729" s="4" t="s">
        <v>814</v>
      </c>
      <c r="G729" s="39">
        <v>46046</v>
      </c>
      <c r="H729" s="40">
        <v>-120</v>
      </c>
      <c r="I729" s="40">
        <v>-110</v>
      </c>
      <c r="J729" s="7">
        <v>123</v>
      </c>
      <c r="K729" s="8">
        <v>0.13757085020242921</v>
      </c>
      <c r="L729" s="9">
        <v>6.1690964216335964E-2</v>
      </c>
      <c r="M729" s="10">
        <v>-104.13223140495869</v>
      </c>
      <c r="N729" s="11">
        <v>2.23</v>
      </c>
      <c r="O729" s="12">
        <v>31778.178315089517</v>
      </c>
      <c r="P729" s="32" t="s">
        <v>506</v>
      </c>
      <c r="Q729" s="81" t="s">
        <v>92</v>
      </c>
      <c r="R729" s="82" t="s">
        <v>987</v>
      </c>
      <c r="S729" s="32">
        <v>350</v>
      </c>
      <c r="T729" s="32">
        <v>244.99999999999997</v>
      </c>
      <c r="U729" s="32">
        <v>244.99999999999997</v>
      </c>
      <c r="V729" s="74" t="s">
        <v>82</v>
      </c>
      <c r="W729" s="15"/>
      <c r="X729" s="15"/>
      <c r="Y729" s="16"/>
      <c r="Z729" s="17"/>
      <c r="AA729" s="16"/>
      <c r="AB729" s="99">
        <v>-244.99999999999997</v>
      </c>
      <c r="AC729" s="20">
        <v>33.704858299595152</v>
      </c>
      <c r="AD729" s="21">
        <v>46046</v>
      </c>
      <c r="AE729" s="22">
        <v>614033.90102458349</v>
      </c>
      <c r="AF729" s="23">
        <v>468002.69593333366</v>
      </c>
      <c r="AG729" s="24">
        <v>568247.69593333383</v>
      </c>
      <c r="AH729" s="15">
        <v>0.5</v>
      </c>
      <c r="AI729" s="25" t="s">
        <v>990</v>
      </c>
      <c r="AJ729" s="25"/>
      <c r="AK729" s="25"/>
      <c r="AL729" s="25"/>
      <c r="AM729" s="25"/>
      <c r="AN729" s="25">
        <v>-120</v>
      </c>
      <c r="AO729" s="25">
        <v>-110</v>
      </c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>
        <v>110</v>
      </c>
      <c r="BQ729" s="1">
        <v>-140</v>
      </c>
      <c r="BR729" s="1">
        <v>1000</v>
      </c>
      <c r="BS729" s="1">
        <v>1000</v>
      </c>
      <c r="BT729" s="1">
        <v>-110</v>
      </c>
      <c r="BU729" s="1">
        <v>-120</v>
      </c>
    </row>
    <row r="730" spans="1:73" ht="15" customHeight="1" x14ac:dyDescent="0.25">
      <c r="A730" s="1">
        <f t="shared" si="47"/>
        <v>351</v>
      </c>
      <c r="B730" s="1" t="str">
        <f t="shared" si="44"/>
        <v xml:space="preserve">South </v>
      </c>
      <c r="C730" s="1">
        <f t="shared" si="45"/>
        <v>1</v>
      </c>
      <c r="D730" s="2" t="str">
        <f t="shared" si="46"/>
        <v>2026-01</v>
      </c>
      <c r="E730" s="3" t="s">
        <v>991</v>
      </c>
      <c r="F730" s="4" t="s">
        <v>805</v>
      </c>
      <c r="G730" s="39">
        <v>46046</v>
      </c>
      <c r="H730" s="40">
        <v>-154</v>
      </c>
      <c r="I730" s="40">
        <v>116</v>
      </c>
      <c r="J730" s="7">
        <v>-108</v>
      </c>
      <c r="K730" s="8">
        <v>9.2049638619937424E-2</v>
      </c>
      <c r="L730" s="9">
        <v>4.7795004668044427E-2</v>
      </c>
      <c r="M730" s="10">
        <v>-130.96062992125985</v>
      </c>
      <c r="N730" s="11">
        <v>1.925925925925926</v>
      </c>
      <c r="O730" s="12">
        <v>28279.032674580732</v>
      </c>
      <c r="P730" s="32" t="s">
        <v>506</v>
      </c>
      <c r="Q730" s="81" t="s">
        <v>92</v>
      </c>
      <c r="R730" s="82" t="s">
        <v>987</v>
      </c>
      <c r="S730" s="32">
        <v>475</v>
      </c>
      <c r="T730" s="32">
        <v>332.5</v>
      </c>
      <c r="U730" s="32">
        <v>332.5</v>
      </c>
      <c r="V730" s="74" t="s">
        <v>77</v>
      </c>
      <c r="W730" s="15"/>
      <c r="X730" s="15"/>
      <c r="Y730" s="16"/>
      <c r="Z730" s="17"/>
      <c r="AA730" s="16"/>
      <c r="AB730" s="99">
        <v>307.87</v>
      </c>
      <c r="AC730" s="20">
        <v>30.606504841129194</v>
      </c>
      <c r="AD730" s="21">
        <v>46046</v>
      </c>
      <c r="AE730" s="22">
        <v>614309.25587503624</v>
      </c>
      <c r="AF730" s="23">
        <v>469224.59593333368</v>
      </c>
      <c r="AG730" s="24">
        <v>568916.72593333386</v>
      </c>
      <c r="AH730" s="15">
        <v>0.5</v>
      </c>
      <c r="AI730" s="25" t="s">
        <v>992</v>
      </c>
      <c r="AJ730" s="25"/>
      <c r="AK730" s="25"/>
      <c r="AL730" s="25"/>
      <c r="AM730" s="25"/>
      <c r="AN730" s="25">
        <v>-154</v>
      </c>
      <c r="AO730" s="25">
        <v>116</v>
      </c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R730" s="1">
        <v>1000</v>
      </c>
      <c r="BS730" s="1">
        <v>1000</v>
      </c>
    </row>
    <row r="731" spans="1:73" ht="15" customHeight="1" x14ac:dyDescent="0.25">
      <c r="A731" s="1">
        <f t="shared" si="47"/>
        <v>352</v>
      </c>
      <c r="B731" s="1" t="str">
        <f t="shared" si="44"/>
        <v xml:space="preserve">St. </v>
      </c>
      <c r="C731" s="1">
        <f t="shared" si="45"/>
        <v>0</v>
      </c>
      <c r="D731" s="2" t="str">
        <f t="shared" si="46"/>
        <v>2026-01</v>
      </c>
      <c r="E731" s="3" t="s">
        <v>993</v>
      </c>
      <c r="F731" s="4" t="s">
        <v>805</v>
      </c>
      <c r="G731" s="39">
        <v>46046</v>
      </c>
      <c r="H731" s="40">
        <v>-137</v>
      </c>
      <c r="I731" s="40">
        <v>-101</v>
      </c>
      <c r="J731" s="7">
        <v>112</v>
      </c>
      <c r="K731" s="8">
        <v>0.134134514512181</v>
      </c>
      <c r="L731" s="9">
        <v>6.3270997411406127E-2</v>
      </c>
      <c r="M731" s="10">
        <v>-115.03947863140743</v>
      </c>
      <c r="N731" s="11">
        <v>2.12</v>
      </c>
      <c r="O731" s="12">
        <v>34187.50899255267</v>
      </c>
      <c r="P731" s="32" t="s">
        <v>506</v>
      </c>
      <c r="Q731" s="81" t="s">
        <v>76</v>
      </c>
      <c r="R731" s="82" t="s">
        <v>994</v>
      </c>
      <c r="S731" s="32">
        <v>400</v>
      </c>
      <c r="T731" s="32">
        <v>280</v>
      </c>
      <c r="U731" s="32">
        <v>280</v>
      </c>
      <c r="V731" s="74" t="s">
        <v>77</v>
      </c>
      <c r="W731" s="15"/>
      <c r="X731" s="15"/>
      <c r="Y731" s="16"/>
      <c r="Z731" s="17"/>
      <c r="AA731" s="16"/>
      <c r="AB731" s="99">
        <v>313.60000000000002</v>
      </c>
      <c r="AC731" s="20">
        <v>37.557664063410684</v>
      </c>
      <c r="AD731" s="21">
        <v>46046</v>
      </c>
      <c r="AE731" s="22">
        <v>614519.6583036331</v>
      </c>
      <c r="AF731" s="23">
        <v>471233.1759333337</v>
      </c>
      <c r="AG731" s="24">
        <v>570919.57593333384</v>
      </c>
      <c r="AH731" s="15">
        <v>0.5</v>
      </c>
      <c r="AI731" s="25" t="s">
        <v>995</v>
      </c>
      <c r="AJ731" s="25"/>
      <c r="AK731" s="25"/>
      <c r="AL731" s="25"/>
      <c r="AM731" s="25"/>
      <c r="AN731" s="25">
        <v>-137</v>
      </c>
      <c r="AO731" s="25">
        <v>-101</v>
      </c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R731" s="1">
        <v>1000</v>
      </c>
      <c r="BS731" s="1">
        <v>1000</v>
      </c>
    </row>
    <row r="732" spans="1:73" ht="15" customHeight="1" x14ac:dyDescent="0.25">
      <c r="A732" s="1">
        <f t="shared" si="47"/>
        <v>353</v>
      </c>
      <c r="B732" s="1" t="str">
        <f t="shared" si="44"/>
        <v xml:space="preserve">St. </v>
      </c>
      <c r="C732" s="1">
        <f t="shared" si="45"/>
        <v>1</v>
      </c>
      <c r="D732" s="2" t="str">
        <f t="shared" si="46"/>
        <v>2026-01</v>
      </c>
      <c r="E732" s="3" t="s">
        <v>996</v>
      </c>
      <c r="F732" s="4" t="s">
        <v>814</v>
      </c>
      <c r="G732" s="39">
        <v>46046</v>
      </c>
      <c r="H732" s="40">
        <v>-112</v>
      </c>
      <c r="I732" s="40">
        <v>-123</v>
      </c>
      <c r="J732" s="7">
        <v>128</v>
      </c>
      <c r="K732" s="8">
        <v>0.11543680952754067</v>
      </c>
      <c r="L732" s="9">
        <v>5.0630179617342397E-2</v>
      </c>
      <c r="M732" s="10">
        <v>104.40422805893657</v>
      </c>
      <c r="N732" s="11">
        <v>2.2800000000000002</v>
      </c>
      <c r="O732" s="12">
        <v>25652.119621063452</v>
      </c>
      <c r="P732" s="32" t="s">
        <v>506</v>
      </c>
      <c r="Q732" s="81" t="s">
        <v>92</v>
      </c>
      <c r="R732" s="82" t="s">
        <v>994</v>
      </c>
      <c r="S732" s="32">
        <v>350</v>
      </c>
      <c r="T732" s="32">
        <v>244.99999999999997</v>
      </c>
      <c r="U732" s="32">
        <v>244.99999999999997</v>
      </c>
      <c r="V732" s="74" t="s">
        <v>82</v>
      </c>
      <c r="W732" s="15"/>
      <c r="X732" s="15"/>
      <c r="Y732" s="16"/>
      <c r="Z732" s="17"/>
      <c r="AA732" s="16"/>
      <c r="AB732" s="99">
        <v>-244.99999999999997</v>
      </c>
      <c r="AC732" s="20">
        <v>28.282018334247461</v>
      </c>
      <c r="AD732" s="21">
        <v>46046</v>
      </c>
      <c r="AE732" s="22">
        <v>613932.11666603643</v>
      </c>
      <c r="AF732" s="23">
        <v>468632.69593333366</v>
      </c>
      <c r="AG732" s="24">
        <v>568877.69593333383</v>
      </c>
      <c r="AH732" s="15">
        <v>0.5</v>
      </c>
      <c r="AI732" s="25" t="s">
        <v>997</v>
      </c>
      <c r="AJ732" s="25"/>
      <c r="AK732" s="25"/>
      <c r="AL732" s="25"/>
      <c r="AM732" s="25"/>
      <c r="AN732" s="25">
        <v>-112</v>
      </c>
      <c r="AO732" s="25">
        <v>-123</v>
      </c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>
        <v>120</v>
      </c>
      <c r="BQ732" s="1">
        <v>-170</v>
      </c>
      <c r="BR732" s="1">
        <v>1000</v>
      </c>
      <c r="BS732" s="1">
        <v>1000</v>
      </c>
      <c r="BT732" s="1">
        <v>-115</v>
      </c>
      <c r="BU732" s="1">
        <v>-115</v>
      </c>
    </row>
    <row r="733" spans="1:73" ht="15" customHeight="1" x14ac:dyDescent="0.25">
      <c r="A733" s="1">
        <f t="shared" si="47"/>
        <v>354</v>
      </c>
      <c r="B733" s="1" t="str">
        <f t="shared" si="44"/>
        <v xml:space="preserve">Stephen </v>
      </c>
      <c r="C733" s="1">
        <f t="shared" si="45"/>
        <v>0</v>
      </c>
      <c r="D733" s="2" t="str">
        <f t="shared" si="46"/>
        <v>2026-01</v>
      </c>
      <c r="E733" s="100" t="s">
        <v>998</v>
      </c>
      <c r="F733" s="101" t="s">
        <v>805</v>
      </c>
      <c r="G733" s="102">
        <v>46046</v>
      </c>
      <c r="H733" s="6">
        <v>-211</v>
      </c>
      <c r="I733" s="6">
        <v>211</v>
      </c>
      <c r="J733" s="115">
        <v>-133</v>
      </c>
      <c r="K733" s="8">
        <v>0.18857432971496266</v>
      </c>
      <c r="L733" s="9">
        <v>0.10764114099609456</v>
      </c>
      <c r="M733" s="10">
        <v>-211</v>
      </c>
      <c r="N733" s="11">
        <v>1.7518796992481203</v>
      </c>
      <c r="O733" s="12">
        <v>71983.351612218714</v>
      </c>
      <c r="P733" s="13" t="s">
        <v>506</v>
      </c>
      <c r="Q733" s="13" t="s">
        <v>81</v>
      </c>
      <c r="R733" s="14" t="s">
        <v>999</v>
      </c>
      <c r="S733" s="13">
        <v>1225</v>
      </c>
      <c r="T733" s="13">
        <v>857.5</v>
      </c>
      <c r="U733" s="13">
        <v>857.5</v>
      </c>
      <c r="V733" s="37" t="s">
        <v>77</v>
      </c>
      <c r="W733" s="105"/>
      <c r="X733" s="105"/>
      <c r="Y733" s="114"/>
      <c r="Z733" s="8"/>
      <c r="AA733" s="10"/>
      <c r="AB733" s="106">
        <v>644.74</v>
      </c>
      <c r="AC733" s="107">
        <v>161.70248773058049</v>
      </c>
      <c r="AD733" s="108">
        <v>46046</v>
      </c>
      <c r="AE733" s="109">
        <v>615584.28576544486</v>
      </c>
      <c r="AF733" s="110">
        <v>474665.82593333366</v>
      </c>
      <c r="AG733" s="106">
        <v>574021.08593333373</v>
      </c>
      <c r="AH733" s="15">
        <v>0.5</v>
      </c>
      <c r="AI733" s="25" t="s">
        <v>1000</v>
      </c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</row>
    <row r="734" spans="1:73" ht="15" customHeight="1" x14ac:dyDescent="0.25">
      <c r="A734" s="1">
        <f t="shared" si="47"/>
        <v>355</v>
      </c>
      <c r="B734" s="1" t="str">
        <f t="shared" si="44"/>
        <v xml:space="preserve">Syracuse </v>
      </c>
      <c r="C734" s="1">
        <f t="shared" si="45"/>
        <v>0</v>
      </c>
      <c r="D734" s="2" t="str">
        <f t="shared" si="46"/>
        <v>2026-01</v>
      </c>
      <c r="E734" s="3" t="s">
        <v>1001</v>
      </c>
      <c r="F734" s="4" t="s">
        <v>814</v>
      </c>
      <c r="G734" s="39">
        <v>46046</v>
      </c>
      <c r="H734" s="40">
        <v>-117</v>
      </c>
      <c r="I734" s="40">
        <v>101</v>
      </c>
      <c r="J734" s="7">
        <v>118</v>
      </c>
      <c r="K734" s="8">
        <v>0.1338005617356301</v>
      </c>
      <c r="L734" s="9">
        <v>6.1376404465885381E-2</v>
      </c>
      <c r="M734" s="10">
        <v>-108.37327188940091</v>
      </c>
      <c r="N734" s="11">
        <v>2.1799999999999997</v>
      </c>
      <c r="O734" s="12">
        <v>32231.772698437802</v>
      </c>
      <c r="P734" s="32" t="s">
        <v>506</v>
      </c>
      <c r="Q734" s="81" t="s">
        <v>76</v>
      </c>
      <c r="R734" s="82" t="s">
        <v>510</v>
      </c>
      <c r="S734" s="32">
        <v>375</v>
      </c>
      <c r="T734" s="32">
        <v>262.5</v>
      </c>
      <c r="U734" s="32">
        <v>262.5</v>
      </c>
      <c r="V734" s="74" t="s">
        <v>82</v>
      </c>
      <c r="W734" s="15"/>
      <c r="X734" s="15"/>
      <c r="Y734" s="16"/>
      <c r="Z734" s="17"/>
      <c r="AA734" s="16"/>
      <c r="AB734" s="99">
        <v>-262.5</v>
      </c>
      <c r="AC734" s="20">
        <v>35.122647455602902</v>
      </c>
      <c r="AD734" s="21">
        <v>46046</v>
      </c>
      <c r="AE734" s="22">
        <v>614000.19616628392</v>
      </c>
      <c r="AF734" s="23">
        <v>468247.69593333366</v>
      </c>
      <c r="AG734" s="24">
        <v>568510.19593333383</v>
      </c>
      <c r="AH734" s="15">
        <v>0.5</v>
      </c>
      <c r="AI734" s="25" t="s">
        <v>1002</v>
      </c>
      <c r="AJ734" s="25">
        <v>-137</v>
      </c>
      <c r="AK734" s="25">
        <v>1500</v>
      </c>
      <c r="AL734" s="25">
        <v>101</v>
      </c>
      <c r="AM734" s="25">
        <v>1500</v>
      </c>
      <c r="AN734" s="25">
        <v>-117</v>
      </c>
      <c r="AO734" s="25">
        <v>-113</v>
      </c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>
        <v>110</v>
      </c>
      <c r="BQ734" s="1">
        <v>-150</v>
      </c>
      <c r="BR734" s="1">
        <v>1000</v>
      </c>
      <c r="BS734" s="1">
        <v>1000</v>
      </c>
      <c r="BT734" s="1">
        <v>100</v>
      </c>
      <c r="BU734" s="1">
        <v>-140</v>
      </c>
    </row>
    <row r="735" spans="1:73" ht="15" customHeight="1" x14ac:dyDescent="0.25">
      <c r="A735" s="1">
        <f t="shared" si="47"/>
        <v>356</v>
      </c>
      <c r="B735" s="1" t="str">
        <f t="shared" si="44"/>
        <v xml:space="preserve">TCU </v>
      </c>
      <c r="C735" s="1">
        <f t="shared" si="45"/>
        <v>1</v>
      </c>
      <c r="D735" s="2" t="str">
        <f t="shared" si="46"/>
        <v>2026-01</v>
      </c>
      <c r="E735" s="100" t="s">
        <v>1003</v>
      </c>
      <c r="F735" s="101" t="s">
        <v>805</v>
      </c>
      <c r="G735" s="5">
        <v>46046</v>
      </c>
      <c r="H735" s="6">
        <v>-133</v>
      </c>
      <c r="I735" s="6">
        <v>-101</v>
      </c>
      <c r="J735" s="115">
        <v>123</v>
      </c>
      <c r="K735" s="8">
        <v>0.18598237377153534</v>
      </c>
      <c r="L735" s="9">
        <v>8.3400167610553966E-2</v>
      </c>
      <c r="M735" s="10">
        <v>-113.59792631623677</v>
      </c>
      <c r="N735" s="11">
        <v>2.23</v>
      </c>
      <c r="O735" s="12">
        <v>43261.410309282262</v>
      </c>
      <c r="P735" s="13" t="s">
        <v>506</v>
      </c>
      <c r="Q735" s="13" t="s">
        <v>92</v>
      </c>
      <c r="R735" s="14" t="s">
        <v>1004</v>
      </c>
      <c r="S735" s="13">
        <v>350</v>
      </c>
      <c r="T735" s="13">
        <v>244.99999999999997</v>
      </c>
      <c r="U735" s="104">
        <v>244.99999999999997</v>
      </c>
      <c r="V735" s="31" t="s">
        <v>82</v>
      </c>
      <c r="W735" s="15"/>
      <c r="X735" s="15"/>
      <c r="Y735" s="16"/>
      <c r="Z735" s="17"/>
      <c r="AA735" s="16"/>
      <c r="AB735" s="24">
        <v>-244.99999999999997</v>
      </c>
      <c r="AC735" s="20">
        <v>45.565681574026151</v>
      </c>
      <c r="AD735" s="21">
        <v>46046</v>
      </c>
      <c r="AE735" s="22">
        <v>617465.50263209303</v>
      </c>
      <c r="AF735" s="23">
        <v>471976.26593333366</v>
      </c>
      <c r="AG735" s="24">
        <v>572221.26593333355</v>
      </c>
      <c r="AH735" s="15">
        <v>0.5</v>
      </c>
      <c r="AI735" s="25" t="s">
        <v>1005</v>
      </c>
      <c r="AJ735" s="25">
        <v>-133</v>
      </c>
      <c r="AK735" s="25">
        <v>500</v>
      </c>
      <c r="AL735" s="25">
        <v>-101</v>
      </c>
      <c r="AM735" s="25">
        <v>500</v>
      </c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>
        <v>-131</v>
      </c>
      <c r="AY735" s="25">
        <v>361</v>
      </c>
      <c r="AZ735" s="25">
        <v>-142</v>
      </c>
      <c r="BA735" s="25">
        <v>206</v>
      </c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>
        <v>-170</v>
      </c>
      <c r="BQ735" s="1">
        <v>120</v>
      </c>
      <c r="BT735" s="1">
        <v>-135</v>
      </c>
      <c r="BU735" s="1">
        <v>100</v>
      </c>
    </row>
    <row r="736" spans="1:73" ht="15" customHeight="1" x14ac:dyDescent="0.25">
      <c r="A736" s="1">
        <f t="shared" si="47"/>
        <v>356</v>
      </c>
      <c r="B736" s="1" t="str">
        <f t="shared" si="44"/>
        <v xml:space="preserve">TCU </v>
      </c>
      <c r="C736" s="1">
        <f t="shared" si="45"/>
        <v>1</v>
      </c>
      <c r="D736" s="2" t="str">
        <f t="shared" si="46"/>
        <v>2026-01</v>
      </c>
      <c r="E736" s="100" t="s">
        <v>1006</v>
      </c>
      <c r="F736" s="101" t="s">
        <v>805</v>
      </c>
      <c r="G736" s="5">
        <v>46046</v>
      </c>
      <c r="H736" s="6">
        <v>-170</v>
      </c>
      <c r="I736" s="6">
        <v>122</v>
      </c>
      <c r="J736" s="115">
        <v>102</v>
      </c>
      <c r="K736" s="8">
        <v>0.17755329008341039</v>
      </c>
      <c r="L736" s="9">
        <v>8.7897668358123959E-2</v>
      </c>
      <c r="M736" s="10">
        <v>-139.77777777777771</v>
      </c>
      <c r="N736" s="11">
        <v>2.02</v>
      </c>
      <c r="O736" s="12">
        <v>49709.374069812249</v>
      </c>
      <c r="P736" s="13" t="s">
        <v>506</v>
      </c>
      <c r="Q736" s="13" t="s">
        <v>92</v>
      </c>
      <c r="R736" s="14" t="s">
        <v>1004</v>
      </c>
      <c r="S736" s="13">
        <v>425</v>
      </c>
      <c r="T736" s="13">
        <v>297.5</v>
      </c>
      <c r="U736" s="104">
        <v>297.5</v>
      </c>
      <c r="V736" s="31" t="s">
        <v>77</v>
      </c>
      <c r="W736" s="15"/>
      <c r="X736" s="15"/>
      <c r="Y736" s="16"/>
      <c r="Z736" s="17"/>
      <c r="AA736" s="16"/>
      <c r="AB736" s="24">
        <v>303.45</v>
      </c>
      <c r="AC736" s="20">
        <v>52.822103799814592</v>
      </c>
      <c r="AD736" s="21">
        <v>46046</v>
      </c>
      <c r="AE736" s="22">
        <v>617602.72119701677</v>
      </c>
      <c r="AF736" s="23">
        <v>471439.71593333367</v>
      </c>
      <c r="AG736" s="24">
        <v>571136.26593333355</v>
      </c>
      <c r="AH736" s="15">
        <v>0.5</v>
      </c>
      <c r="AI736" s="25" t="s">
        <v>1007</v>
      </c>
      <c r="AJ736" s="25"/>
      <c r="AK736" s="25"/>
      <c r="AL736" s="25"/>
      <c r="AM736" s="25"/>
      <c r="AN736" s="25">
        <v>-170</v>
      </c>
      <c r="AO736" s="25">
        <v>122</v>
      </c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>
        <v>-220</v>
      </c>
      <c r="BQ736" s="1">
        <v>150</v>
      </c>
      <c r="BR736" s="1">
        <v>1000</v>
      </c>
      <c r="BS736" s="1">
        <v>1000</v>
      </c>
    </row>
    <row r="737" spans="1:73" ht="15" customHeight="1" x14ac:dyDescent="0.25">
      <c r="A737" s="1">
        <f t="shared" si="47"/>
        <v>357</v>
      </c>
      <c r="B737" s="1" t="str">
        <f t="shared" si="44"/>
        <v xml:space="preserve">Temple </v>
      </c>
      <c r="C737" s="1">
        <f t="shared" si="45"/>
        <v>1</v>
      </c>
      <c r="D737" s="2" t="str">
        <f t="shared" si="46"/>
        <v>2026-01</v>
      </c>
      <c r="E737" s="3" t="s">
        <v>1008</v>
      </c>
      <c r="F737" s="4" t="s">
        <v>805</v>
      </c>
      <c r="G737" s="39">
        <v>46046</v>
      </c>
      <c r="H737" s="40">
        <v>-105</v>
      </c>
      <c r="I737" s="40">
        <v>-125</v>
      </c>
      <c r="J737" s="7">
        <v>120</v>
      </c>
      <c r="K737" s="8">
        <v>5.5329949238578702E-2</v>
      </c>
      <c r="L737" s="9">
        <v>2.5149976926626683E-2</v>
      </c>
      <c r="M737" s="10">
        <v>108.46560846560847</v>
      </c>
      <c r="N737" s="11">
        <v>2.2000000000000002</v>
      </c>
      <c r="O737" s="12">
        <v>13105.802797532446</v>
      </c>
      <c r="P737" s="32" t="s">
        <v>506</v>
      </c>
      <c r="Q737" s="81" t="s">
        <v>92</v>
      </c>
      <c r="R737" s="82" t="s">
        <v>1009</v>
      </c>
      <c r="S737" s="32">
        <v>375</v>
      </c>
      <c r="T737" s="32">
        <v>262.5</v>
      </c>
      <c r="U737" s="32">
        <v>262.5</v>
      </c>
      <c r="V737" s="74" t="s">
        <v>77</v>
      </c>
      <c r="W737" s="15"/>
      <c r="X737" s="15"/>
      <c r="Y737" s="16"/>
      <c r="Z737" s="17"/>
      <c r="AA737" s="16"/>
      <c r="AB737" s="99">
        <v>315</v>
      </c>
      <c r="AC737" s="20">
        <v>14.524111675126909</v>
      </c>
      <c r="AD737" s="21">
        <v>46046</v>
      </c>
      <c r="AE737" s="22">
        <v>614204.29202505748</v>
      </c>
      <c r="AF737" s="23">
        <v>468794.22593333368</v>
      </c>
      <c r="AG737" s="24">
        <v>568479.22593333386</v>
      </c>
      <c r="AH737" s="15">
        <v>0.5</v>
      </c>
      <c r="AI737" s="25" t="s">
        <v>1010</v>
      </c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</row>
    <row r="738" spans="1:73" ht="15" customHeight="1" x14ac:dyDescent="0.25">
      <c r="A738" s="1">
        <f t="shared" si="47"/>
        <v>358</v>
      </c>
      <c r="B738" s="1" t="str">
        <f t="shared" si="44"/>
        <v xml:space="preserve">Texas </v>
      </c>
      <c r="C738" s="1">
        <f t="shared" si="45"/>
        <v>0</v>
      </c>
      <c r="D738" s="2" t="str">
        <f t="shared" si="46"/>
        <v>2026-01</v>
      </c>
      <c r="E738" s="3" t="s">
        <v>1011</v>
      </c>
      <c r="F738" s="4" t="s">
        <v>805</v>
      </c>
      <c r="G738" s="39">
        <v>46046</v>
      </c>
      <c r="H738" s="40">
        <v>140</v>
      </c>
      <c r="I738" s="40">
        <v>-163</v>
      </c>
      <c r="J738" s="7">
        <v>175</v>
      </c>
      <c r="K738" s="8">
        <v>0.1055487618465303</v>
      </c>
      <c r="L738" s="9">
        <v>3.8381367944192835E-2</v>
      </c>
      <c r="M738" s="10">
        <v>148.74524714828897</v>
      </c>
      <c r="N738" s="11">
        <v>2.75</v>
      </c>
      <c r="O738" s="12">
        <v>17235.582832116332</v>
      </c>
      <c r="P738" s="32" t="s">
        <v>506</v>
      </c>
      <c r="Q738" s="81" t="s">
        <v>81</v>
      </c>
      <c r="R738" s="82" t="s">
        <v>1012</v>
      </c>
      <c r="S738" s="32">
        <v>400</v>
      </c>
      <c r="T738" s="32">
        <v>280</v>
      </c>
      <c r="U738" s="32">
        <v>280</v>
      </c>
      <c r="V738" s="74" t="s">
        <v>77</v>
      </c>
      <c r="W738" s="15"/>
      <c r="X738" s="15"/>
      <c r="Y738" s="16"/>
      <c r="Z738" s="17"/>
      <c r="AA738" s="16"/>
      <c r="AB738" s="99">
        <v>490</v>
      </c>
      <c r="AC738" s="20">
        <v>29.553653317028484</v>
      </c>
      <c r="AD738" s="21">
        <v>46046</v>
      </c>
      <c r="AE738" s="22">
        <v>614574.69531699736</v>
      </c>
      <c r="AF738" s="23">
        <v>472022.4259333337</v>
      </c>
      <c r="AG738" s="24">
        <v>571532.42593333381</v>
      </c>
      <c r="AH738" s="15">
        <v>0.5</v>
      </c>
      <c r="AI738" s="25" t="s">
        <v>1013</v>
      </c>
      <c r="AJ738" s="25">
        <v>122</v>
      </c>
      <c r="AK738" s="25">
        <v>1500</v>
      </c>
      <c r="AL738" s="25">
        <v>-163</v>
      </c>
      <c r="AM738" s="25">
        <v>1500</v>
      </c>
      <c r="AN738" s="25">
        <v>130</v>
      </c>
      <c r="AO738" s="25">
        <v>-174</v>
      </c>
      <c r="AP738" s="25">
        <v>144</v>
      </c>
      <c r="AQ738" s="25">
        <v>49</v>
      </c>
      <c r="AR738" s="25">
        <v>-163</v>
      </c>
      <c r="AS738" s="25">
        <v>217</v>
      </c>
      <c r="AT738" s="25"/>
      <c r="AU738" s="25"/>
      <c r="AV738" s="25"/>
      <c r="AW738" s="25"/>
      <c r="AX738" s="25">
        <v>140</v>
      </c>
      <c r="AY738" s="25">
        <v>416</v>
      </c>
      <c r="AZ738" s="25">
        <v>-161</v>
      </c>
      <c r="BA738" s="25">
        <v>2100</v>
      </c>
      <c r="BB738" s="25">
        <v>120</v>
      </c>
      <c r="BC738" s="25">
        <v>-154</v>
      </c>
      <c r="BD738" s="25"/>
      <c r="BE738" s="25"/>
      <c r="BF738" s="25"/>
      <c r="BG738" s="25"/>
      <c r="BH738" s="25"/>
      <c r="BI738" s="25"/>
      <c r="BJ738" s="25"/>
      <c r="BK738" s="25"/>
      <c r="BL738" s="25">
        <v>122</v>
      </c>
      <c r="BM738" s="25">
        <v>2000</v>
      </c>
      <c r="BN738" s="25"/>
      <c r="BO738" s="25"/>
      <c r="BP738" s="25">
        <v>125</v>
      </c>
      <c r="BQ738" s="1">
        <v>-160</v>
      </c>
      <c r="BR738" s="1">
        <v>1000</v>
      </c>
      <c r="BS738" s="1">
        <v>1000</v>
      </c>
      <c r="BT738" s="1">
        <v>135</v>
      </c>
      <c r="BU738" s="1">
        <v>-175</v>
      </c>
    </row>
    <row r="739" spans="1:73" ht="15" customHeight="1" x14ac:dyDescent="0.25">
      <c r="A739" s="1">
        <f t="shared" si="47"/>
        <v>359</v>
      </c>
      <c r="B739" s="1" t="str">
        <f t="shared" si="44"/>
        <v xml:space="preserve">Texas </v>
      </c>
      <c r="C739" s="1">
        <f t="shared" si="45"/>
        <v>1</v>
      </c>
      <c r="D739" s="2" t="str">
        <f t="shared" si="46"/>
        <v>2026-01</v>
      </c>
      <c r="E739" s="3" t="s">
        <v>1014</v>
      </c>
      <c r="F739" s="4" t="s">
        <v>805</v>
      </c>
      <c r="G739" s="39">
        <v>46046</v>
      </c>
      <c r="H739" s="40">
        <v>-127</v>
      </c>
      <c r="I739" s="40">
        <v>-104</v>
      </c>
      <c r="J739" s="7">
        <v>120</v>
      </c>
      <c r="K739" s="8">
        <v>0.15109459568624287</v>
      </c>
      <c r="L739" s="9">
        <v>6.8679361675564932E-2</v>
      </c>
      <c r="M739" s="10">
        <v>-109.74246018298882</v>
      </c>
      <c r="N739" s="11">
        <v>2.2000000000000002</v>
      </c>
      <c r="O739" s="12">
        <v>35769.393333660089</v>
      </c>
      <c r="P739" s="32" t="s">
        <v>506</v>
      </c>
      <c r="Q739" s="81" t="s">
        <v>92</v>
      </c>
      <c r="R739" s="82" t="s">
        <v>1015</v>
      </c>
      <c r="S739" s="32">
        <v>375</v>
      </c>
      <c r="T739" s="32">
        <v>262.5</v>
      </c>
      <c r="U739" s="32">
        <v>262.5</v>
      </c>
      <c r="V739" s="74" t="s">
        <v>77</v>
      </c>
      <c r="W739" s="15"/>
      <c r="X739" s="15"/>
      <c r="Y739" s="16"/>
      <c r="Z739" s="17"/>
      <c r="AA739" s="16"/>
      <c r="AB739" s="99">
        <v>315</v>
      </c>
      <c r="AC739" s="20">
        <v>39.66233136763875</v>
      </c>
      <c r="AD739" s="21">
        <v>46046</v>
      </c>
      <c r="AE739" s="22">
        <v>614189.76791338238</v>
      </c>
      <c r="AF739" s="23">
        <v>468479.22593333368</v>
      </c>
      <c r="AG739" s="24">
        <v>568164.22593333386</v>
      </c>
      <c r="AH739" s="15">
        <v>0.5</v>
      </c>
      <c r="AI739" s="25" t="s">
        <v>1016</v>
      </c>
      <c r="AJ739" s="25"/>
      <c r="AK739" s="25"/>
      <c r="AL739" s="25"/>
      <c r="AM739" s="25"/>
      <c r="AN739" s="25">
        <v>-127</v>
      </c>
      <c r="AO739" s="25">
        <v>-104</v>
      </c>
      <c r="AP739" s="25"/>
      <c r="AQ739" s="25"/>
      <c r="AR739" s="25"/>
      <c r="AS739" s="25"/>
      <c r="AT739" s="25"/>
      <c r="AU739" s="25"/>
      <c r="AV739" s="25"/>
      <c r="AW739" s="25"/>
      <c r="AX739" s="25">
        <v>-121</v>
      </c>
      <c r="AY739" s="25">
        <v>530</v>
      </c>
      <c r="AZ739" s="25">
        <v>-126</v>
      </c>
      <c r="BA739" s="25">
        <v>540</v>
      </c>
      <c r="BB739" s="25">
        <v>-120</v>
      </c>
      <c r="BC739" s="25">
        <v>-110</v>
      </c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R739" s="1">
        <v>1000</v>
      </c>
      <c r="BS739" s="1">
        <v>1000</v>
      </c>
    </row>
    <row r="740" spans="1:73" ht="15" customHeight="1" x14ac:dyDescent="0.25">
      <c r="A740" s="1">
        <f t="shared" si="47"/>
        <v>360</v>
      </c>
      <c r="B740" s="1" t="str">
        <f t="shared" si="44"/>
        <v xml:space="preserve">Toledo </v>
      </c>
      <c r="C740" s="1">
        <f t="shared" si="45"/>
        <v>0</v>
      </c>
      <c r="D740" s="2" t="str">
        <f t="shared" si="46"/>
        <v>2026-01</v>
      </c>
      <c r="E740" s="100" t="s">
        <v>689</v>
      </c>
      <c r="F740" s="101" t="s">
        <v>805</v>
      </c>
      <c r="G740" s="5">
        <v>46046</v>
      </c>
      <c r="H740" s="123">
        <v>200</v>
      </c>
      <c r="I740" s="6">
        <v>-265</v>
      </c>
      <c r="J740" s="115">
        <v>255</v>
      </c>
      <c r="K740" s="17">
        <v>0.11702586206896542</v>
      </c>
      <c r="L740" s="111">
        <v>3.2965031568722658E-2</v>
      </c>
      <c r="M740" s="16">
        <v>217.80821917808223</v>
      </c>
      <c r="N740" s="112">
        <v>3.55</v>
      </c>
      <c r="O740" s="113">
        <v>13161.355246441848</v>
      </c>
      <c r="P740" s="13" t="s">
        <v>506</v>
      </c>
      <c r="Q740" s="13" t="s">
        <v>81</v>
      </c>
      <c r="R740" s="14" t="s">
        <v>1017</v>
      </c>
      <c r="S740" s="13">
        <v>250</v>
      </c>
      <c r="T740" s="13">
        <v>175</v>
      </c>
      <c r="U740" s="104">
        <v>175</v>
      </c>
      <c r="V740" s="31" t="s">
        <v>77</v>
      </c>
      <c r="W740" s="15"/>
      <c r="X740" s="15"/>
      <c r="Y740" s="16"/>
      <c r="Z740" s="17"/>
      <c r="AA740" s="16"/>
      <c r="AB740" s="24">
        <v>446.25</v>
      </c>
      <c r="AC740" s="20">
        <v>20.47952586206895</v>
      </c>
      <c r="AD740" s="21">
        <v>46046</v>
      </c>
      <c r="AE740" s="22">
        <v>616980.95338734076</v>
      </c>
      <c r="AF740" s="23">
        <v>474019.56593333365</v>
      </c>
      <c r="AG740" s="24">
        <v>573573.31593333359</v>
      </c>
      <c r="AH740" s="15">
        <v>0.5</v>
      </c>
      <c r="AI740" s="25" t="s">
        <v>1018</v>
      </c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</row>
    <row r="741" spans="1:73" ht="15" customHeight="1" x14ac:dyDescent="0.25">
      <c r="A741" s="1">
        <f t="shared" si="47"/>
        <v>361</v>
      </c>
      <c r="B741" s="1" t="str">
        <f t="shared" si="44"/>
        <v xml:space="preserve">Towson </v>
      </c>
      <c r="C741" s="1">
        <f t="shared" si="45"/>
        <v>1</v>
      </c>
      <c r="D741" s="2" t="str">
        <f t="shared" si="46"/>
        <v>2026-01</v>
      </c>
      <c r="E741" s="3" t="s">
        <v>1019</v>
      </c>
      <c r="F741" s="4" t="s">
        <v>805</v>
      </c>
      <c r="G741" s="39">
        <v>46046</v>
      </c>
      <c r="H741" s="40">
        <v>-106</v>
      </c>
      <c r="I741" s="40">
        <v>-139</v>
      </c>
      <c r="J741" s="7">
        <v>-105</v>
      </c>
      <c r="K741" s="8">
        <v>-8.3500981181087938E-2</v>
      </c>
      <c r="L741" s="9">
        <v>-4.2768795239093826E-2</v>
      </c>
      <c r="M741" s="10">
        <v>113.02597300071051</v>
      </c>
      <c r="N741" s="11">
        <v>1.9523809523809523</v>
      </c>
      <c r="O741" s="12">
        <v>-25315.058627925406</v>
      </c>
      <c r="P741" s="32" t="s">
        <v>506</v>
      </c>
      <c r="Q741" s="81" t="s">
        <v>92</v>
      </c>
      <c r="R741" s="82" t="s">
        <v>1020</v>
      </c>
      <c r="S741" s="32">
        <v>475</v>
      </c>
      <c r="T741" s="32">
        <v>332.5</v>
      </c>
      <c r="U741" s="32">
        <v>332.5</v>
      </c>
      <c r="V741" s="74" t="s">
        <v>77</v>
      </c>
      <c r="W741" s="15"/>
      <c r="X741" s="15"/>
      <c r="Y741" s="16"/>
      <c r="Z741" s="17"/>
      <c r="AA741" s="16"/>
      <c r="AB741" s="99">
        <v>316.67</v>
      </c>
      <c r="AC741" s="20">
        <v>-27.764076242711738</v>
      </c>
      <c r="AD741" s="21">
        <v>46046</v>
      </c>
      <c r="AE741" s="22">
        <v>612820.13189188391</v>
      </c>
      <c r="AF741" s="23">
        <v>477784.84593333368</v>
      </c>
      <c r="AG741" s="24">
        <v>577468.17593333381</v>
      </c>
      <c r="AH741" s="15">
        <v>0.5</v>
      </c>
      <c r="AI741" s="25" t="s">
        <v>1021</v>
      </c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</row>
    <row r="742" spans="1:73" ht="15" customHeight="1" x14ac:dyDescent="0.25">
      <c r="A742" s="1">
        <f t="shared" si="47"/>
        <v>362</v>
      </c>
      <c r="B742" s="1" t="str">
        <f t="shared" si="44"/>
        <v xml:space="preserve">Tulsa </v>
      </c>
      <c r="C742" s="1">
        <f t="shared" si="45"/>
        <v>1</v>
      </c>
      <c r="D742" s="2" t="str">
        <f t="shared" si="46"/>
        <v>2026-01</v>
      </c>
      <c r="E742" s="100" t="s">
        <v>1022</v>
      </c>
      <c r="F742" s="101" t="s">
        <v>805</v>
      </c>
      <c r="G742" s="5">
        <v>46046</v>
      </c>
      <c r="H742" s="6">
        <v>105</v>
      </c>
      <c r="I742" s="6">
        <v>-105</v>
      </c>
      <c r="J742" s="115">
        <v>118</v>
      </c>
      <c r="K742" s="121">
        <v>6.3414634146341367E-2</v>
      </c>
      <c r="L742" s="117">
        <v>2.9089281718505222E-2</v>
      </c>
      <c r="M742" s="118">
        <v>104.99999999999997</v>
      </c>
      <c r="N742" s="116">
        <v>2.1799999999999997</v>
      </c>
      <c r="O742" s="12">
        <v>15412.889907261946</v>
      </c>
      <c r="P742" s="13" t="s">
        <v>506</v>
      </c>
      <c r="Q742" s="13" t="s">
        <v>92</v>
      </c>
      <c r="R742" s="14" t="s">
        <v>1023</v>
      </c>
      <c r="S742" s="13">
        <v>375</v>
      </c>
      <c r="T742" s="13">
        <v>262.5</v>
      </c>
      <c r="U742" s="13">
        <v>262.5</v>
      </c>
      <c r="V742" s="31" t="s">
        <v>77</v>
      </c>
      <c r="W742" s="105"/>
      <c r="X742" s="105"/>
      <c r="Y742" s="114"/>
      <c r="Z742" s="8"/>
      <c r="AA742" s="10"/>
      <c r="AB742" s="106">
        <v>309.75</v>
      </c>
      <c r="AC742" s="107">
        <v>16.646341463414608</v>
      </c>
      <c r="AD742" s="108">
        <v>46046</v>
      </c>
      <c r="AE742" s="109">
        <v>614948.33848605852</v>
      </c>
      <c r="AF742" s="110">
        <v>473906.37593333365</v>
      </c>
      <c r="AG742" s="106">
        <v>573596.62593333377</v>
      </c>
      <c r="AH742" s="15">
        <v>0.5</v>
      </c>
      <c r="AI742" s="25" t="s">
        <v>1024</v>
      </c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</row>
    <row r="743" spans="1:73" ht="15" customHeight="1" x14ac:dyDescent="0.25">
      <c r="A743" s="1">
        <f t="shared" si="47"/>
        <v>362</v>
      </c>
      <c r="B743" s="1" t="str">
        <f t="shared" si="44"/>
        <v xml:space="preserve">Tulsa </v>
      </c>
      <c r="C743" s="1">
        <f t="shared" si="45"/>
        <v>1</v>
      </c>
      <c r="D743" s="2" t="str">
        <f t="shared" si="46"/>
        <v>2026-01</v>
      </c>
      <c r="E743" s="100" t="s">
        <v>1025</v>
      </c>
      <c r="F743" s="101" t="s">
        <v>805</v>
      </c>
      <c r="G743" s="5">
        <v>46046</v>
      </c>
      <c r="H743" s="6">
        <v>-120</v>
      </c>
      <c r="I743" s="6">
        <v>-110</v>
      </c>
      <c r="J743" s="115">
        <v>120</v>
      </c>
      <c r="K743" s="17">
        <v>0.12226720647773291</v>
      </c>
      <c r="L743" s="111">
        <v>5.5576002944424052E-2</v>
      </c>
      <c r="M743" s="16">
        <v>-104.13223140495869</v>
      </c>
      <c r="N743" s="112">
        <v>2.2000000000000002</v>
      </c>
      <c r="O743" s="113">
        <v>29236.835798223165</v>
      </c>
      <c r="P743" s="13" t="s">
        <v>506</v>
      </c>
      <c r="Q743" s="13" t="s">
        <v>92</v>
      </c>
      <c r="R743" s="14" t="s">
        <v>1023</v>
      </c>
      <c r="S743" s="13">
        <v>375</v>
      </c>
      <c r="T743" s="13">
        <v>262.5</v>
      </c>
      <c r="U743" s="104">
        <v>262.5</v>
      </c>
      <c r="V743" s="31" t="s">
        <v>77</v>
      </c>
      <c r="W743" s="15"/>
      <c r="X743" s="15"/>
      <c r="Y743" s="16"/>
      <c r="Z743" s="17"/>
      <c r="AA743" s="16"/>
      <c r="AB743" s="24">
        <v>315</v>
      </c>
      <c r="AC743" s="20">
        <v>32.095141700404888</v>
      </c>
      <c r="AD743" s="21">
        <v>46046</v>
      </c>
      <c r="AE743" s="22">
        <v>616636.77857202932</v>
      </c>
      <c r="AF743" s="23">
        <v>474208.91593333363</v>
      </c>
      <c r="AG743" s="24">
        <v>573893.91593333369</v>
      </c>
      <c r="AH743" s="15">
        <v>0.5</v>
      </c>
      <c r="AI743" s="25" t="s">
        <v>1026</v>
      </c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</row>
    <row r="744" spans="1:73" ht="15" customHeight="1" x14ac:dyDescent="0.25">
      <c r="A744" s="1">
        <f t="shared" si="47"/>
        <v>363</v>
      </c>
      <c r="B744" s="1" t="str">
        <f t="shared" si="44"/>
        <v xml:space="preserve">UC </v>
      </c>
      <c r="C744" s="1">
        <f t="shared" si="45"/>
        <v>0</v>
      </c>
      <c r="D744" s="2" t="str">
        <f t="shared" si="46"/>
        <v>2026-01</v>
      </c>
      <c r="E744" s="28" t="s">
        <v>1027</v>
      </c>
      <c r="F744" s="29" t="s">
        <v>805</v>
      </c>
      <c r="G744" s="102">
        <v>46046</v>
      </c>
      <c r="H744" s="6">
        <v>-132</v>
      </c>
      <c r="I744" s="6">
        <v>132</v>
      </c>
      <c r="J744" s="115">
        <v>-115</v>
      </c>
      <c r="K744" s="8">
        <v>6.3718140929535164E-2</v>
      </c>
      <c r="L744" s="9">
        <v>3.4081796311146717E-2</v>
      </c>
      <c r="M744" s="10">
        <v>-132.00000000000003</v>
      </c>
      <c r="N744" s="11">
        <v>1.8695652173913042</v>
      </c>
      <c r="O744" s="12">
        <v>21007.755713074697</v>
      </c>
      <c r="P744" s="13" t="s">
        <v>506</v>
      </c>
      <c r="Q744" s="13" t="s">
        <v>81</v>
      </c>
      <c r="R744" s="14" t="s">
        <v>1028</v>
      </c>
      <c r="S744" s="13">
        <v>800</v>
      </c>
      <c r="T744" s="13">
        <v>560</v>
      </c>
      <c r="U744" s="104">
        <v>560</v>
      </c>
      <c r="V744" s="31" t="s">
        <v>77</v>
      </c>
      <c r="W744" s="15"/>
      <c r="X744" s="15"/>
      <c r="Y744" s="16"/>
      <c r="Z744" s="17"/>
      <c r="AA744" s="16"/>
      <c r="AB744" s="24">
        <v>486.96</v>
      </c>
      <c r="AC744" s="20">
        <v>35.682158920539692</v>
      </c>
      <c r="AD744" s="21">
        <v>46046</v>
      </c>
      <c r="AE744" s="22">
        <v>617942.00085668603</v>
      </c>
      <c r="AF744" s="23">
        <v>473875.1159333337</v>
      </c>
      <c r="AG744" s="24">
        <v>573388.15593333344</v>
      </c>
      <c r="AH744" s="15">
        <v>0.5</v>
      </c>
      <c r="AI744" s="25" t="s">
        <v>1029</v>
      </c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</row>
    <row r="745" spans="1:73" ht="15" customHeight="1" x14ac:dyDescent="0.25">
      <c r="A745" s="1">
        <f t="shared" si="47"/>
        <v>364</v>
      </c>
      <c r="B745" s="1" t="str">
        <f t="shared" si="44"/>
        <v xml:space="preserve">UT </v>
      </c>
      <c r="C745" s="1">
        <f t="shared" si="45"/>
        <v>1</v>
      </c>
      <c r="D745" s="2" t="str">
        <f t="shared" si="46"/>
        <v>2026-01</v>
      </c>
      <c r="E745" s="3" t="s">
        <v>1030</v>
      </c>
      <c r="F745" s="4" t="s">
        <v>805</v>
      </c>
      <c r="G745" s="39">
        <v>46046</v>
      </c>
      <c r="H745" s="40">
        <v>-120</v>
      </c>
      <c r="I745" s="40">
        <v>-110</v>
      </c>
      <c r="J745" s="7">
        <v>116</v>
      </c>
      <c r="K745" s="8">
        <v>0.10186234817813787</v>
      </c>
      <c r="L745" s="9">
        <v>4.7158494526915673E-2</v>
      </c>
      <c r="M745" s="10">
        <v>-104.13223140495869</v>
      </c>
      <c r="N745" s="11">
        <v>2.16</v>
      </c>
      <c r="O745" s="12">
        <v>25206.414366331679</v>
      </c>
      <c r="P745" s="32" t="s">
        <v>506</v>
      </c>
      <c r="Q745" s="81" t="s">
        <v>92</v>
      </c>
      <c r="R745" s="82" t="s">
        <v>1031</v>
      </c>
      <c r="S745" s="32">
        <v>375</v>
      </c>
      <c r="T745" s="32">
        <v>262.5</v>
      </c>
      <c r="U745" s="32">
        <v>262.5</v>
      </c>
      <c r="V745" s="74" t="s">
        <v>77</v>
      </c>
      <c r="W745" s="15"/>
      <c r="X745" s="15"/>
      <c r="Y745" s="16"/>
      <c r="Z745" s="17"/>
      <c r="AA745" s="16"/>
      <c r="AB745" s="99">
        <v>304.5</v>
      </c>
      <c r="AC745" s="20">
        <v>26.738866396761193</v>
      </c>
      <c r="AD745" s="21">
        <v>46046</v>
      </c>
      <c r="AE745" s="22">
        <v>614868.50717842183</v>
      </c>
      <c r="AF745" s="23">
        <v>474401.62593333365</v>
      </c>
      <c r="AG745" s="24">
        <v>574097.12593333377</v>
      </c>
      <c r="AH745" s="15">
        <v>0.5</v>
      </c>
      <c r="AI745" s="25" t="s">
        <v>1032</v>
      </c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</row>
    <row r="746" spans="1:73" ht="15" customHeight="1" x14ac:dyDescent="0.25">
      <c r="A746" s="1">
        <f t="shared" si="47"/>
        <v>365</v>
      </c>
      <c r="B746" s="1" t="str">
        <f t="shared" si="44"/>
        <v xml:space="preserve">Utah </v>
      </c>
      <c r="C746" s="1">
        <f t="shared" si="45"/>
        <v>0</v>
      </c>
      <c r="D746" s="2" t="str">
        <f t="shared" si="46"/>
        <v>2026-01</v>
      </c>
      <c r="E746" s="100" t="s">
        <v>1033</v>
      </c>
      <c r="F746" s="101" t="s">
        <v>814</v>
      </c>
      <c r="G746" s="102">
        <v>46046</v>
      </c>
      <c r="H746" s="6">
        <v>-118</v>
      </c>
      <c r="I746" s="6">
        <v>-101</v>
      </c>
      <c r="J746" s="115">
        <v>117</v>
      </c>
      <c r="K746" s="8">
        <v>0.12532928109148128</v>
      </c>
      <c r="L746" s="117">
        <v>5.7755429074415332E-2</v>
      </c>
      <c r="M746" s="118">
        <v>-107.72095558179666</v>
      </c>
      <c r="N746" s="116">
        <v>2.17</v>
      </c>
      <c r="O746" s="119">
        <v>30728.579450306945</v>
      </c>
      <c r="P746" s="13" t="s">
        <v>506</v>
      </c>
      <c r="Q746" s="13" t="s">
        <v>76</v>
      </c>
      <c r="R746" s="14" t="s">
        <v>550</v>
      </c>
      <c r="S746" s="13">
        <v>575</v>
      </c>
      <c r="T746" s="13">
        <v>402.5</v>
      </c>
      <c r="U746" s="104">
        <v>402.5</v>
      </c>
      <c r="V746" s="31" t="s">
        <v>82</v>
      </c>
      <c r="W746" s="105"/>
      <c r="X746" s="105"/>
      <c r="Y746" s="10"/>
      <c r="Z746" s="8"/>
      <c r="AA746" s="10"/>
      <c r="AB746" s="106">
        <v>-402.5</v>
      </c>
      <c r="AC746" s="107">
        <v>50.445035639321219</v>
      </c>
      <c r="AD746" s="108">
        <v>46046</v>
      </c>
      <c r="AE746" s="109">
        <v>616305.65153870615</v>
      </c>
      <c r="AF746" s="110">
        <v>473325.16593333363</v>
      </c>
      <c r="AG746" s="24">
        <v>573727.66593333369</v>
      </c>
      <c r="AH746" s="15">
        <v>0.5</v>
      </c>
      <c r="AI746" s="25" t="s">
        <v>1034</v>
      </c>
      <c r="AJ746" s="25">
        <v>-118</v>
      </c>
      <c r="AK746" s="25">
        <v>3000</v>
      </c>
      <c r="AL746" s="25">
        <v>-104</v>
      </c>
      <c r="AM746" s="25">
        <v>3000</v>
      </c>
      <c r="AN746" s="25">
        <v>-142</v>
      </c>
      <c r="AO746" s="25">
        <v>-101</v>
      </c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>
        <v>-120</v>
      </c>
      <c r="BC746" s="25">
        <v>-110</v>
      </c>
      <c r="BD746" s="25"/>
      <c r="BE746" s="25"/>
      <c r="BF746" s="25"/>
      <c r="BG746" s="25"/>
      <c r="BH746" s="25">
        <v>-121</v>
      </c>
      <c r="BI746" s="25">
        <v>164</v>
      </c>
      <c r="BJ746" s="25">
        <v>-111</v>
      </c>
      <c r="BK746" s="25">
        <v>158</v>
      </c>
      <c r="BL746" s="25"/>
      <c r="BM746" s="25"/>
      <c r="BN746" s="25"/>
      <c r="BO746" s="25"/>
      <c r="BP746" s="25">
        <v>-120</v>
      </c>
      <c r="BQ746" s="1">
        <v>-110</v>
      </c>
      <c r="BR746" s="1">
        <v>1000</v>
      </c>
      <c r="BS746" s="1">
        <v>1000</v>
      </c>
      <c r="BT746" s="1">
        <v>-115</v>
      </c>
      <c r="BU746" s="1">
        <v>-115</v>
      </c>
    </row>
    <row r="747" spans="1:73" ht="15" customHeight="1" x14ac:dyDescent="0.25">
      <c r="A747" s="1">
        <f t="shared" si="47"/>
        <v>365</v>
      </c>
      <c r="B747" s="1" t="str">
        <f t="shared" si="44"/>
        <v xml:space="preserve">Utah </v>
      </c>
      <c r="C747" s="1">
        <f t="shared" si="45"/>
        <v>0</v>
      </c>
      <c r="D747" s="2" t="str">
        <f t="shared" si="46"/>
        <v>2026-01</v>
      </c>
      <c r="E747" s="100" t="s">
        <v>1035</v>
      </c>
      <c r="F747" s="101" t="s">
        <v>814</v>
      </c>
      <c r="G747" s="102">
        <v>46046</v>
      </c>
      <c r="H747" s="6">
        <v>-143</v>
      </c>
      <c r="I747" s="6">
        <v>116</v>
      </c>
      <c r="J747" s="115">
        <v>-110</v>
      </c>
      <c r="K747" s="8">
        <v>6.84931506849316E-2</v>
      </c>
      <c r="L747" s="9">
        <v>3.5877364644487986E-2</v>
      </c>
      <c r="M747" s="10">
        <v>-127.11111111111116</v>
      </c>
      <c r="N747" s="11">
        <v>1.9090909090909092</v>
      </c>
      <c r="O747" s="12">
        <v>21597.865839954378</v>
      </c>
      <c r="P747" s="13" t="s">
        <v>506</v>
      </c>
      <c r="Q747" s="13" t="s">
        <v>76</v>
      </c>
      <c r="R747" s="14" t="s">
        <v>550</v>
      </c>
      <c r="S747" s="13">
        <v>750</v>
      </c>
      <c r="T747" s="13">
        <v>525</v>
      </c>
      <c r="U747" s="104">
        <v>525</v>
      </c>
      <c r="V747" s="74" t="s">
        <v>82</v>
      </c>
      <c r="W747" s="105"/>
      <c r="X747" s="105"/>
      <c r="Y747" s="10"/>
      <c r="Z747" s="8"/>
      <c r="AA747" s="10"/>
      <c r="AB747" s="106">
        <v>-525</v>
      </c>
      <c r="AC747" s="107">
        <v>35.958904109589092</v>
      </c>
      <c r="AD747" s="108">
        <v>46046</v>
      </c>
      <c r="AE747" s="109">
        <v>616341.6104428157</v>
      </c>
      <c r="AF747" s="110">
        <v>472800.16593333363</v>
      </c>
      <c r="AG747" s="24">
        <v>573325.16593333369</v>
      </c>
      <c r="AH747" s="15">
        <v>0.5</v>
      </c>
      <c r="AI747" s="25" t="s">
        <v>1036</v>
      </c>
      <c r="AJ747" s="25">
        <v>-143</v>
      </c>
      <c r="AK747" s="25">
        <v>3000</v>
      </c>
      <c r="AL747" s="25">
        <v>116</v>
      </c>
      <c r="AM747" s="25">
        <v>3000</v>
      </c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>
        <v>-145</v>
      </c>
      <c r="BQ747" s="1">
        <v>105</v>
      </c>
      <c r="BT747" s="1">
        <v>-140</v>
      </c>
      <c r="BU747" s="1">
        <v>100</v>
      </c>
    </row>
    <row r="748" spans="1:73" ht="15" customHeight="1" x14ac:dyDescent="0.25">
      <c r="A748" s="1">
        <f t="shared" si="47"/>
        <v>365</v>
      </c>
      <c r="B748" s="1" t="str">
        <f t="shared" si="44"/>
        <v xml:space="preserve">Utah </v>
      </c>
      <c r="C748" s="1">
        <f t="shared" si="45"/>
        <v>0</v>
      </c>
      <c r="D748" s="2" t="str">
        <f t="shared" si="46"/>
        <v>2026-01</v>
      </c>
      <c r="E748" s="100" t="s">
        <v>1037</v>
      </c>
      <c r="F748" s="101" t="s">
        <v>805</v>
      </c>
      <c r="G748" s="5">
        <v>46046</v>
      </c>
      <c r="H748" s="6">
        <v>-123</v>
      </c>
      <c r="I748" s="6">
        <v>-107</v>
      </c>
      <c r="J748" s="115">
        <v>125</v>
      </c>
      <c r="K748" s="17">
        <v>0.16149487044321004</v>
      </c>
      <c r="L748" s="111">
        <v>7.1775497974760016E-2</v>
      </c>
      <c r="M748" s="16">
        <v>-106.7055027031558</v>
      </c>
      <c r="N748" s="112">
        <v>2.25</v>
      </c>
      <c r="O748" s="113">
        <v>37080.486172908546</v>
      </c>
      <c r="P748" s="13" t="s">
        <v>506</v>
      </c>
      <c r="Q748" s="13" t="s">
        <v>76</v>
      </c>
      <c r="R748" s="14" t="s">
        <v>550</v>
      </c>
      <c r="S748" s="13">
        <v>1840</v>
      </c>
      <c r="T748" s="13">
        <v>1288</v>
      </c>
      <c r="U748" s="104">
        <v>1288</v>
      </c>
      <c r="V748" s="31" t="s">
        <v>82</v>
      </c>
      <c r="W748" s="15"/>
      <c r="X748" s="15"/>
      <c r="Y748" s="16"/>
      <c r="Z748" s="17"/>
      <c r="AA748" s="16"/>
      <c r="AB748" s="24">
        <v>-1288</v>
      </c>
      <c r="AC748" s="20">
        <v>208.00539313085451</v>
      </c>
      <c r="AD748" s="21">
        <v>46046</v>
      </c>
      <c r="AE748" s="22">
        <v>617188.95878047158</v>
      </c>
      <c r="AF748" s="23">
        <v>472731.56593333365</v>
      </c>
      <c r="AG748" s="24">
        <v>574019.56593333359</v>
      </c>
      <c r="AH748" s="15">
        <v>0.5</v>
      </c>
      <c r="AI748" s="25" t="s">
        <v>1038</v>
      </c>
      <c r="AJ748" s="25"/>
      <c r="AK748" s="25"/>
      <c r="AL748" s="25"/>
      <c r="AM748" s="25"/>
      <c r="AN748" s="25">
        <v>-123</v>
      </c>
      <c r="AO748" s="25">
        <v>-107</v>
      </c>
      <c r="AP748" s="25"/>
      <c r="AQ748" s="25"/>
      <c r="AR748" s="25"/>
      <c r="AS748" s="25"/>
      <c r="AT748" s="25"/>
      <c r="AU748" s="25"/>
      <c r="AV748" s="25"/>
      <c r="AW748" s="25"/>
      <c r="AX748" s="25">
        <v>-107</v>
      </c>
      <c r="AY748" s="25">
        <v>1900</v>
      </c>
      <c r="AZ748" s="25">
        <v>-121</v>
      </c>
      <c r="BA748" s="25">
        <v>143</v>
      </c>
      <c r="BB748" s="25">
        <v>-102</v>
      </c>
      <c r="BC748" s="25">
        <v>-130</v>
      </c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>
        <v>-105</v>
      </c>
      <c r="BQ748" s="1">
        <v>-125</v>
      </c>
      <c r="BR748" s="1">
        <v>1000</v>
      </c>
      <c r="BS748" s="1">
        <v>1000</v>
      </c>
      <c r="BT748" s="1">
        <v>-115</v>
      </c>
      <c r="BU748" s="1">
        <v>-115</v>
      </c>
    </row>
    <row r="749" spans="1:73" ht="15" customHeight="1" x14ac:dyDescent="0.25">
      <c r="A749" s="1">
        <f t="shared" si="47"/>
        <v>365</v>
      </c>
      <c r="B749" s="1" t="str">
        <f t="shared" si="44"/>
        <v xml:space="preserve">Utah </v>
      </c>
      <c r="C749" s="1">
        <f t="shared" si="45"/>
        <v>0</v>
      </c>
      <c r="D749" s="2" t="str">
        <f t="shared" si="46"/>
        <v>2026-01</v>
      </c>
      <c r="E749" s="100" t="s">
        <v>1037</v>
      </c>
      <c r="F749" s="101" t="s">
        <v>1039</v>
      </c>
      <c r="G749" s="5">
        <v>46046</v>
      </c>
      <c r="H749" s="6">
        <v>-102</v>
      </c>
      <c r="I749" s="6">
        <v>-122</v>
      </c>
      <c r="J749" s="115">
        <v>133</v>
      </c>
      <c r="K749" s="8">
        <v>0.1157274572830317</v>
      </c>
      <c r="L749" s="9">
        <v>4.9668436602159527E-2</v>
      </c>
      <c r="M749" s="10">
        <v>108.83236177353822</v>
      </c>
      <c r="N749" s="11">
        <v>2.33</v>
      </c>
      <c r="O749" s="12">
        <v>24917.581891426209</v>
      </c>
      <c r="P749" s="13" t="s">
        <v>506</v>
      </c>
      <c r="Q749" s="13" t="s">
        <v>76</v>
      </c>
      <c r="R749" s="14" t="s">
        <v>550</v>
      </c>
      <c r="S749" s="13">
        <v>400</v>
      </c>
      <c r="T749" s="13">
        <v>280</v>
      </c>
      <c r="U749" s="104">
        <v>280</v>
      </c>
      <c r="V749" s="31" t="s">
        <v>82</v>
      </c>
      <c r="W749" s="15"/>
      <c r="X749" s="15"/>
      <c r="Y749" s="16"/>
      <c r="Z749" s="17"/>
      <c r="AA749" s="16"/>
      <c r="AB749" s="24">
        <v>-280</v>
      </c>
      <c r="AC749" s="20">
        <v>32.403688039248877</v>
      </c>
      <c r="AD749" s="21">
        <v>46046</v>
      </c>
      <c r="AE749" s="22">
        <v>617221.36246851087</v>
      </c>
      <c r="AF749" s="23">
        <v>472451.56593333365</v>
      </c>
      <c r="AG749" s="24">
        <v>572731.56593333359</v>
      </c>
      <c r="AH749" s="15">
        <v>0.5</v>
      </c>
      <c r="AI749" s="25" t="s">
        <v>1040</v>
      </c>
      <c r="AJ749" s="25"/>
      <c r="AK749" s="25"/>
      <c r="AL749" s="25"/>
      <c r="AM749" s="25"/>
      <c r="AN749" s="25">
        <v>-102</v>
      </c>
      <c r="AO749" s="25">
        <v>-138</v>
      </c>
      <c r="AP749" s="25"/>
      <c r="AQ749" s="25"/>
      <c r="AR749" s="25"/>
      <c r="AS749" s="25"/>
      <c r="AT749" s="25"/>
      <c r="AU749" s="25"/>
      <c r="AV749" s="25"/>
      <c r="AW749" s="25"/>
      <c r="AX749" s="25">
        <v>-107</v>
      </c>
      <c r="AY749" s="25">
        <v>1500</v>
      </c>
      <c r="AZ749" s="25">
        <v>-126</v>
      </c>
      <c r="BA749" s="25">
        <v>451</v>
      </c>
      <c r="BB749" s="25">
        <v>-102</v>
      </c>
      <c r="BC749" s="25">
        <v>-130</v>
      </c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>
        <v>-105</v>
      </c>
      <c r="BQ749" s="1">
        <v>-125</v>
      </c>
      <c r="BR749" s="1">
        <v>250</v>
      </c>
      <c r="BS749" s="1">
        <v>287</v>
      </c>
      <c r="BT749" s="1">
        <v>-115</v>
      </c>
      <c r="BU749" s="1">
        <v>-115</v>
      </c>
    </row>
    <row r="750" spans="1:73" ht="15" customHeight="1" x14ac:dyDescent="0.25">
      <c r="A750" s="1">
        <f t="shared" si="47"/>
        <v>366</v>
      </c>
      <c r="B750" s="1" t="str">
        <f t="shared" si="44"/>
        <v xml:space="preserve">Vanderbilt </v>
      </c>
      <c r="C750" s="1">
        <f t="shared" si="45"/>
        <v>1</v>
      </c>
      <c r="D750" s="2" t="str">
        <f t="shared" si="46"/>
        <v>2026-01</v>
      </c>
      <c r="E750" s="3" t="s">
        <v>1041</v>
      </c>
      <c r="F750" s="4" t="s">
        <v>805</v>
      </c>
      <c r="G750" s="39">
        <v>46046</v>
      </c>
      <c r="H750" s="40">
        <v>150</v>
      </c>
      <c r="I750" s="40">
        <v>-150</v>
      </c>
      <c r="J750" s="7">
        <v>120</v>
      </c>
      <c r="K750" s="8">
        <v>-0.11999999999999993</v>
      </c>
      <c r="L750" s="9">
        <v>-5.4545454545454508E-2</v>
      </c>
      <c r="M750" s="10">
        <v>150</v>
      </c>
      <c r="N750" s="11">
        <v>2.2000000000000002</v>
      </c>
      <c r="O750" s="12">
        <v>-28842.171296666667</v>
      </c>
      <c r="P750" s="32" t="s">
        <v>506</v>
      </c>
      <c r="Q750" s="81" t="s">
        <v>92</v>
      </c>
      <c r="R750" s="82" t="s">
        <v>1042</v>
      </c>
      <c r="S750" s="32">
        <v>375</v>
      </c>
      <c r="T750" s="32">
        <v>262.5</v>
      </c>
      <c r="U750" s="32">
        <v>262.5</v>
      </c>
      <c r="V750" s="74" t="s">
        <v>77</v>
      </c>
      <c r="W750" s="15"/>
      <c r="X750" s="15"/>
      <c r="Y750" s="16"/>
      <c r="Z750" s="17"/>
      <c r="AA750" s="16"/>
      <c r="AB750" s="99">
        <v>315</v>
      </c>
      <c r="AC750" s="20">
        <v>-31.499999999999982</v>
      </c>
      <c r="AD750" s="21">
        <v>46046</v>
      </c>
      <c r="AE750" s="22">
        <v>612817.20647046098</v>
      </c>
      <c r="AF750" s="23">
        <v>477158.4259333337</v>
      </c>
      <c r="AG750" s="24">
        <v>576843.42593333381</v>
      </c>
      <c r="AH750" s="15">
        <v>0.5</v>
      </c>
      <c r="AI750" s="25" t="s">
        <v>1043</v>
      </c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</row>
    <row r="751" spans="1:73" ht="15" customHeight="1" x14ac:dyDescent="0.25">
      <c r="A751" s="1">
        <f t="shared" si="47"/>
        <v>367</v>
      </c>
      <c r="B751" s="1" t="str">
        <f t="shared" si="44"/>
        <v xml:space="preserve">VCU </v>
      </c>
      <c r="C751" s="1">
        <f t="shared" si="45"/>
        <v>0</v>
      </c>
      <c r="D751" s="2" t="str">
        <f t="shared" si="46"/>
        <v>2026-01</v>
      </c>
      <c r="E751" s="100" t="s">
        <v>1044</v>
      </c>
      <c r="F751" s="101" t="s">
        <v>805</v>
      </c>
      <c r="G751" s="102">
        <v>46046</v>
      </c>
      <c r="H751" s="6">
        <v>-139</v>
      </c>
      <c r="I751" s="6">
        <v>124</v>
      </c>
      <c r="J751" s="115">
        <v>-109</v>
      </c>
      <c r="K751" s="8">
        <v>8.4765201226086689E-2</v>
      </c>
      <c r="L751" s="9">
        <v>4.4207688677719847E-2</v>
      </c>
      <c r="M751" s="10">
        <v>-130.27615062761507</v>
      </c>
      <c r="N751" s="11">
        <v>1.9174311926605505</v>
      </c>
      <c r="O751" s="12">
        <v>26477.038415046576</v>
      </c>
      <c r="P751" s="13" t="s">
        <v>506</v>
      </c>
      <c r="Q751" s="13" t="s">
        <v>81</v>
      </c>
      <c r="R751" s="14" t="s">
        <v>1045</v>
      </c>
      <c r="S751" s="13">
        <v>625</v>
      </c>
      <c r="T751" s="13">
        <v>437.5</v>
      </c>
      <c r="U751" s="13">
        <v>437.5</v>
      </c>
      <c r="V751" s="31" t="s">
        <v>77</v>
      </c>
      <c r="W751" s="105"/>
      <c r="X751" s="105"/>
      <c r="Y751" s="114"/>
      <c r="Z751" s="8"/>
      <c r="AA751" s="10"/>
      <c r="AB751" s="106">
        <v>401.38</v>
      </c>
      <c r="AC751" s="107">
        <v>37.084775536412927</v>
      </c>
      <c r="AD751" s="108">
        <v>46046</v>
      </c>
      <c r="AE751" s="109">
        <v>615372.11736755259</v>
      </c>
      <c r="AF751" s="110">
        <v>473534.23593333369</v>
      </c>
      <c r="AG751" s="106">
        <v>573132.85593333375</v>
      </c>
      <c r="AH751" s="15">
        <v>0.5</v>
      </c>
      <c r="AI751" s="25" t="s">
        <v>1046</v>
      </c>
      <c r="AJ751" s="25">
        <v>-166</v>
      </c>
      <c r="AK751" s="25">
        <v>1500</v>
      </c>
      <c r="AL751" s="25">
        <v>124</v>
      </c>
      <c r="AM751" s="25">
        <v>1500</v>
      </c>
      <c r="AN751" s="25">
        <v>-139</v>
      </c>
      <c r="AO751" s="25">
        <v>105</v>
      </c>
      <c r="AP751" s="25">
        <v>-138</v>
      </c>
      <c r="AQ751" s="25">
        <v>218</v>
      </c>
      <c r="AR751" s="25">
        <v>108</v>
      </c>
      <c r="AS751" s="25">
        <v>147</v>
      </c>
      <c r="AT751" s="25"/>
      <c r="AU751" s="25"/>
      <c r="AV751" s="25"/>
      <c r="AW751" s="25"/>
      <c r="AX751" s="25">
        <v>-131</v>
      </c>
      <c r="AY751" s="25">
        <v>501</v>
      </c>
      <c r="AZ751" s="25">
        <v>114</v>
      </c>
      <c r="BA751" s="25">
        <v>1200</v>
      </c>
      <c r="BB751" s="25">
        <v>-138</v>
      </c>
      <c r="BC751" s="25">
        <v>108</v>
      </c>
      <c r="BD751" s="25"/>
      <c r="BE751" s="25"/>
      <c r="BF751" s="25"/>
      <c r="BG751" s="25"/>
      <c r="BH751" s="25">
        <v>-159</v>
      </c>
      <c r="BI751" s="25">
        <v>184</v>
      </c>
      <c r="BJ751" s="25">
        <v>118</v>
      </c>
      <c r="BK751" s="25">
        <v>137</v>
      </c>
      <c r="BL751" s="25"/>
      <c r="BM751" s="25"/>
      <c r="BN751" s="25"/>
      <c r="BO751" s="25"/>
      <c r="BP751" s="25">
        <v>-135</v>
      </c>
      <c r="BQ751" s="1">
        <v>105</v>
      </c>
      <c r="BR751" s="1">
        <v>1000</v>
      </c>
      <c r="BS751" s="1">
        <v>1000</v>
      </c>
      <c r="BT751" s="1">
        <v>-145</v>
      </c>
      <c r="BU751" s="1">
        <v>114</v>
      </c>
    </row>
    <row r="752" spans="1:73" ht="15" customHeight="1" x14ac:dyDescent="0.25">
      <c r="A752" s="1">
        <f t="shared" si="47"/>
        <v>367</v>
      </c>
      <c r="B752" s="1" t="str">
        <f t="shared" si="44"/>
        <v xml:space="preserve">VCU </v>
      </c>
      <c r="C752" s="1">
        <f t="shared" si="45"/>
        <v>0</v>
      </c>
      <c r="D752" s="2" t="str">
        <f t="shared" si="46"/>
        <v>2026-01</v>
      </c>
      <c r="E752" s="100" t="s">
        <v>1047</v>
      </c>
      <c r="F752" s="101" t="s">
        <v>805</v>
      </c>
      <c r="G752" s="102">
        <v>46046</v>
      </c>
      <c r="H752" s="6">
        <v>-136</v>
      </c>
      <c r="I752" s="6">
        <v>101</v>
      </c>
      <c r="J752" s="115">
        <v>107</v>
      </c>
      <c r="K752" s="121">
        <v>0.11091408826762995</v>
      </c>
      <c r="L752" s="117">
        <v>5.3581685153444414E-2</v>
      </c>
      <c r="M752" s="118">
        <v>-115.83050847457622</v>
      </c>
      <c r="N752" s="116">
        <v>2.0700000000000003</v>
      </c>
      <c r="O752" s="119">
        <v>29725.713490101618</v>
      </c>
      <c r="P752" s="13" t="s">
        <v>506</v>
      </c>
      <c r="Q752" s="13" t="s">
        <v>76</v>
      </c>
      <c r="R752" s="14" t="s">
        <v>1045</v>
      </c>
      <c r="S752" s="13">
        <v>650</v>
      </c>
      <c r="T752" s="13">
        <v>454.99999999999994</v>
      </c>
      <c r="U752" s="13">
        <v>454.99999999999994</v>
      </c>
      <c r="V752" s="37" t="s">
        <v>77</v>
      </c>
      <c r="W752" s="105"/>
      <c r="X752" s="105"/>
      <c r="Y752" s="114"/>
      <c r="Z752" s="8"/>
      <c r="AA752" s="10"/>
      <c r="AB752" s="106">
        <v>486.85</v>
      </c>
      <c r="AC752" s="107">
        <v>50.465910161771625</v>
      </c>
      <c r="AD752" s="108">
        <v>46046</v>
      </c>
      <c r="AE752" s="109">
        <v>615422.58327771432</v>
      </c>
      <c r="AF752" s="110">
        <v>474021.08593333367</v>
      </c>
      <c r="AG752" s="106">
        <v>573534.23593333375</v>
      </c>
      <c r="AH752" s="15">
        <v>0.5</v>
      </c>
      <c r="AI752" s="25" t="s">
        <v>1048</v>
      </c>
      <c r="AJ752" s="25">
        <v>-136</v>
      </c>
      <c r="AK752" s="25">
        <v>1500</v>
      </c>
      <c r="AL752" s="25">
        <v>101</v>
      </c>
      <c r="AM752" s="25">
        <v>1500</v>
      </c>
      <c r="AN752" s="25">
        <v>-150</v>
      </c>
      <c r="AO752" s="25">
        <v>100</v>
      </c>
      <c r="AP752" s="25"/>
      <c r="AQ752" s="25"/>
      <c r="AR752" s="25"/>
      <c r="AS752" s="25"/>
      <c r="AT752" s="25"/>
      <c r="AU752" s="25"/>
      <c r="AV752" s="25"/>
      <c r="AW752" s="25"/>
      <c r="AX752" s="25">
        <v>-116</v>
      </c>
      <c r="AY752" s="25">
        <v>542</v>
      </c>
      <c r="AZ752" s="25">
        <v>-103</v>
      </c>
      <c r="BA752" s="25">
        <v>77</v>
      </c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>
        <v>-115</v>
      </c>
      <c r="BQ752" s="1">
        <v>-115</v>
      </c>
      <c r="BR752" s="1">
        <v>1000</v>
      </c>
      <c r="BS752" s="1">
        <v>1000</v>
      </c>
      <c r="BT752" s="1">
        <v>-130</v>
      </c>
      <c r="BU752" s="1">
        <v>100</v>
      </c>
    </row>
    <row r="753" spans="1:73" ht="15" customHeight="1" x14ac:dyDescent="0.25">
      <c r="A753" s="1">
        <f t="shared" si="47"/>
        <v>368</v>
      </c>
      <c r="B753" s="1" t="str">
        <f t="shared" si="44"/>
        <v xml:space="preserve">Villanova </v>
      </c>
      <c r="C753" s="1">
        <f t="shared" si="45"/>
        <v>0</v>
      </c>
      <c r="D753" s="2" t="str">
        <f t="shared" si="46"/>
        <v>2026-01</v>
      </c>
      <c r="E753" s="3" t="s">
        <v>1049</v>
      </c>
      <c r="F753" s="4" t="s">
        <v>814</v>
      </c>
      <c r="G753" s="39">
        <v>46046</v>
      </c>
      <c r="H753" s="40">
        <v>-105</v>
      </c>
      <c r="I753" s="40">
        <v>-143</v>
      </c>
      <c r="J753" s="7">
        <v>120</v>
      </c>
      <c r="K753" s="8">
        <v>2.3764362575232446E-2</v>
      </c>
      <c r="L753" s="9">
        <v>1.080198298874202E-2</v>
      </c>
      <c r="M753" s="10">
        <v>114.89320007838529</v>
      </c>
      <c r="N753" s="11">
        <v>2.2000000000000002</v>
      </c>
      <c r="O753" s="12">
        <v>5635.5224884577401</v>
      </c>
      <c r="P753" s="32" t="s">
        <v>506</v>
      </c>
      <c r="Q753" s="81" t="s">
        <v>76</v>
      </c>
      <c r="R753" s="82" t="s">
        <v>1050</v>
      </c>
      <c r="S753" s="32">
        <v>375</v>
      </c>
      <c r="T753" s="32">
        <v>262.5</v>
      </c>
      <c r="U753" s="32">
        <v>262.5</v>
      </c>
      <c r="V753" s="74" t="s">
        <v>82</v>
      </c>
      <c r="W753" s="15"/>
      <c r="X753" s="15"/>
      <c r="Y753" s="16"/>
      <c r="Z753" s="17"/>
      <c r="AA753" s="16"/>
      <c r="AB753" s="99">
        <v>-262.5</v>
      </c>
      <c r="AC753" s="20">
        <v>6.2381451759985174</v>
      </c>
      <c r="AD753" s="21">
        <v>46046</v>
      </c>
      <c r="AE753" s="22">
        <v>613903.83464770217</v>
      </c>
      <c r="AF753" s="23">
        <v>468877.69593333366</v>
      </c>
      <c r="AG753" s="24">
        <v>569140.19593333383</v>
      </c>
      <c r="AH753" s="15">
        <v>0.5</v>
      </c>
      <c r="AI753" s="25" t="s">
        <v>1051</v>
      </c>
      <c r="AJ753" s="25">
        <v>-151</v>
      </c>
      <c r="AK753" s="25">
        <v>1500</v>
      </c>
      <c r="AL753" s="25">
        <v>112</v>
      </c>
      <c r="AM753" s="25">
        <v>1500</v>
      </c>
      <c r="AN753" s="25">
        <v>-120</v>
      </c>
      <c r="AO753" s="25">
        <v>-110</v>
      </c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>
        <v>115</v>
      </c>
      <c r="BQ753" s="1">
        <v>-160</v>
      </c>
      <c r="BR753" s="1">
        <v>1000</v>
      </c>
      <c r="BS753" s="1">
        <v>1000</v>
      </c>
      <c r="BT753" s="1">
        <v>115</v>
      </c>
      <c r="BU753" s="1">
        <v>-150</v>
      </c>
    </row>
    <row r="754" spans="1:73" ht="15" customHeight="1" x14ac:dyDescent="0.25">
      <c r="A754" s="1">
        <f t="shared" si="47"/>
        <v>368</v>
      </c>
      <c r="B754" s="1" t="str">
        <f t="shared" si="44"/>
        <v xml:space="preserve">Villanova </v>
      </c>
      <c r="C754" s="1">
        <f t="shared" si="45"/>
        <v>0</v>
      </c>
      <c r="D754" s="2" t="str">
        <f t="shared" si="46"/>
        <v>2026-01</v>
      </c>
      <c r="E754" s="3" t="s">
        <v>1052</v>
      </c>
      <c r="F754" s="4" t="s">
        <v>805</v>
      </c>
      <c r="G754" s="39">
        <v>46046</v>
      </c>
      <c r="H754" s="40">
        <v>122</v>
      </c>
      <c r="I754" s="40">
        <v>-119</v>
      </c>
      <c r="J754" s="7">
        <v>140</v>
      </c>
      <c r="K754" s="8">
        <v>8.7793368930833351E-2</v>
      </c>
      <c r="L754" s="9">
        <v>3.6580570387847233E-2</v>
      </c>
      <c r="M754" s="10">
        <v>120.63013698630134</v>
      </c>
      <c r="N754" s="11">
        <v>2.4</v>
      </c>
      <c r="O754" s="12">
        <v>17849.229889254566</v>
      </c>
      <c r="P754" s="32" t="s">
        <v>506</v>
      </c>
      <c r="Q754" s="81" t="s">
        <v>81</v>
      </c>
      <c r="R754" s="82" t="s">
        <v>1050</v>
      </c>
      <c r="S754" s="32">
        <v>500</v>
      </c>
      <c r="T754" s="32">
        <v>350</v>
      </c>
      <c r="U754" s="32">
        <v>350</v>
      </c>
      <c r="V754" s="74" t="s">
        <v>82</v>
      </c>
      <c r="W754" s="15"/>
      <c r="X754" s="15"/>
      <c r="Y754" s="16"/>
      <c r="Z754" s="17"/>
      <c r="AA754" s="16"/>
      <c r="AB754" s="99">
        <v>-350</v>
      </c>
      <c r="AC754" s="20">
        <v>30.727679125791674</v>
      </c>
      <c r="AD754" s="21">
        <v>46046</v>
      </c>
      <c r="AE754" s="22">
        <v>614278.64937019511</v>
      </c>
      <c r="AF754" s="23">
        <v>468916.72593333368</v>
      </c>
      <c r="AG754" s="24">
        <v>569266.72593333386</v>
      </c>
      <c r="AH754" s="15">
        <v>0.5</v>
      </c>
      <c r="AI754" s="25" t="s">
        <v>1053</v>
      </c>
      <c r="AJ754" s="25">
        <v>-186</v>
      </c>
      <c r="AK754" s="25">
        <v>3000</v>
      </c>
      <c r="AL754" s="25">
        <v>151</v>
      </c>
      <c r="AM754" s="25">
        <v>3000</v>
      </c>
      <c r="AN754" s="25"/>
      <c r="AO754" s="25"/>
      <c r="AP754" s="25">
        <v>129</v>
      </c>
      <c r="AQ754" s="25">
        <v>105</v>
      </c>
      <c r="AR754" s="25">
        <v>-154</v>
      </c>
      <c r="AS754" s="25">
        <v>57</v>
      </c>
      <c r="AT754" s="25"/>
      <c r="AU754" s="25"/>
      <c r="AV754" s="25"/>
      <c r="AW754" s="25"/>
      <c r="AX754" s="25">
        <v>140</v>
      </c>
      <c r="AY754" s="25"/>
      <c r="AZ754" s="25">
        <v>-189</v>
      </c>
      <c r="BA754" s="25"/>
      <c r="BB754" s="25">
        <v>106</v>
      </c>
      <c r="BC754" s="25">
        <v>-136</v>
      </c>
      <c r="BD754" s="25"/>
      <c r="BE754" s="25"/>
      <c r="BF754" s="25"/>
      <c r="BG754" s="25"/>
      <c r="BH754" s="25"/>
      <c r="BI754" s="25"/>
      <c r="BJ754" s="25">
        <v>-204</v>
      </c>
      <c r="BK754" s="25">
        <v>2000</v>
      </c>
      <c r="BL754" s="25">
        <v>-247</v>
      </c>
      <c r="BM754" s="25">
        <v>245</v>
      </c>
      <c r="BN754" s="25">
        <v>-292</v>
      </c>
      <c r="BO754" s="25">
        <v>113</v>
      </c>
      <c r="BP754" s="25"/>
      <c r="BT754" s="1">
        <v>100</v>
      </c>
      <c r="BU754" s="1">
        <v>-130</v>
      </c>
    </row>
    <row r="755" spans="1:73" ht="15" customHeight="1" x14ac:dyDescent="0.25">
      <c r="A755" s="1">
        <f t="shared" si="47"/>
        <v>369</v>
      </c>
      <c r="B755" s="1" t="str">
        <f t="shared" si="44"/>
        <v xml:space="preserve">Virginia </v>
      </c>
      <c r="C755" s="1">
        <f t="shared" si="45"/>
        <v>1</v>
      </c>
      <c r="D755" s="2" t="str">
        <f t="shared" si="46"/>
        <v>2026-01</v>
      </c>
      <c r="E755" s="3" t="s">
        <v>1054</v>
      </c>
      <c r="F755" s="4" t="s">
        <v>805</v>
      </c>
      <c r="G755" s="39">
        <v>46046</v>
      </c>
      <c r="H755" s="40">
        <v>-118</v>
      </c>
      <c r="I755" s="40">
        <v>-106</v>
      </c>
      <c r="J755" s="7">
        <v>114</v>
      </c>
      <c r="K755" s="8">
        <v>9.7079466846634058E-2</v>
      </c>
      <c r="L755" s="9">
        <v>4.5364236844221528E-2</v>
      </c>
      <c r="M755" s="10">
        <v>-105.19300675090879</v>
      </c>
      <c r="N755" s="11">
        <v>2.1399999999999997</v>
      </c>
      <c r="O755" s="12">
        <v>24322.373756455076</v>
      </c>
      <c r="P755" s="32" t="s">
        <v>506</v>
      </c>
      <c r="Q755" s="81" t="s">
        <v>92</v>
      </c>
      <c r="R755" s="82" t="s">
        <v>1055</v>
      </c>
      <c r="S755" s="32">
        <v>375</v>
      </c>
      <c r="T755" s="32">
        <v>262.5</v>
      </c>
      <c r="U755" s="32">
        <v>262.5</v>
      </c>
      <c r="V755" s="74" t="s">
        <v>77</v>
      </c>
      <c r="W755" s="15"/>
      <c r="X755" s="15"/>
      <c r="Y755" s="16"/>
      <c r="Z755" s="17"/>
      <c r="AA755" s="16"/>
      <c r="AB755" s="99">
        <v>299.25</v>
      </c>
      <c r="AC755" s="20">
        <v>25.48336004724144</v>
      </c>
      <c r="AD755" s="21">
        <v>46046</v>
      </c>
      <c r="AE755" s="22">
        <v>614545.14166368032</v>
      </c>
      <c r="AF755" s="23">
        <v>471532.4259333337</v>
      </c>
      <c r="AG755" s="24">
        <v>571233.17593333381</v>
      </c>
      <c r="AH755" s="15">
        <v>0.5</v>
      </c>
      <c r="AI755" s="25" t="s">
        <v>1056</v>
      </c>
      <c r="AJ755" s="25"/>
      <c r="AK755" s="25"/>
      <c r="AL755" s="25"/>
      <c r="AM755" s="25"/>
      <c r="AN755" s="25">
        <v>-137</v>
      </c>
      <c r="AO755" s="25">
        <v>-105</v>
      </c>
      <c r="AP755" s="25"/>
      <c r="AQ755" s="25"/>
      <c r="AR755" s="25"/>
      <c r="AS755" s="25"/>
      <c r="AT755" s="25"/>
      <c r="AU755" s="25"/>
      <c r="AV755" s="25"/>
      <c r="AW755" s="25"/>
      <c r="AX755" s="25">
        <v>-112</v>
      </c>
      <c r="AY755" s="25">
        <v>824</v>
      </c>
      <c r="AZ755" s="25">
        <v>-131</v>
      </c>
      <c r="BA755" s="25">
        <v>2000</v>
      </c>
      <c r="BB755" s="25">
        <v>-125</v>
      </c>
      <c r="BC755" s="25">
        <v>-106</v>
      </c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>
        <v>-105</v>
      </c>
      <c r="BQ755" s="1">
        <v>-135</v>
      </c>
      <c r="BR755" s="1">
        <v>1000</v>
      </c>
      <c r="BS755" s="1">
        <v>1000</v>
      </c>
      <c r="BT755" s="1">
        <v>100</v>
      </c>
      <c r="BU755" s="1">
        <v>-135</v>
      </c>
    </row>
    <row r="756" spans="1:73" ht="15" customHeight="1" x14ac:dyDescent="0.25">
      <c r="A756" s="1">
        <f t="shared" si="47"/>
        <v>370</v>
      </c>
      <c r="B756" s="1" t="str">
        <f t="shared" si="44"/>
        <v xml:space="preserve">Wake </v>
      </c>
      <c r="C756" s="1">
        <f t="shared" si="45"/>
        <v>1</v>
      </c>
      <c r="D756" s="2" t="str">
        <f t="shared" si="46"/>
        <v>2026-01</v>
      </c>
      <c r="E756" s="3" t="s">
        <v>1057</v>
      </c>
      <c r="F756" s="4" t="s">
        <v>814</v>
      </c>
      <c r="G756" s="39">
        <v>46046</v>
      </c>
      <c r="H756" s="40">
        <v>-101</v>
      </c>
      <c r="I756" s="40">
        <v>-118</v>
      </c>
      <c r="J756" s="7">
        <v>123</v>
      </c>
      <c r="K756" s="8">
        <v>7.3555623578799814E-2</v>
      </c>
      <c r="L756" s="9">
        <v>3.2984584564484221E-2</v>
      </c>
      <c r="M756" s="10">
        <v>107.72095558179673</v>
      </c>
      <c r="N756" s="11">
        <v>2.23</v>
      </c>
      <c r="O756" s="12">
        <v>17012.445335763674</v>
      </c>
      <c r="P756" s="32" t="s">
        <v>506</v>
      </c>
      <c r="Q756" s="81" t="s">
        <v>92</v>
      </c>
      <c r="R756" s="82" t="s">
        <v>488</v>
      </c>
      <c r="S756" s="32">
        <v>325</v>
      </c>
      <c r="T756" s="32">
        <v>227.49999999999997</v>
      </c>
      <c r="U756" s="32">
        <v>227.49999999999997</v>
      </c>
      <c r="V756" s="74" t="s">
        <v>82</v>
      </c>
      <c r="W756" s="15"/>
      <c r="X756" s="15"/>
      <c r="Y756" s="16"/>
      <c r="Z756" s="17"/>
      <c r="AA756" s="16"/>
      <c r="AB756" s="99">
        <v>-227.49999999999997</v>
      </c>
      <c r="AC756" s="20">
        <v>16.733904364176954</v>
      </c>
      <c r="AD756" s="21">
        <v>46046</v>
      </c>
      <c r="AE756" s="22">
        <v>613799.54615656077</v>
      </c>
      <c r="AF756" s="23">
        <v>468738.04593333363</v>
      </c>
      <c r="AG756" s="24">
        <v>568965.54593333381</v>
      </c>
      <c r="AH756" s="15">
        <v>0.5</v>
      </c>
      <c r="AI756" s="25" t="s">
        <v>1058</v>
      </c>
      <c r="AJ756" s="25">
        <v>-101</v>
      </c>
      <c r="AK756" s="25">
        <v>325</v>
      </c>
      <c r="AL756" s="25">
        <v>-126</v>
      </c>
      <c r="AM756" s="25">
        <v>325</v>
      </c>
      <c r="AN756" s="25">
        <v>-112</v>
      </c>
      <c r="AO756" s="25">
        <v>-118</v>
      </c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>
        <v>-122</v>
      </c>
      <c r="BC756" s="25">
        <v>-108</v>
      </c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>
        <v>-110</v>
      </c>
      <c r="BQ756" s="1">
        <v>-120</v>
      </c>
      <c r="BR756" s="1">
        <v>1000</v>
      </c>
      <c r="BS756" s="1">
        <v>1000</v>
      </c>
      <c r="BT756" s="1">
        <v>-115</v>
      </c>
      <c r="BU756" s="1">
        <v>-115</v>
      </c>
    </row>
    <row r="757" spans="1:73" ht="15" customHeight="1" x14ac:dyDescent="0.25">
      <c r="A757" s="1">
        <f t="shared" si="47"/>
        <v>371</v>
      </c>
      <c r="B757" s="1" t="str">
        <f t="shared" si="44"/>
        <v xml:space="preserve">Washington </v>
      </c>
      <c r="C757" s="1">
        <f t="shared" si="45"/>
        <v>1</v>
      </c>
      <c r="D757" s="2" t="str">
        <f t="shared" si="46"/>
        <v>2026-01</v>
      </c>
      <c r="E757" s="3" t="s">
        <v>1059</v>
      </c>
      <c r="F757" s="4" t="s">
        <v>805</v>
      </c>
      <c r="G757" s="39">
        <v>46046</v>
      </c>
      <c r="H757" s="40">
        <v>175</v>
      </c>
      <c r="I757" s="40">
        <v>-200</v>
      </c>
      <c r="J757" s="7">
        <v>220</v>
      </c>
      <c r="K757" s="8">
        <v>0.12941176470588242</v>
      </c>
      <c r="L757" s="9">
        <v>4.0441176470588258E-2</v>
      </c>
      <c r="M757" s="10">
        <v>183.33333333333331</v>
      </c>
      <c r="N757" s="11">
        <v>3.2</v>
      </c>
      <c r="O757" s="12">
        <v>16844.829292156886</v>
      </c>
      <c r="P757" s="32" t="s">
        <v>506</v>
      </c>
      <c r="Q757" s="81" t="s">
        <v>92</v>
      </c>
      <c r="R757" s="82" t="s">
        <v>1060</v>
      </c>
      <c r="S757" s="32">
        <v>775</v>
      </c>
      <c r="T757" s="32">
        <v>542.5</v>
      </c>
      <c r="U757" s="32">
        <v>542.5</v>
      </c>
      <c r="V757" s="74" t="s">
        <v>82</v>
      </c>
      <c r="W757" s="15"/>
      <c r="X757" s="15"/>
      <c r="Y757" s="16"/>
      <c r="Z757" s="17"/>
      <c r="AA757" s="16"/>
      <c r="AB757" s="99">
        <v>-542.5</v>
      </c>
      <c r="AC757" s="20">
        <v>70.205882352941217</v>
      </c>
      <c r="AD757" s="21">
        <v>46046</v>
      </c>
      <c r="AE757" s="22">
        <v>613494.18352772726</v>
      </c>
      <c r="AF757" s="23">
        <v>472181.69593333366</v>
      </c>
      <c r="AG757" s="24">
        <v>572724.19593333383</v>
      </c>
      <c r="AH757" s="15">
        <v>0.5</v>
      </c>
      <c r="AI757" s="25" t="s">
        <v>1061</v>
      </c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</row>
    <row r="758" spans="1:73" ht="15" customHeight="1" x14ac:dyDescent="0.25">
      <c r="A758" s="1">
        <f t="shared" si="47"/>
        <v>371</v>
      </c>
      <c r="B758" s="1" t="str">
        <f t="shared" si="44"/>
        <v xml:space="preserve">Washington </v>
      </c>
      <c r="C758" s="1">
        <f t="shared" si="45"/>
        <v>1</v>
      </c>
      <c r="D758" s="2" t="str">
        <f t="shared" si="46"/>
        <v>2026-01</v>
      </c>
      <c r="E758" s="3" t="s">
        <v>1062</v>
      </c>
      <c r="F758" s="4" t="s">
        <v>805</v>
      </c>
      <c r="G758" s="39">
        <v>46046</v>
      </c>
      <c r="H758" s="40">
        <v>102</v>
      </c>
      <c r="I758" s="40">
        <v>-125</v>
      </c>
      <c r="J758" s="7">
        <v>125</v>
      </c>
      <c r="K758" s="8">
        <v>6.0209424083769683E-2</v>
      </c>
      <c r="L758" s="9">
        <v>2.675974403723097E-2</v>
      </c>
      <c r="M758" s="10">
        <v>112.22222222222223</v>
      </c>
      <c r="N758" s="11">
        <v>2.25</v>
      </c>
      <c r="O758" s="12">
        <v>13780.29215336826</v>
      </c>
      <c r="P758" s="32" t="s">
        <v>506</v>
      </c>
      <c r="Q758" s="81" t="s">
        <v>92</v>
      </c>
      <c r="R758" s="82" t="s">
        <v>1060</v>
      </c>
      <c r="S758" s="32">
        <v>1400</v>
      </c>
      <c r="T758" s="32">
        <v>979.99999999999989</v>
      </c>
      <c r="U758" s="32">
        <v>979.99999999999989</v>
      </c>
      <c r="V758" s="74" t="s">
        <v>82</v>
      </c>
      <c r="W758" s="15"/>
      <c r="X758" s="15"/>
      <c r="Y758" s="16"/>
      <c r="Z758" s="17"/>
      <c r="AA758" s="16"/>
      <c r="AB758" s="99">
        <v>-979.99999999999989</v>
      </c>
      <c r="AC758" s="20">
        <v>59.005235602094281</v>
      </c>
      <c r="AD758" s="21">
        <v>46046</v>
      </c>
      <c r="AE758" s="22">
        <v>613553.18876332941</v>
      </c>
      <c r="AF758" s="23">
        <v>471201.69593333366</v>
      </c>
      <c r="AG758" s="24">
        <v>572181.69593333383</v>
      </c>
      <c r="AH758" s="15">
        <v>0.5</v>
      </c>
      <c r="AI758" s="25" t="s">
        <v>1063</v>
      </c>
      <c r="AJ758" s="25"/>
      <c r="AK758" s="25"/>
      <c r="AL758" s="25"/>
      <c r="AM758" s="25"/>
      <c r="AN758" s="25">
        <v>102</v>
      </c>
      <c r="AO758" s="25">
        <v>-125</v>
      </c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>
        <v>-108</v>
      </c>
      <c r="BC758" s="25">
        <v>-114</v>
      </c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>
        <v>-115</v>
      </c>
      <c r="BQ758" s="1">
        <v>-115</v>
      </c>
      <c r="BR758" s="1">
        <v>1000</v>
      </c>
      <c r="BS758" s="1">
        <v>1000</v>
      </c>
      <c r="BT758" s="1">
        <v>-110</v>
      </c>
      <c r="BU758" s="1">
        <v>-120</v>
      </c>
    </row>
    <row r="759" spans="1:73" ht="15" customHeight="1" x14ac:dyDescent="0.25">
      <c r="A759" s="1">
        <f t="shared" si="47"/>
        <v>372</v>
      </c>
      <c r="B759" s="1" t="str">
        <f t="shared" si="44"/>
        <v xml:space="preserve">West </v>
      </c>
      <c r="C759" s="1">
        <f t="shared" si="45"/>
        <v>1</v>
      </c>
      <c r="D759" s="2" t="str">
        <f t="shared" si="46"/>
        <v>2026-01</v>
      </c>
      <c r="E759" s="3" t="s">
        <v>1064</v>
      </c>
      <c r="F759" s="124" t="s">
        <v>805</v>
      </c>
      <c r="G759" s="39">
        <v>46046</v>
      </c>
      <c r="H759" s="40">
        <v>-185</v>
      </c>
      <c r="I759" s="40">
        <v>127</v>
      </c>
      <c r="J759" s="7">
        <v>-114</v>
      </c>
      <c r="K759" s="8">
        <v>0.1182739101815109</v>
      </c>
      <c r="L759" s="9">
        <v>6.3005727853702065E-2</v>
      </c>
      <c r="M759" s="10">
        <v>-147.35087719298241</v>
      </c>
      <c r="N759" s="11">
        <v>1.8771929824561404</v>
      </c>
      <c r="O759" s="12">
        <v>38599.308543133098</v>
      </c>
      <c r="P759" s="32" t="s">
        <v>506</v>
      </c>
      <c r="Q759" s="81" t="s">
        <v>92</v>
      </c>
      <c r="R759" s="82" t="s">
        <v>1065</v>
      </c>
      <c r="S759" s="32">
        <v>500</v>
      </c>
      <c r="T759" s="32">
        <v>350</v>
      </c>
      <c r="U759" s="32">
        <v>350</v>
      </c>
      <c r="V759" s="74" t="s">
        <v>77</v>
      </c>
      <c r="W759" s="15"/>
      <c r="X759" s="15"/>
      <c r="Y759" s="16"/>
      <c r="Z759" s="17"/>
      <c r="AA759" s="16"/>
      <c r="AB759" s="99">
        <v>307.02</v>
      </c>
      <c r="AC759" s="20">
        <v>41.395868563528815</v>
      </c>
      <c r="AD759" s="21">
        <v>46046</v>
      </c>
      <c r="AE759" s="22">
        <v>614698.78126804321</v>
      </c>
      <c r="AF759" s="23">
        <v>472860.04593333369</v>
      </c>
      <c r="AG759" s="24">
        <v>572553.02593333379</v>
      </c>
      <c r="AH759" s="15">
        <v>0.5</v>
      </c>
      <c r="AI759" s="25" t="s">
        <v>1066</v>
      </c>
      <c r="AJ759" s="25"/>
      <c r="AK759" s="25"/>
      <c r="AL759" s="25"/>
      <c r="AM759" s="25"/>
      <c r="AN759" s="25">
        <v>-185</v>
      </c>
      <c r="AO759" s="25">
        <v>127</v>
      </c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R759" s="1">
        <v>1000</v>
      </c>
      <c r="BS759" s="1">
        <v>1000</v>
      </c>
    </row>
    <row r="760" spans="1:73" ht="15" customHeight="1" x14ac:dyDescent="0.25">
      <c r="A760" s="1">
        <f t="shared" si="47"/>
        <v>373</v>
      </c>
      <c r="B760" s="1" t="str">
        <f t="shared" si="44"/>
        <v xml:space="preserve">Western </v>
      </c>
      <c r="C760" s="1">
        <f t="shared" si="45"/>
        <v>0</v>
      </c>
      <c r="D760" s="2" t="str">
        <f t="shared" si="46"/>
        <v>2026-01</v>
      </c>
      <c r="E760" s="100" t="s">
        <v>1067</v>
      </c>
      <c r="F760" s="125" t="s">
        <v>805</v>
      </c>
      <c r="G760" s="5">
        <v>46046</v>
      </c>
      <c r="H760" s="6">
        <v>105</v>
      </c>
      <c r="I760" s="6">
        <v>-105</v>
      </c>
      <c r="J760" s="115">
        <v>116</v>
      </c>
      <c r="K760" s="17">
        <v>5.3658536585366075E-2</v>
      </c>
      <c r="L760" s="111">
        <v>2.4841915085817623E-2</v>
      </c>
      <c r="M760" s="16">
        <v>104.99999999999997</v>
      </c>
      <c r="N760" s="112">
        <v>2.16</v>
      </c>
      <c r="O760" s="113">
        <v>13280.694018643178</v>
      </c>
      <c r="P760" s="13" t="s">
        <v>506</v>
      </c>
      <c r="Q760" s="13" t="s">
        <v>76</v>
      </c>
      <c r="R760" s="14" t="s">
        <v>1068</v>
      </c>
      <c r="S760" s="13">
        <v>600</v>
      </c>
      <c r="T760" s="13">
        <v>420</v>
      </c>
      <c r="U760" s="104">
        <v>420</v>
      </c>
      <c r="V760" s="31" t="s">
        <v>77</v>
      </c>
      <c r="W760" s="15"/>
      <c r="X760" s="15"/>
      <c r="Y760" s="16"/>
      <c r="Z760" s="17"/>
      <c r="AA760" s="16"/>
      <c r="AB760" s="24">
        <v>487.2</v>
      </c>
      <c r="AC760" s="20">
        <v>22.536585365853753</v>
      </c>
      <c r="AD760" s="21">
        <v>46046</v>
      </c>
      <c r="AE760" s="22">
        <v>616659.31515739521</v>
      </c>
      <c r="AF760" s="23">
        <v>474696.11593333364</v>
      </c>
      <c r="AG760" s="24">
        <v>574208.91593333369</v>
      </c>
      <c r="AH760" s="15">
        <v>0.5</v>
      </c>
      <c r="AI760" s="25" t="s">
        <v>1069</v>
      </c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</row>
    <row r="761" spans="1:73" ht="15" customHeight="1" x14ac:dyDescent="0.25">
      <c r="A761" s="1">
        <f t="shared" si="47"/>
        <v>373</v>
      </c>
      <c r="B761" s="1" t="str">
        <f t="shared" si="44"/>
        <v xml:space="preserve">Western </v>
      </c>
      <c r="C761" s="1">
        <f t="shared" si="45"/>
        <v>0</v>
      </c>
      <c r="D761" s="2" t="str">
        <f t="shared" si="46"/>
        <v>2026-01</v>
      </c>
      <c r="E761" s="100" t="s">
        <v>1070</v>
      </c>
      <c r="F761" s="125" t="s">
        <v>805</v>
      </c>
      <c r="G761" s="5">
        <v>46046</v>
      </c>
      <c r="H761" s="6">
        <v>111</v>
      </c>
      <c r="I761" s="6">
        <v>-111</v>
      </c>
      <c r="J761" s="115">
        <v>135</v>
      </c>
      <c r="K761" s="17">
        <v>0.11374407582938377</v>
      </c>
      <c r="L761" s="111">
        <v>4.8401734395482454E-2</v>
      </c>
      <c r="M761" s="16">
        <v>111.00000000000003</v>
      </c>
      <c r="N761" s="112">
        <v>2.35</v>
      </c>
      <c r="O761" s="113">
        <v>24210.47355169386</v>
      </c>
      <c r="P761" s="13" t="s">
        <v>506</v>
      </c>
      <c r="Q761" s="13" t="s">
        <v>81</v>
      </c>
      <c r="R761" s="14" t="s">
        <v>1068</v>
      </c>
      <c r="S761" s="13">
        <v>500</v>
      </c>
      <c r="T761" s="13">
        <v>350</v>
      </c>
      <c r="U761" s="104">
        <v>350</v>
      </c>
      <c r="V761" s="31" t="s">
        <v>77</v>
      </c>
      <c r="W761" s="15"/>
      <c r="X761" s="15"/>
      <c r="Y761" s="16"/>
      <c r="Z761" s="17"/>
      <c r="AA761" s="16"/>
      <c r="AB761" s="24">
        <v>472.5</v>
      </c>
      <c r="AC761" s="20">
        <v>39.810426540284318</v>
      </c>
      <c r="AD761" s="21">
        <v>46046</v>
      </c>
      <c r="AE761" s="22">
        <v>616699.12558393553</v>
      </c>
      <c r="AF761" s="23">
        <v>475168.61593333364</v>
      </c>
      <c r="AG761" s="24">
        <v>574696.11593333364</v>
      </c>
      <c r="AH761" s="15">
        <v>0.5</v>
      </c>
      <c r="AI761" s="25" t="s">
        <v>1071</v>
      </c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</row>
    <row r="762" spans="1:73" ht="15" customHeight="1" x14ac:dyDescent="0.25">
      <c r="A762" s="1">
        <f t="shared" si="47"/>
        <v>374</v>
      </c>
      <c r="B762" s="1" t="str">
        <f t="shared" si="44"/>
        <v xml:space="preserve">Wichita </v>
      </c>
      <c r="C762" s="1">
        <f t="shared" si="45"/>
        <v>0</v>
      </c>
      <c r="D762" s="2" t="str">
        <f t="shared" si="46"/>
        <v>2026-01</v>
      </c>
      <c r="E762" s="100" t="s">
        <v>1072</v>
      </c>
      <c r="F762" s="101" t="s">
        <v>805</v>
      </c>
      <c r="G762" s="5">
        <v>46046</v>
      </c>
      <c r="H762" s="6">
        <v>-133</v>
      </c>
      <c r="I762" s="6">
        <v>-102</v>
      </c>
      <c r="J762" s="115">
        <v>108</v>
      </c>
      <c r="K762" s="121">
        <v>0.10367514615263083</v>
      </c>
      <c r="L762" s="117">
        <v>4.9843820265687899E-2</v>
      </c>
      <c r="M762" s="118">
        <v>-113.0438441471009</v>
      </c>
      <c r="N762" s="116">
        <v>2.08</v>
      </c>
      <c r="O762" s="12">
        <v>27546.216390192163</v>
      </c>
      <c r="P762" s="13" t="s">
        <v>506</v>
      </c>
      <c r="Q762" s="13" t="s">
        <v>76</v>
      </c>
      <c r="R762" s="14" t="s">
        <v>1073</v>
      </c>
      <c r="S762" s="13">
        <v>400</v>
      </c>
      <c r="T762" s="13">
        <v>280</v>
      </c>
      <c r="U762" s="13">
        <v>280</v>
      </c>
      <c r="V762" s="31" t="s">
        <v>82</v>
      </c>
      <c r="W762" s="105"/>
      <c r="X762" s="105"/>
      <c r="Y762" s="114"/>
      <c r="Z762" s="8"/>
      <c r="AA762" s="10"/>
      <c r="AB762" s="106">
        <v>-280</v>
      </c>
      <c r="AC762" s="107">
        <v>29.029040922736634</v>
      </c>
      <c r="AD762" s="108">
        <v>46046</v>
      </c>
      <c r="AE762" s="109">
        <v>614977.36752698128</v>
      </c>
      <c r="AF762" s="110">
        <v>473626.37593333365</v>
      </c>
      <c r="AG762" s="106">
        <v>573906.37593333377</v>
      </c>
      <c r="AH762" s="15">
        <v>0.5</v>
      </c>
      <c r="AI762" s="25" t="s">
        <v>1074</v>
      </c>
      <c r="AJ762" s="25">
        <v>-133</v>
      </c>
      <c r="AK762" s="25">
        <v>750</v>
      </c>
      <c r="AL762" s="25">
        <v>-102</v>
      </c>
      <c r="AM762" s="25">
        <v>750</v>
      </c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T762" s="1">
        <v>-115</v>
      </c>
      <c r="BU762" s="1">
        <v>-115</v>
      </c>
    </row>
    <row r="763" spans="1:73" ht="15" customHeight="1" x14ac:dyDescent="0.25">
      <c r="A763" s="1">
        <f t="shared" si="47"/>
        <v>374</v>
      </c>
      <c r="B763" s="1" t="str">
        <f t="shared" si="44"/>
        <v xml:space="preserve">Wichita </v>
      </c>
      <c r="C763" s="1">
        <f t="shared" si="45"/>
        <v>0</v>
      </c>
      <c r="D763" s="2" t="str">
        <f t="shared" si="46"/>
        <v>2026-01</v>
      </c>
      <c r="E763" s="100" t="s">
        <v>1075</v>
      </c>
      <c r="F763" s="101" t="s">
        <v>805</v>
      </c>
      <c r="G763" s="5">
        <v>46046</v>
      </c>
      <c r="H763" s="6">
        <v>-118</v>
      </c>
      <c r="I763" s="6">
        <v>102</v>
      </c>
      <c r="J763" s="115">
        <v>116</v>
      </c>
      <c r="K763" s="121">
        <v>0.12818301341046534</v>
      </c>
      <c r="L763" s="117">
        <v>5.9343987690030242E-2</v>
      </c>
      <c r="M763" s="118">
        <v>-109.33944954128437</v>
      </c>
      <c r="N763" s="116">
        <v>2.16</v>
      </c>
      <c r="O763" s="119">
        <v>31693.602344335839</v>
      </c>
      <c r="P763" s="13" t="s">
        <v>506</v>
      </c>
      <c r="Q763" s="13" t="s">
        <v>76</v>
      </c>
      <c r="R763" s="14" t="s">
        <v>1073</v>
      </c>
      <c r="S763" s="13">
        <v>375</v>
      </c>
      <c r="T763" s="13">
        <v>262.5</v>
      </c>
      <c r="U763" s="13">
        <v>262.5</v>
      </c>
      <c r="V763" s="31" t="s">
        <v>82</v>
      </c>
      <c r="W763" s="105"/>
      <c r="X763" s="105"/>
      <c r="Y763" s="114"/>
      <c r="Z763" s="8"/>
      <c r="AA763" s="10"/>
      <c r="AB763" s="106">
        <v>-262.5</v>
      </c>
      <c r="AC763" s="107">
        <v>33.648041020247149</v>
      </c>
      <c r="AD763" s="108">
        <v>46046</v>
      </c>
      <c r="AE763" s="109">
        <v>615011.01556800155</v>
      </c>
      <c r="AF763" s="110">
        <v>473363.87593333365</v>
      </c>
      <c r="AG763" s="106">
        <v>573626.37593333377</v>
      </c>
      <c r="AH763" s="15">
        <v>0.5</v>
      </c>
      <c r="AI763" s="25" t="s">
        <v>1076</v>
      </c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</row>
    <row r="764" spans="1:73" ht="15" customHeight="1" x14ac:dyDescent="0.25">
      <c r="A764" s="1">
        <f t="shared" si="47"/>
        <v>375</v>
      </c>
      <c r="B764" s="1" t="str">
        <f t="shared" si="44"/>
        <v xml:space="preserve">William </v>
      </c>
      <c r="C764" s="1">
        <f t="shared" si="45"/>
        <v>0</v>
      </c>
      <c r="D764" s="2" t="str">
        <f t="shared" si="46"/>
        <v>2026-01</v>
      </c>
      <c r="E764" s="3" t="s">
        <v>1077</v>
      </c>
      <c r="F764" s="4" t="s">
        <v>805</v>
      </c>
      <c r="G764" s="39">
        <v>46046</v>
      </c>
      <c r="H764" s="40">
        <v>102</v>
      </c>
      <c r="I764" s="40">
        <v>-102</v>
      </c>
      <c r="J764" s="7">
        <v>102</v>
      </c>
      <c r="K764" s="8">
        <v>0</v>
      </c>
      <c r="L764" s="9">
        <v>0</v>
      </c>
      <c r="M764" s="10">
        <v>102</v>
      </c>
      <c r="N764" s="11">
        <v>2.02</v>
      </c>
      <c r="O764" s="12">
        <v>0</v>
      </c>
      <c r="P764" s="32" t="s">
        <v>506</v>
      </c>
      <c r="Q764" s="81" t="s">
        <v>81</v>
      </c>
      <c r="R764" s="82" t="s">
        <v>1078</v>
      </c>
      <c r="S764" s="32">
        <v>675</v>
      </c>
      <c r="T764" s="32">
        <v>472.49999999999994</v>
      </c>
      <c r="U764" s="32">
        <v>472.49999999999994</v>
      </c>
      <c r="V764" s="74" t="s">
        <v>77</v>
      </c>
      <c r="W764" s="15"/>
      <c r="X764" s="15"/>
      <c r="Y764" s="16"/>
      <c r="Z764" s="17"/>
      <c r="AA764" s="16"/>
      <c r="AB764" s="99">
        <v>481.95</v>
      </c>
      <c r="AC764" s="20">
        <v>0</v>
      </c>
      <c r="AD764" s="21">
        <v>46046</v>
      </c>
      <c r="AE764" s="22">
        <v>612848.70647046098</v>
      </c>
      <c r="AF764" s="23">
        <v>477193.4259333337</v>
      </c>
      <c r="AG764" s="24">
        <v>576711.47593333386</v>
      </c>
      <c r="AH764" s="15">
        <v>0.5</v>
      </c>
      <c r="AI764" s="25" t="s">
        <v>1079</v>
      </c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</row>
    <row r="765" spans="1:73" ht="15" customHeight="1" x14ac:dyDescent="0.25">
      <c r="A765" s="1">
        <f t="shared" si="47"/>
        <v>376</v>
      </c>
      <c r="B765" s="1" t="str">
        <f t="shared" si="44"/>
        <v xml:space="preserve">Chicago </v>
      </c>
      <c r="C765" s="1">
        <f t="shared" si="45"/>
        <v>0</v>
      </c>
      <c r="D765" s="2" t="str">
        <f t="shared" si="46"/>
        <v>2026-01</v>
      </c>
      <c r="E765" s="100" t="s">
        <v>1080</v>
      </c>
      <c r="F765" s="125" t="s">
        <v>805</v>
      </c>
      <c r="G765" s="5">
        <v>46047</v>
      </c>
      <c r="H765" s="6">
        <v>-342</v>
      </c>
      <c r="I765" s="6">
        <v>285</v>
      </c>
      <c r="J765" s="115">
        <v>-204</v>
      </c>
      <c r="K765" s="8">
        <v>0.11567702079410262</v>
      </c>
      <c r="L765" s="9">
        <v>7.7625369217095175E-2</v>
      </c>
      <c r="M765" s="10">
        <v>-297.89592760180994</v>
      </c>
      <c r="N765" s="11">
        <v>1.4901960784313726</v>
      </c>
      <c r="O765" s="12">
        <v>68016.434907560149</v>
      </c>
      <c r="P765" s="13" t="s">
        <v>506</v>
      </c>
      <c r="Q765" s="13" t="s">
        <v>81</v>
      </c>
      <c r="R765" s="14" t="s">
        <v>732</v>
      </c>
      <c r="S765" s="13">
        <v>7150</v>
      </c>
      <c r="T765" s="13">
        <v>5005</v>
      </c>
      <c r="U765" s="13">
        <v>5005</v>
      </c>
      <c r="V765" s="6" t="s">
        <v>77</v>
      </c>
      <c r="W765" s="15"/>
      <c r="X765" s="15"/>
      <c r="Y765" s="16"/>
      <c r="Z765" s="17"/>
      <c r="AA765" s="16"/>
      <c r="AB765" s="24">
        <v>2453.4299999999998</v>
      </c>
      <c r="AC765" s="20">
        <v>578.96348907448362</v>
      </c>
      <c r="AD765" s="21">
        <v>46047</v>
      </c>
      <c r="AE765" s="22">
        <v>618929.60989011126</v>
      </c>
      <c r="AF765" s="23">
        <v>478910.00593333365</v>
      </c>
      <c r="AG765" s="24">
        <v>576456.57593333349</v>
      </c>
      <c r="AH765" s="15">
        <v>0.5</v>
      </c>
      <c r="AI765" s="25" t="s">
        <v>1081</v>
      </c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</row>
    <row r="766" spans="1:73" ht="15" customHeight="1" x14ac:dyDescent="0.25">
      <c r="A766" s="1">
        <f t="shared" si="47"/>
        <v>377</v>
      </c>
      <c r="B766" s="1" t="str">
        <f t="shared" si="44"/>
        <v xml:space="preserve">Dallas </v>
      </c>
      <c r="C766" s="1">
        <f t="shared" si="45"/>
        <v>0</v>
      </c>
      <c r="D766" s="2" t="str">
        <f t="shared" si="46"/>
        <v>2026-01</v>
      </c>
      <c r="E766" s="100" t="s">
        <v>742</v>
      </c>
      <c r="F766" s="101" t="s">
        <v>805</v>
      </c>
      <c r="G766" s="5">
        <v>46047</v>
      </c>
      <c r="H766" s="6">
        <v>-142</v>
      </c>
      <c r="I766" s="6">
        <v>142</v>
      </c>
      <c r="J766" s="115">
        <v>-115</v>
      </c>
      <c r="K766" s="8">
        <v>9.7017606899029774E-2</v>
      </c>
      <c r="L766" s="9">
        <v>5.1893138573899655E-2</v>
      </c>
      <c r="M766" s="10">
        <v>-142.00000000000003</v>
      </c>
      <c r="N766" s="11">
        <v>1.8695652173913042</v>
      </c>
      <c r="O766" s="12">
        <v>31946.048884710744</v>
      </c>
      <c r="P766" s="13" t="s">
        <v>506</v>
      </c>
      <c r="Q766" s="13" t="s">
        <v>81</v>
      </c>
      <c r="R766" s="14" t="s">
        <v>530</v>
      </c>
      <c r="S766" s="13">
        <v>3600</v>
      </c>
      <c r="T766" s="13">
        <v>2520</v>
      </c>
      <c r="U766" s="104">
        <v>2520</v>
      </c>
      <c r="V766" s="6" t="s">
        <v>82</v>
      </c>
      <c r="W766" s="15"/>
      <c r="X766" s="15"/>
      <c r="Y766" s="16"/>
      <c r="Z766" s="17"/>
      <c r="AA766" s="16"/>
      <c r="AB766" s="24">
        <v>-2520</v>
      </c>
      <c r="AC766" s="20">
        <v>244.48436938555503</v>
      </c>
      <c r="AD766" s="21">
        <v>46047</v>
      </c>
      <c r="AE766" s="22">
        <v>619853.97556599532</v>
      </c>
      <c r="AF766" s="23">
        <v>470142.50593333365</v>
      </c>
      <c r="AG766" s="24">
        <v>572662.50593333354</v>
      </c>
      <c r="AH766" s="15">
        <v>0.5</v>
      </c>
      <c r="AI766" s="25" t="s">
        <v>1082</v>
      </c>
      <c r="AJ766" s="25">
        <v>-196</v>
      </c>
      <c r="AK766" s="25">
        <v>2000</v>
      </c>
      <c r="AL766" s="25">
        <v>145</v>
      </c>
      <c r="AM766" s="25">
        <v>2000</v>
      </c>
      <c r="AN766" s="25">
        <v>-161</v>
      </c>
      <c r="AO766" s="25">
        <v>125</v>
      </c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>
        <v>-140</v>
      </c>
      <c r="BC766" s="25">
        <v>110</v>
      </c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>
        <v>-125</v>
      </c>
      <c r="BQ766" s="1">
        <v>-105</v>
      </c>
      <c r="BR766" s="1">
        <v>1000</v>
      </c>
      <c r="BS766" s="1">
        <v>1000</v>
      </c>
      <c r="BT766" s="1">
        <v>-125</v>
      </c>
      <c r="BU766" s="1">
        <v>-105</v>
      </c>
    </row>
    <row r="767" spans="1:73" ht="15" customHeight="1" x14ac:dyDescent="0.25">
      <c r="A767" s="1">
        <f t="shared" si="47"/>
        <v>378</v>
      </c>
      <c r="B767" s="1" t="str">
        <f t="shared" si="44"/>
        <v xml:space="preserve">Golden </v>
      </c>
      <c r="C767" s="1">
        <f t="shared" si="45"/>
        <v>0</v>
      </c>
      <c r="D767" s="2" t="str">
        <f t="shared" si="46"/>
        <v>2026-01</v>
      </c>
      <c r="E767" s="3" t="s">
        <v>1083</v>
      </c>
      <c r="F767" s="4" t="s">
        <v>814</v>
      </c>
      <c r="G767" s="5">
        <v>46047</v>
      </c>
      <c r="H767" s="4">
        <v>318</v>
      </c>
      <c r="I767" s="4">
        <v>-318</v>
      </c>
      <c r="J767" s="7">
        <v>360</v>
      </c>
      <c r="K767" s="8">
        <v>0.10047846889952154</v>
      </c>
      <c r="L767" s="9">
        <v>2.1843145412939469E-2</v>
      </c>
      <c r="M767" s="10">
        <v>318</v>
      </c>
      <c r="N767" s="11">
        <v>4.5999999999999996</v>
      </c>
      <c r="O767" s="12">
        <v>8003.01328056885</v>
      </c>
      <c r="P767" s="13" t="s">
        <v>506</v>
      </c>
      <c r="Q767" s="13" t="s">
        <v>81</v>
      </c>
      <c r="R767" s="14" t="s">
        <v>723</v>
      </c>
      <c r="S767" s="13">
        <v>190</v>
      </c>
      <c r="T767" s="13">
        <v>133</v>
      </c>
      <c r="U767" s="13">
        <v>133</v>
      </c>
      <c r="V767" s="6" t="s">
        <v>77</v>
      </c>
      <c r="W767" s="15"/>
      <c r="X767" s="15"/>
      <c r="Y767" s="16"/>
      <c r="Z767" s="17"/>
      <c r="AA767" s="16"/>
      <c r="AB767" s="24">
        <v>478.8</v>
      </c>
      <c r="AC767" s="20">
        <v>13.363636363636365</v>
      </c>
      <c r="AD767" s="21">
        <v>46047</v>
      </c>
      <c r="AE767" s="22">
        <v>623981.12370988401</v>
      </c>
      <c r="AF767" s="23">
        <v>473951.86593333352</v>
      </c>
      <c r="AG767" s="24">
        <v>573473.06593333348</v>
      </c>
      <c r="AH767" s="15">
        <v>0.5</v>
      </c>
      <c r="AI767" s="25" t="s">
        <v>1084</v>
      </c>
      <c r="AJ767" s="25"/>
      <c r="AK767" s="25"/>
      <c r="AL767" s="25"/>
      <c r="AM767" s="25"/>
      <c r="AN767" s="25">
        <v>240</v>
      </c>
      <c r="AO767" s="25">
        <v>-327</v>
      </c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>
        <v>200</v>
      </c>
      <c r="BC767" s="25">
        <v>-265</v>
      </c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R767" s="1">
        <v>1000</v>
      </c>
      <c r="BS767" s="1">
        <v>1000</v>
      </c>
      <c r="BT767" s="1">
        <v>180</v>
      </c>
      <c r="BU767" s="1">
        <v>-238</v>
      </c>
    </row>
    <row r="768" spans="1:73" ht="15" customHeight="1" x14ac:dyDescent="0.25">
      <c r="A768" s="1">
        <f t="shared" si="47"/>
        <v>379</v>
      </c>
      <c r="B768" s="1" t="str">
        <f t="shared" si="44"/>
        <v xml:space="preserve">Golden </v>
      </c>
      <c r="C768" s="1">
        <f t="shared" si="45"/>
        <v>1</v>
      </c>
      <c r="D768" s="2" t="str">
        <f t="shared" si="46"/>
        <v>2026-01</v>
      </c>
      <c r="E768" s="3" t="s">
        <v>1085</v>
      </c>
      <c r="F768" s="4" t="s">
        <v>814</v>
      </c>
      <c r="G768" s="5">
        <v>46047</v>
      </c>
      <c r="H768" s="4">
        <v>-160</v>
      </c>
      <c r="I768" s="4">
        <v>130</v>
      </c>
      <c r="J768" s="7">
        <v>-114</v>
      </c>
      <c r="K768" s="8">
        <v>0.10001117443289739</v>
      </c>
      <c r="L768" s="9">
        <v>5.3276980772664961E-2</v>
      </c>
      <c r="M768" s="10">
        <v>-141.53846153846152</v>
      </c>
      <c r="N768" s="11">
        <v>1.8771929824561404</v>
      </c>
      <c r="O768" s="12">
        <v>32608.69541785559</v>
      </c>
      <c r="P768" s="13" t="s">
        <v>506</v>
      </c>
      <c r="Q768" s="13" t="s">
        <v>92</v>
      </c>
      <c r="R768" s="14" t="s">
        <v>723</v>
      </c>
      <c r="S768" s="13">
        <v>1300</v>
      </c>
      <c r="T768" s="13">
        <v>909.99999999999989</v>
      </c>
      <c r="U768" s="13">
        <v>909.99999999999989</v>
      </c>
      <c r="V768" s="6" t="s">
        <v>77</v>
      </c>
      <c r="W768" s="15"/>
      <c r="X768" s="15"/>
      <c r="Y768" s="16"/>
      <c r="Z768" s="17"/>
      <c r="AA768" s="16"/>
      <c r="AB768" s="24">
        <v>798.25</v>
      </c>
      <c r="AC768" s="20">
        <v>91.010168733936609</v>
      </c>
      <c r="AD768" s="21">
        <v>46047</v>
      </c>
      <c r="AE768" s="22">
        <v>623565.99583447387</v>
      </c>
      <c r="AF768" s="23">
        <v>472816.70593333355</v>
      </c>
      <c r="AG768" s="24">
        <v>572018.45593333349</v>
      </c>
      <c r="AH768" s="15">
        <v>0.5</v>
      </c>
      <c r="AI768" s="25" t="s">
        <v>1086</v>
      </c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</row>
    <row r="769" spans="1:73" ht="15" customHeight="1" x14ac:dyDescent="0.25">
      <c r="A769" s="1">
        <f t="shared" si="47"/>
        <v>379</v>
      </c>
      <c r="B769" s="1" t="str">
        <f t="shared" si="44"/>
        <v xml:space="preserve">Golden </v>
      </c>
      <c r="C769" s="1">
        <f t="shared" si="45"/>
        <v>1</v>
      </c>
      <c r="D769" s="2" t="str">
        <f t="shared" si="46"/>
        <v>2026-01</v>
      </c>
      <c r="E769" s="3" t="s">
        <v>1087</v>
      </c>
      <c r="F769" s="4" t="s">
        <v>814</v>
      </c>
      <c r="G769" s="5">
        <v>46047</v>
      </c>
      <c r="H769" s="4">
        <v>-150</v>
      </c>
      <c r="I769" s="4">
        <v>150</v>
      </c>
      <c r="J769" s="7">
        <v>-127</v>
      </c>
      <c r="K769" s="8">
        <v>7.2440944881889888E-2</v>
      </c>
      <c r="L769" s="9">
        <v>4.0528634361233551E-2</v>
      </c>
      <c r="M769" s="10">
        <v>-150.00000000000006</v>
      </c>
      <c r="N769" s="11">
        <v>1.7874015748031495</v>
      </c>
      <c r="O769" s="12">
        <v>26282.753472933389</v>
      </c>
      <c r="P769" s="13" t="s">
        <v>506</v>
      </c>
      <c r="Q769" s="13" t="s">
        <v>92</v>
      </c>
      <c r="R769" s="14" t="s">
        <v>723</v>
      </c>
      <c r="S769" s="13">
        <v>1450</v>
      </c>
      <c r="T769" s="13">
        <v>1014.9999999999999</v>
      </c>
      <c r="U769" s="13">
        <v>1014.9999999999999</v>
      </c>
      <c r="V769" s="6" t="s">
        <v>77</v>
      </c>
      <c r="W769" s="15"/>
      <c r="X769" s="15"/>
      <c r="Y769" s="16"/>
      <c r="Z769" s="17"/>
      <c r="AA769" s="16"/>
      <c r="AB769" s="24">
        <v>799.21</v>
      </c>
      <c r="AC769" s="20">
        <v>73.527559055118232</v>
      </c>
      <c r="AD769" s="21">
        <v>46047</v>
      </c>
      <c r="AE769" s="22">
        <v>623760.79839352902</v>
      </c>
      <c r="AF769" s="23">
        <v>472163.41593333357</v>
      </c>
      <c r="AG769" s="24">
        <v>571364.20593333349</v>
      </c>
      <c r="AH769" s="15">
        <v>0.5</v>
      </c>
      <c r="AI769" s="25" t="s">
        <v>1088</v>
      </c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</row>
    <row r="770" spans="1:73" ht="15" customHeight="1" x14ac:dyDescent="0.25">
      <c r="A770" s="1">
        <f t="shared" si="47"/>
        <v>379</v>
      </c>
      <c r="B770" s="1" t="str">
        <f t="shared" ref="B770:B833" si="48">LEFT(E770, FIND(" ", E770))</f>
        <v xml:space="preserve">Golden </v>
      </c>
      <c r="C770" s="1">
        <f t="shared" ref="C770:C833" si="49">IF(Q770="total", 1, 0)</f>
        <v>1</v>
      </c>
      <c r="D770" s="2" t="str">
        <f t="shared" ref="D770:D833" si="50">YEAR(G770)&amp;"-"&amp;IF(MONTH(G770)&lt;10, "0", "")&amp;MONTH(G770)</f>
        <v>2026-01</v>
      </c>
      <c r="E770" s="28" t="s">
        <v>1089</v>
      </c>
      <c r="F770" s="29" t="s">
        <v>814</v>
      </c>
      <c r="G770" s="102">
        <v>46047</v>
      </c>
      <c r="H770" s="6">
        <v>100</v>
      </c>
      <c r="I770" s="6">
        <v>-110</v>
      </c>
      <c r="J770" s="30">
        <v>123</v>
      </c>
      <c r="K770" s="8">
        <v>8.9069767441860501E-2</v>
      </c>
      <c r="L770" s="9">
        <v>3.994159974971323E-2</v>
      </c>
      <c r="M770" s="10">
        <v>104.76190476190474</v>
      </c>
      <c r="N770" s="11">
        <v>2.23</v>
      </c>
      <c r="O770" s="12">
        <v>20716.448128423785</v>
      </c>
      <c r="P770" s="13" t="s">
        <v>506</v>
      </c>
      <c r="Q770" s="13" t="s">
        <v>92</v>
      </c>
      <c r="R770" s="14" t="s">
        <v>723</v>
      </c>
      <c r="S770" s="13">
        <v>1100</v>
      </c>
      <c r="T770" s="13">
        <v>770</v>
      </c>
      <c r="U770" s="13">
        <v>770</v>
      </c>
      <c r="V770" s="6" t="s">
        <v>77</v>
      </c>
      <c r="W770" s="15"/>
      <c r="X770" s="15"/>
      <c r="Y770" s="16"/>
      <c r="Z770" s="17"/>
      <c r="AA770" s="16"/>
      <c r="AB770" s="24">
        <v>947.1</v>
      </c>
      <c r="AC770" s="20">
        <v>68.583720930232587</v>
      </c>
      <c r="AD770" s="21">
        <v>46047</v>
      </c>
      <c r="AE770" s="22">
        <v>623829.38211445929</v>
      </c>
      <c r="AF770" s="23">
        <v>473110.51593333355</v>
      </c>
      <c r="AG770" s="24">
        <v>572163.41593333345</v>
      </c>
      <c r="AH770" s="15">
        <v>0.5</v>
      </c>
      <c r="AI770" s="25" t="s">
        <v>1090</v>
      </c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</row>
    <row r="771" spans="1:73" ht="15" customHeight="1" x14ac:dyDescent="0.25">
      <c r="A771" s="1">
        <f t="shared" si="47"/>
        <v>379</v>
      </c>
      <c r="B771" s="1" t="str">
        <f t="shared" si="48"/>
        <v xml:space="preserve">Golden </v>
      </c>
      <c r="C771" s="1">
        <f t="shared" si="49"/>
        <v>1</v>
      </c>
      <c r="D771" s="2" t="str">
        <f t="shared" si="50"/>
        <v>2026-01</v>
      </c>
      <c r="E771" s="3" t="s">
        <v>1091</v>
      </c>
      <c r="F771" s="4" t="s">
        <v>814</v>
      </c>
      <c r="G771" s="5">
        <v>46047</v>
      </c>
      <c r="H771" s="4">
        <v>-125</v>
      </c>
      <c r="I771" s="4">
        <v>125</v>
      </c>
      <c r="J771" s="7">
        <v>-106</v>
      </c>
      <c r="K771" s="8">
        <v>7.9664570230608023E-2</v>
      </c>
      <c r="L771" s="9">
        <v>4.0992448759439082E-2</v>
      </c>
      <c r="M771" s="10">
        <v>-125.00000000000001</v>
      </c>
      <c r="N771" s="11">
        <v>1.9433962264150944</v>
      </c>
      <c r="O771" s="12">
        <v>24197.999561629651</v>
      </c>
      <c r="P771" s="13" t="s">
        <v>506</v>
      </c>
      <c r="Q771" s="13" t="s">
        <v>92</v>
      </c>
      <c r="R771" s="14" t="s">
        <v>723</v>
      </c>
      <c r="S771" s="13">
        <v>1450</v>
      </c>
      <c r="T771" s="13">
        <v>1014.9999999999999</v>
      </c>
      <c r="U771" s="13">
        <v>1014.9999999999999</v>
      </c>
      <c r="V771" s="6" t="s">
        <v>77</v>
      </c>
      <c r="W771" s="15"/>
      <c r="X771" s="15"/>
      <c r="Y771" s="16"/>
      <c r="Z771" s="17"/>
      <c r="AA771" s="16"/>
      <c r="AB771" s="24">
        <v>957.55</v>
      </c>
      <c r="AC771" s="20">
        <v>80.859538784067141</v>
      </c>
      <c r="AD771" s="21">
        <v>46047</v>
      </c>
      <c r="AE771" s="22">
        <v>623910.24165324331</v>
      </c>
      <c r="AF771" s="23">
        <v>474068.06593333354</v>
      </c>
      <c r="AG771" s="24">
        <v>573110.51593333343</v>
      </c>
      <c r="AH771" s="15">
        <v>0.5</v>
      </c>
      <c r="AI771" s="25" t="s">
        <v>1092</v>
      </c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</row>
    <row r="772" spans="1:73" ht="15" customHeight="1" x14ac:dyDescent="0.25">
      <c r="A772" s="1">
        <f t="shared" ref="A772:A835" si="51">IF(AND(B772=B771, C772=C771, G772=G771), A771, A771+1)</f>
        <v>379</v>
      </c>
      <c r="B772" s="1" t="str">
        <f t="shared" si="48"/>
        <v xml:space="preserve">Golden </v>
      </c>
      <c r="C772" s="1">
        <f t="shared" si="49"/>
        <v>1</v>
      </c>
      <c r="D772" s="2" t="str">
        <f t="shared" si="50"/>
        <v>2026-01</v>
      </c>
      <c r="E772" s="3" t="s">
        <v>1093</v>
      </c>
      <c r="F772" s="4" t="s">
        <v>814</v>
      </c>
      <c r="G772" s="5">
        <v>46047</v>
      </c>
      <c r="H772" s="4">
        <v>165</v>
      </c>
      <c r="I772" s="4">
        <v>-205</v>
      </c>
      <c r="J772" s="7">
        <v>205</v>
      </c>
      <c r="K772" s="8">
        <v>9.6669613910993435E-2</v>
      </c>
      <c r="L772" s="9">
        <v>3.1694955380653589E-2</v>
      </c>
      <c r="M772" s="10">
        <v>178.11475409836058</v>
      </c>
      <c r="N772" s="11">
        <v>3.05</v>
      </c>
      <c r="O772" s="12">
        <v>13535.350803025873</v>
      </c>
      <c r="P772" s="13" t="s">
        <v>506</v>
      </c>
      <c r="Q772" s="13" t="s">
        <v>92</v>
      </c>
      <c r="R772" s="14" t="s">
        <v>723</v>
      </c>
      <c r="S772" s="13">
        <v>850</v>
      </c>
      <c r="T772" s="13">
        <v>595</v>
      </c>
      <c r="U772" s="13">
        <v>595</v>
      </c>
      <c r="V772" s="6" t="s">
        <v>82</v>
      </c>
      <c r="W772" s="15"/>
      <c r="X772" s="15"/>
      <c r="Y772" s="16"/>
      <c r="Z772" s="17"/>
      <c r="AA772" s="16"/>
      <c r="AB772" s="24">
        <v>-595</v>
      </c>
      <c r="AC772" s="20">
        <v>57.518420277041095</v>
      </c>
      <c r="AD772" s="21">
        <v>46047</v>
      </c>
      <c r="AE772" s="22">
        <v>623967.76007352036</v>
      </c>
      <c r="AF772" s="23">
        <v>473473.06593333354</v>
      </c>
      <c r="AG772" s="24">
        <v>574068.06593333348</v>
      </c>
      <c r="AH772" s="15">
        <v>0.5</v>
      </c>
      <c r="AI772" s="25" t="s">
        <v>1094</v>
      </c>
      <c r="AJ772" s="25">
        <v>-113</v>
      </c>
      <c r="AK772" s="25">
        <v>10500</v>
      </c>
      <c r="AL772" s="25">
        <v>-102</v>
      </c>
      <c r="AM772" s="25">
        <v>10500</v>
      </c>
      <c r="AN772" s="25">
        <v>-117</v>
      </c>
      <c r="AO772" s="25">
        <v>-103</v>
      </c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>
        <v>-106</v>
      </c>
      <c r="BC772" s="25">
        <v>-114</v>
      </c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>
        <v>-110</v>
      </c>
      <c r="BQ772" s="1">
        <v>-130</v>
      </c>
      <c r="BR772" s="1">
        <v>1000</v>
      </c>
      <c r="BS772" s="1">
        <v>1000</v>
      </c>
      <c r="BT772" s="1">
        <v>-105</v>
      </c>
      <c r="BU772" s="1">
        <v>-130</v>
      </c>
    </row>
    <row r="773" spans="1:73" ht="15" customHeight="1" x14ac:dyDescent="0.25">
      <c r="A773" s="1">
        <f t="shared" si="51"/>
        <v>379</v>
      </c>
      <c r="B773" s="1" t="str">
        <f t="shared" si="48"/>
        <v xml:space="preserve">Golden </v>
      </c>
      <c r="C773" s="1">
        <f t="shared" si="49"/>
        <v>1</v>
      </c>
      <c r="D773" s="2" t="str">
        <f t="shared" si="50"/>
        <v>2026-01</v>
      </c>
      <c r="E773" s="3" t="s">
        <v>1095</v>
      </c>
      <c r="F773" s="4" t="s">
        <v>814</v>
      </c>
      <c r="G773" s="5">
        <v>46047</v>
      </c>
      <c r="H773" s="4">
        <v>-109</v>
      </c>
      <c r="I773" s="4">
        <v>-119</v>
      </c>
      <c r="J773" s="7">
        <v>125</v>
      </c>
      <c r="K773" s="8">
        <v>0.10191928931927284</v>
      </c>
      <c r="L773" s="9">
        <v>4.5297461919676818E-2</v>
      </c>
      <c r="M773" s="10">
        <v>104.18918352813039</v>
      </c>
      <c r="N773" s="11">
        <v>2.25</v>
      </c>
      <c r="O773" s="12">
        <v>23398.70651175837</v>
      </c>
      <c r="P773" s="13" t="s">
        <v>506</v>
      </c>
      <c r="Q773" s="13" t="s">
        <v>92</v>
      </c>
      <c r="R773" s="14" t="s">
        <v>723</v>
      </c>
      <c r="S773" s="13">
        <v>1127</v>
      </c>
      <c r="T773" s="13">
        <v>788.9</v>
      </c>
      <c r="U773" s="13">
        <v>788.9</v>
      </c>
      <c r="V773" s="6" t="s">
        <v>77</v>
      </c>
      <c r="W773" s="15"/>
      <c r="X773" s="15"/>
      <c r="Y773" s="16"/>
      <c r="Z773" s="17"/>
      <c r="AA773" s="16"/>
      <c r="AB773" s="24">
        <v>986.13</v>
      </c>
      <c r="AC773" s="20">
        <v>80.404127343974338</v>
      </c>
      <c r="AD773" s="21">
        <v>46047</v>
      </c>
      <c r="AE773" s="22">
        <v>624061.52783722803</v>
      </c>
      <c r="AF773" s="23">
        <v>474937.99593333353</v>
      </c>
      <c r="AG773" s="24">
        <v>573951.86593333352</v>
      </c>
      <c r="AH773" s="15">
        <v>0.5</v>
      </c>
      <c r="AI773" s="25" t="s">
        <v>1096</v>
      </c>
      <c r="AJ773" s="25">
        <v>134</v>
      </c>
      <c r="AK773" s="25">
        <v>20000</v>
      </c>
      <c r="AL773" s="25">
        <v>-179</v>
      </c>
      <c r="AM773" s="25">
        <v>20000</v>
      </c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>
        <v>171</v>
      </c>
      <c r="BQ773" s="1">
        <v>-244</v>
      </c>
    </row>
    <row r="774" spans="1:73" ht="15" customHeight="1" x14ac:dyDescent="0.25">
      <c r="A774" s="1">
        <f t="shared" si="51"/>
        <v>379</v>
      </c>
      <c r="B774" s="1" t="str">
        <f t="shared" si="48"/>
        <v xml:space="preserve">Golden </v>
      </c>
      <c r="C774" s="1">
        <f t="shared" si="49"/>
        <v>1</v>
      </c>
      <c r="D774" s="2" t="str">
        <f t="shared" si="50"/>
        <v>2026-01</v>
      </c>
      <c r="E774" s="3" t="s">
        <v>1097</v>
      </c>
      <c r="F774" s="4" t="s">
        <v>814</v>
      </c>
      <c r="G774" s="5">
        <v>46047</v>
      </c>
      <c r="H774" s="4">
        <v>120</v>
      </c>
      <c r="I774" s="4">
        <v>-120</v>
      </c>
      <c r="J774" s="7">
        <v>160</v>
      </c>
      <c r="K774" s="8">
        <v>0.18181818181818188</v>
      </c>
      <c r="L774" s="9">
        <v>6.9930069930069949E-2</v>
      </c>
      <c r="M774" s="10">
        <v>120</v>
      </c>
      <c r="N774" s="11">
        <v>2.6</v>
      </c>
      <c r="O774" s="12">
        <v>32710.084996212143</v>
      </c>
      <c r="P774" s="13" t="s">
        <v>506</v>
      </c>
      <c r="Q774" s="13" t="s">
        <v>92</v>
      </c>
      <c r="R774" s="14" t="s">
        <v>723</v>
      </c>
      <c r="S774" s="13">
        <v>875</v>
      </c>
      <c r="T774" s="13">
        <v>612.5</v>
      </c>
      <c r="U774" s="13">
        <v>612.5</v>
      </c>
      <c r="V774" s="6" t="s">
        <v>77</v>
      </c>
      <c r="W774" s="15"/>
      <c r="X774" s="15"/>
      <c r="Y774" s="16"/>
      <c r="Z774" s="17"/>
      <c r="AA774" s="16"/>
      <c r="AB774" s="24">
        <v>980</v>
      </c>
      <c r="AC774" s="20">
        <v>111.3636363636364</v>
      </c>
      <c r="AD774" s="21">
        <v>46047</v>
      </c>
      <c r="AE774" s="22">
        <v>624232.44061696413</v>
      </c>
      <c r="AF774" s="23">
        <v>476677.49593333353</v>
      </c>
      <c r="AG774" s="24">
        <v>575697.49593333353</v>
      </c>
      <c r="AH774" s="15">
        <v>0.5</v>
      </c>
      <c r="AI774" s="25" t="s">
        <v>1098</v>
      </c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</row>
    <row r="775" spans="1:73" ht="15" customHeight="1" x14ac:dyDescent="0.25">
      <c r="A775" s="1">
        <f t="shared" si="51"/>
        <v>379</v>
      </c>
      <c r="B775" s="1" t="str">
        <f t="shared" si="48"/>
        <v xml:space="preserve">Golden </v>
      </c>
      <c r="C775" s="1">
        <f t="shared" si="49"/>
        <v>1</v>
      </c>
      <c r="D775" s="2" t="str">
        <f t="shared" si="50"/>
        <v>2026-01</v>
      </c>
      <c r="E775" s="3" t="s">
        <v>1099</v>
      </c>
      <c r="F775" s="4" t="s">
        <v>814</v>
      </c>
      <c r="G775" s="5">
        <v>46047</v>
      </c>
      <c r="H775" s="4">
        <v>100</v>
      </c>
      <c r="I775" s="4">
        <v>-100</v>
      </c>
      <c r="J775" s="7">
        <v>118</v>
      </c>
      <c r="K775" s="8">
        <v>8.9999999999999802E-2</v>
      </c>
      <c r="L775" s="9">
        <v>4.128440366972469E-2</v>
      </c>
      <c r="M775" s="10">
        <v>100</v>
      </c>
      <c r="N775" s="11">
        <v>2.1799999999999997</v>
      </c>
      <c r="O775" s="12">
        <v>21991.938404237251</v>
      </c>
      <c r="P775" s="13" t="s">
        <v>506</v>
      </c>
      <c r="Q775" s="13" t="s">
        <v>92</v>
      </c>
      <c r="R775" s="14" t="s">
        <v>723</v>
      </c>
      <c r="S775" s="13">
        <v>933</v>
      </c>
      <c r="T775" s="13">
        <v>653.09999999999991</v>
      </c>
      <c r="U775" s="13">
        <v>653.09999999999991</v>
      </c>
      <c r="V775" s="6" t="s">
        <v>77</v>
      </c>
      <c r="W775" s="15"/>
      <c r="X775" s="15"/>
      <c r="Y775" s="16"/>
      <c r="Z775" s="17"/>
      <c r="AA775" s="16"/>
      <c r="AB775" s="24">
        <v>770.66</v>
      </c>
      <c r="AC775" s="20">
        <v>58.778999999999861</v>
      </c>
      <c r="AD775" s="21">
        <v>46047</v>
      </c>
      <c r="AE775" s="22">
        <v>624291.21961696411</v>
      </c>
      <c r="AF775" s="23">
        <v>477448.1559333335</v>
      </c>
      <c r="AG775" s="24">
        <v>576677.49593333353</v>
      </c>
      <c r="AH775" s="15">
        <v>0.5</v>
      </c>
      <c r="AI775" s="25" t="s">
        <v>1100</v>
      </c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</row>
    <row r="776" spans="1:73" ht="15" customHeight="1" x14ac:dyDescent="0.25">
      <c r="A776" s="1">
        <f t="shared" si="51"/>
        <v>380</v>
      </c>
      <c r="B776" s="1" t="str">
        <f t="shared" si="48"/>
        <v xml:space="preserve">Los </v>
      </c>
      <c r="C776" s="1">
        <f t="shared" si="49"/>
        <v>0</v>
      </c>
      <c r="D776" s="2" t="str">
        <f t="shared" si="50"/>
        <v>2026-01</v>
      </c>
      <c r="E776" s="3" t="s">
        <v>1101</v>
      </c>
      <c r="F776" s="4" t="s">
        <v>814</v>
      </c>
      <c r="G776" s="5">
        <v>46047</v>
      </c>
      <c r="H776" s="4">
        <v>100</v>
      </c>
      <c r="I776" s="4">
        <v>-100</v>
      </c>
      <c r="J776" s="7">
        <v>117</v>
      </c>
      <c r="K776" s="8">
        <v>8.4999999999999992E-2</v>
      </c>
      <c r="L776" s="9">
        <v>3.9170506912442393E-2</v>
      </c>
      <c r="M776" s="10">
        <v>100</v>
      </c>
      <c r="N776" s="11">
        <v>2.17</v>
      </c>
      <c r="O776" s="12">
        <v>20630.199467663824</v>
      </c>
      <c r="P776" s="13" t="s">
        <v>506</v>
      </c>
      <c r="Q776" s="13" t="s">
        <v>76</v>
      </c>
      <c r="R776" s="14" t="s">
        <v>1102</v>
      </c>
      <c r="S776" s="13">
        <v>2975</v>
      </c>
      <c r="T776" s="13">
        <v>2082.5</v>
      </c>
      <c r="U776" s="13">
        <v>2082.5</v>
      </c>
      <c r="V776" s="31" t="s">
        <v>77</v>
      </c>
      <c r="W776" s="15"/>
      <c r="X776" s="15"/>
      <c r="Y776" s="16"/>
      <c r="Z776" s="17"/>
      <c r="AA776" s="16"/>
      <c r="AB776" s="24">
        <v>2436.5300000000002</v>
      </c>
      <c r="AC776" s="20">
        <v>177.01249999999999</v>
      </c>
      <c r="AD776" s="21">
        <v>46047</v>
      </c>
      <c r="AE776" s="22">
        <v>626425.05709650146</v>
      </c>
      <c r="AF776" s="23">
        <v>470373.78593333351</v>
      </c>
      <c r="AG776" s="24">
        <v>567937.25593333354</v>
      </c>
      <c r="AH776" s="15">
        <v>0.5</v>
      </c>
      <c r="AI776" s="25" t="s">
        <v>1103</v>
      </c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</row>
    <row r="777" spans="1:73" ht="15" customHeight="1" x14ac:dyDescent="0.25">
      <c r="A777" s="1">
        <f t="shared" si="51"/>
        <v>381</v>
      </c>
      <c r="B777" s="1" t="str">
        <f t="shared" si="48"/>
        <v xml:space="preserve">Miami </v>
      </c>
      <c r="C777" s="1">
        <f t="shared" si="49"/>
        <v>0</v>
      </c>
      <c r="D777" s="2" t="str">
        <f t="shared" si="50"/>
        <v>2026-01</v>
      </c>
      <c r="E777" s="100" t="s">
        <v>1104</v>
      </c>
      <c r="F777" s="101" t="s">
        <v>805</v>
      </c>
      <c r="G777" s="102">
        <v>46047</v>
      </c>
      <c r="H777" s="6">
        <v>100</v>
      </c>
      <c r="I777" s="6">
        <v>-100</v>
      </c>
      <c r="J777" s="115">
        <v>128</v>
      </c>
      <c r="K777" s="8">
        <v>0.14000000000000007</v>
      </c>
      <c r="L777" s="9">
        <v>6.1403508771929849E-2</v>
      </c>
      <c r="M777" s="10">
        <v>100</v>
      </c>
      <c r="N777" s="11">
        <v>2.2800000000000002</v>
      </c>
      <c r="O777" s="12">
        <v>31214.609777604182</v>
      </c>
      <c r="P777" s="13" t="s">
        <v>506</v>
      </c>
      <c r="Q777" s="13" t="s">
        <v>76</v>
      </c>
      <c r="R777" s="14" t="s">
        <v>762</v>
      </c>
      <c r="S777" s="13">
        <v>2725</v>
      </c>
      <c r="T777" s="13">
        <v>1907.4999999999998</v>
      </c>
      <c r="U777" s="104">
        <v>1907.4999999999998</v>
      </c>
      <c r="V777" s="31" t="s">
        <v>77</v>
      </c>
      <c r="W777" s="15"/>
      <c r="X777" s="15"/>
      <c r="Y777" s="16"/>
      <c r="Z777" s="17"/>
      <c r="AA777" s="16"/>
      <c r="AB777" s="24">
        <v>2441.6</v>
      </c>
      <c r="AC777" s="20">
        <v>267.05000000000013</v>
      </c>
      <c r="AD777" s="21">
        <v>46047</v>
      </c>
      <c r="AE777" s="22">
        <v>620681.23111152987</v>
      </c>
      <c r="AF777" s="23">
        <v>473223.03593333362</v>
      </c>
      <c r="AG777" s="24">
        <v>570781.43593333347</v>
      </c>
      <c r="AH777" s="15">
        <v>0.5</v>
      </c>
      <c r="AI777" s="25" t="s">
        <v>1105</v>
      </c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</row>
    <row r="778" spans="1:73" ht="15" customHeight="1" x14ac:dyDescent="0.25">
      <c r="A778" s="1">
        <f t="shared" si="51"/>
        <v>382</v>
      </c>
      <c r="B778" s="1" t="str">
        <f t="shared" si="48"/>
        <v xml:space="preserve">Miami </v>
      </c>
      <c r="C778" s="1">
        <f t="shared" si="49"/>
        <v>1</v>
      </c>
      <c r="D778" s="2" t="str">
        <f t="shared" si="50"/>
        <v>2026-01</v>
      </c>
      <c r="E778" s="100" t="s">
        <v>1106</v>
      </c>
      <c r="F778" s="101" t="s">
        <v>805</v>
      </c>
      <c r="G778" s="5">
        <v>46047</v>
      </c>
      <c r="H778" s="6">
        <v>-140</v>
      </c>
      <c r="I778" s="6">
        <v>100</v>
      </c>
      <c r="J778" s="115">
        <v>112</v>
      </c>
      <c r="K778" s="8">
        <v>0.14153846153846161</v>
      </c>
      <c r="L778" s="9">
        <v>6.6763425253991315E-2</v>
      </c>
      <c r="M778" s="10">
        <v>-116.66666666666666</v>
      </c>
      <c r="N778" s="11">
        <v>2.12</v>
      </c>
      <c r="O778" s="12">
        <v>36044.529358424938</v>
      </c>
      <c r="P778" s="13" t="s">
        <v>506</v>
      </c>
      <c r="Q778" s="13" t="s">
        <v>92</v>
      </c>
      <c r="R778" s="14" t="s">
        <v>762</v>
      </c>
      <c r="S778" s="13">
        <v>1550</v>
      </c>
      <c r="T778" s="13">
        <v>1085</v>
      </c>
      <c r="U778" s="104">
        <v>1085</v>
      </c>
      <c r="V778" s="31" t="s">
        <v>77</v>
      </c>
      <c r="W778" s="15"/>
      <c r="X778" s="15"/>
      <c r="Y778" s="16"/>
      <c r="Z778" s="17"/>
      <c r="AA778" s="16"/>
      <c r="AB778" s="24">
        <v>1215.2</v>
      </c>
      <c r="AC778" s="20">
        <v>153.56923076923084</v>
      </c>
      <c r="AD778" s="21">
        <v>46047</v>
      </c>
      <c r="AE778" s="22">
        <v>620040.14207204885</v>
      </c>
      <c r="AF778" s="23">
        <v>471659.05593333364</v>
      </c>
      <c r="AG778" s="24">
        <v>570443.85593333351</v>
      </c>
      <c r="AH778" s="15">
        <v>0.5</v>
      </c>
      <c r="AI778" s="25" t="s">
        <v>1107</v>
      </c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</row>
    <row r="779" spans="1:73" ht="15" customHeight="1" x14ac:dyDescent="0.25">
      <c r="A779" s="1">
        <f t="shared" si="51"/>
        <v>382</v>
      </c>
      <c r="B779" s="1" t="str">
        <f t="shared" si="48"/>
        <v xml:space="preserve">Miami </v>
      </c>
      <c r="C779" s="1">
        <f t="shared" si="49"/>
        <v>1</v>
      </c>
      <c r="D779" s="2" t="str">
        <f t="shared" si="50"/>
        <v>2026-01</v>
      </c>
      <c r="E779" s="100" t="s">
        <v>1108</v>
      </c>
      <c r="F779" s="101" t="s">
        <v>805</v>
      </c>
      <c r="G779" s="5">
        <v>46047</v>
      </c>
      <c r="H779" s="6">
        <v>-130</v>
      </c>
      <c r="I779" s="6">
        <v>-113</v>
      </c>
      <c r="J779" s="115">
        <v>115</v>
      </c>
      <c r="K779" s="8">
        <v>0.10904433681073031</v>
      </c>
      <c r="L779" s="9">
        <v>5.0718296191037349E-2</v>
      </c>
      <c r="M779" s="10">
        <v>-106.54097729896115</v>
      </c>
      <c r="N779" s="11">
        <v>2.15</v>
      </c>
      <c r="O779" s="12">
        <v>27102.688102651537</v>
      </c>
      <c r="P779" s="13" t="s">
        <v>506</v>
      </c>
      <c r="Q779" s="13" t="s">
        <v>92</v>
      </c>
      <c r="R779" s="14" t="s">
        <v>762</v>
      </c>
      <c r="S779" s="13">
        <v>1500</v>
      </c>
      <c r="T779" s="13">
        <v>1050</v>
      </c>
      <c r="U779" s="104">
        <v>1050</v>
      </c>
      <c r="V779" s="31" t="s">
        <v>82</v>
      </c>
      <c r="W779" s="15"/>
      <c r="X779" s="15"/>
      <c r="Y779" s="16"/>
      <c r="Z779" s="17"/>
      <c r="AA779" s="16"/>
      <c r="AB779" s="24">
        <v>-1050</v>
      </c>
      <c r="AC779" s="20">
        <v>114.49655365126682</v>
      </c>
      <c r="AD779" s="21">
        <v>46047</v>
      </c>
      <c r="AE779" s="22">
        <v>620154.63862570014</v>
      </c>
      <c r="AF779" s="23">
        <v>470609.05593333364</v>
      </c>
      <c r="AG779" s="24">
        <v>571659.05593333347</v>
      </c>
      <c r="AH779" s="15">
        <v>0.5</v>
      </c>
      <c r="AI779" s="25" t="s">
        <v>1109</v>
      </c>
      <c r="AJ779" s="25"/>
      <c r="AK779" s="25"/>
      <c r="AL779" s="25"/>
      <c r="AM779" s="25"/>
      <c r="AN779" s="25">
        <v>-114</v>
      </c>
      <c r="AO779" s="25">
        <v>-113</v>
      </c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>
        <v>-120</v>
      </c>
      <c r="BC779" s="25">
        <v>-102</v>
      </c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R779" s="1">
        <v>1000</v>
      </c>
      <c r="BS779" s="1">
        <v>1000</v>
      </c>
    </row>
    <row r="780" spans="1:73" ht="15" customHeight="1" x14ac:dyDescent="0.25">
      <c r="A780" s="1">
        <f t="shared" si="51"/>
        <v>382</v>
      </c>
      <c r="B780" s="1" t="str">
        <f t="shared" si="48"/>
        <v xml:space="preserve">Miami </v>
      </c>
      <c r="C780" s="1">
        <f t="shared" si="49"/>
        <v>1</v>
      </c>
      <c r="D780" s="2" t="str">
        <f t="shared" si="50"/>
        <v>2026-01</v>
      </c>
      <c r="E780" s="100" t="s">
        <v>1110</v>
      </c>
      <c r="F780" s="101" t="s">
        <v>805</v>
      </c>
      <c r="G780" s="5">
        <v>46047</v>
      </c>
      <c r="H780" s="6">
        <v>-135</v>
      </c>
      <c r="I780" s="6">
        <v>123</v>
      </c>
      <c r="J780" s="115">
        <v>102</v>
      </c>
      <c r="K780" s="8">
        <v>0.13444827907844425</v>
      </c>
      <c r="L780" s="9">
        <v>6.655855399922983E-2</v>
      </c>
      <c r="M780" s="10">
        <v>-128.10638297872342</v>
      </c>
      <c r="N780" s="11">
        <v>2.02</v>
      </c>
      <c r="O780" s="12">
        <v>37606.571370986487</v>
      </c>
      <c r="P780" s="13" t="s">
        <v>506</v>
      </c>
      <c r="Q780" s="13" t="s">
        <v>92</v>
      </c>
      <c r="R780" s="14" t="s">
        <v>762</v>
      </c>
      <c r="S780" s="13">
        <v>1475</v>
      </c>
      <c r="T780" s="13">
        <v>1032.5</v>
      </c>
      <c r="U780" s="104">
        <v>1032.5</v>
      </c>
      <c r="V780" s="31" t="s">
        <v>82</v>
      </c>
      <c r="W780" s="15"/>
      <c r="X780" s="15"/>
      <c r="Y780" s="16"/>
      <c r="Z780" s="17"/>
      <c r="AA780" s="16"/>
      <c r="AB780" s="24">
        <v>-1032.5</v>
      </c>
      <c r="AC780" s="20">
        <v>138.81784814849368</v>
      </c>
      <c r="AD780" s="21">
        <v>46047</v>
      </c>
      <c r="AE780" s="22">
        <v>620293.45647384867</v>
      </c>
      <c r="AF780" s="23">
        <v>469576.55593333364</v>
      </c>
      <c r="AG780" s="24">
        <v>570609.05593333347</v>
      </c>
      <c r="AH780" s="15">
        <v>0.5</v>
      </c>
      <c r="AI780" s="25" t="s">
        <v>1111</v>
      </c>
      <c r="AJ780" s="25">
        <v>-135</v>
      </c>
      <c r="AK780" s="25">
        <v>500</v>
      </c>
      <c r="AL780" s="25">
        <v>101</v>
      </c>
      <c r="AM780" s="25">
        <v>500</v>
      </c>
      <c r="AN780" s="25">
        <v>-159</v>
      </c>
      <c r="AO780" s="25">
        <v>123</v>
      </c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>
        <v>-180</v>
      </c>
      <c r="BC780" s="25">
        <v>144</v>
      </c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R780" s="1">
        <v>1000</v>
      </c>
      <c r="BS780" s="1">
        <v>1000</v>
      </c>
    </row>
    <row r="781" spans="1:73" ht="15" customHeight="1" x14ac:dyDescent="0.25">
      <c r="A781" s="1">
        <f t="shared" si="51"/>
        <v>382</v>
      </c>
      <c r="B781" s="1" t="str">
        <f t="shared" si="48"/>
        <v xml:space="preserve">Miami </v>
      </c>
      <c r="C781" s="1">
        <f t="shared" si="49"/>
        <v>1</v>
      </c>
      <c r="D781" s="2" t="str">
        <f t="shared" si="50"/>
        <v>2026-01</v>
      </c>
      <c r="E781" s="100" t="s">
        <v>1112</v>
      </c>
      <c r="F781" s="101" t="s">
        <v>805</v>
      </c>
      <c r="G781" s="102">
        <v>46047</v>
      </c>
      <c r="H781" s="6">
        <v>107</v>
      </c>
      <c r="I781" s="6">
        <v>-107</v>
      </c>
      <c r="J781" s="115">
        <v>135</v>
      </c>
      <c r="K781" s="8">
        <v>0.13526570048309161</v>
      </c>
      <c r="L781" s="9">
        <v>5.7559872545996427E-2</v>
      </c>
      <c r="M781" s="10">
        <v>107</v>
      </c>
      <c r="N781" s="11">
        <v>2.35</v>
      </c>
      <c r="O781" s="12">
        <v>28534.878450766355</v>
      </c>
      <c r="P781" s="13" t="s">
        <v>506</v>
      </c>
      <c r="Q781" s="13" t="s">
        <v>92</v>
      </c>
      <c r="R781" s="14" t="s">
        <v>762</v>
      </c>
      <c r="S781" s="13">
        <v>1275</v>
      </c>
      <c r="T781" s="13">
        <v>892.5</v>
      </c>
      <c r="U781" s="104">
        <v>892.5</v>
      </c>
      <c r="V781" s="120" t="s">
        <v>77</v>
      </c>
      <c r="W781" s="15"/>
      <c r="X781" s="15"/>
      <c r="Y781" s="16"/>
      <c r="Z781" s="17"/>
      <c r="AA781" s="16"/>
      <c r="AB781" s="24">
        <v>1204.8800000000001</v>
      </c>
      <c r="AC781" s="20">
        <v>120.72463768115927</v>
      </c>
      <c r="AD781" s="21">
        <v>46047</v>
      </c>
      <c r="AE781" s="22">
        <v>620414.18111152982</v>
      </c>
      <c r="AF781" s="23">
        <v>470781.43593333365</v>
      </c>
      <c r="AG781" s="24">
        <v>569576.55593333347</v>
      </c>
      <c r="AH781" s="15">
        <v>0.5</v>
      </c>
      <c r="AI781" s="25" t="s">
        <v>1113</v>
      </c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</row>
    <row r="782" spans="1:73" ht="15" customHeight="1" x14ac:dyDescent="0.25">
      <c r="A782" s="1">
        <f t="shared" si="51"/>
        <v>383</v>
      </c>
      <c r="B782" s="1" t="str">
        <f t="shared" si="48"/>
        <v xml:space="preserve">Oklahoma </v>
      </c>
      <c r="C782" s="1">
        <f t="shared" si="49"/>
        <v>0</v>
      </c>
      <c r="D782" s="2" t="str">
        <f t="shared" si="50"/>
        <v>2026-01</v>
      </c>
      <c r="E782" s="3" t="s">
        <v>1114</v>
      </c>
      <c r="F782" s="4" t="s">
        <v>814</v>
      </c>
      <c r="G782" s="5">
        <v>46047</v>
      </c>
      <c r="H782" s="4">
        <v>229</v>
      </c>
      <c r="I782" s="4">
        <v>-310</v>
      </c>
      <c r="J782" s="7">
        <v>300</v>
      </c>
      <c r="K782" s="8">
        <v>0.14693335198265611</v>
      </c>
      <c r="L782" s="9">
        <v>3.6733337995664028E-2</v>
      </c>
      <c r="M782" s="10">
        <v>248.7560975609756</v>
      </c>
      <c r="N782" s="11">
        <v>4</v>
      </c>
      <c r="O782" s="12">
        <v>14118.712063966403</v>
      </c>
      <c r="P782" s="13" t="s">
        <v>506</v>
      </c>
      <c r="Q782" s="13" t="s">
        <v>81</v>
      </c>
      <c r="R782" s="14" t="s">
        <v>536</v>
      </c>
      <c r="S782" s="13">
        <v>466</v>
      </c>
      <c r="T782" s="13">
        <v>326.2</v>
      </c>
      <c r="U782" s="13">
        <v>326.2</v>
      </c>
      <c r="V782" s="31" t="s">
        <v>82</v>
      </c>
      <c r="W782" s="15"/>
      <c r="X782" s="15"/>
      <c r="Y782" s="16"/>
      <c r="Z782" s="17"/>
      <c r="AA782" s="16"/>
      <c r="AB782" s="24">
        <v>-326.2</v>
      </c>
      <c r="AC782" s="20">
        <v>47.929659416742425</v>
      </c>
      <c r="AD782" s="21">
        <v>46047</v>
      </c>
      <c r="AE782" s="22">
        <v>624402.93188507657</v>
      </c>
      <c r="AF782" s="23">
        <v>476209.1559333335</v>
      </c>
      <c r="AG782" s="24">
        <v>576535.35593333351</v>
      </c>
      <c r="AH782" s="15">
        <v>0.5</v>
      </c>
      <c r="AI782" s="25" t="s">
        <v>1115</v>
      </c>
      <c r="AJ782" s="25">
        <v>229</v>
      </c>
      <c r="AK782" s="25">
        <v>800</v>
      </c>
      <c r="AL782" s="25">
        <v>-329</v>
      </c>
      <c r="AM782" s="25">
        <v>800</v>
      </c>
      <c r="AN782" s="25">
        <v>229</v>
      </c>
      <c r="AO782" s="25">
        <v>-310</v>
      </c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>
        <v>215</v>
      </c>
      <c r="BC782" s="25">
        <v>-290</v>
      </c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R782" s="1">
        <v>1000</v>
      </c>
      <c r="BS782" s="1">
        <v>1000</v>
      </c>
      <c r="BT782" s="1">
        <v>220</v>
      </c>
      <c r="BU782" s="1">
        <v>-298</v>
      </c>
    </row>
    <row r="783" spans="1:73" ht="15" customHeight="1" x14ac:dyDescent="0.25">
      <c r="A783" s="1">
        <f t="shared" si="51"/>
        <v>383</v>
      </c>
      <c r="B783" s="1" t="str">
        <f t="shared" si="48"/>
        <v xml:space="preserve">Oklahoma </v>
      </c>
      <c r="C783" s="1">
        <f t="shared" si="49"/>
        <v>0</v>
      </c>
      <c r="D783" s="2" t="str">
        <f t="shared" si="50"/>
        <v>2026-01</v>
      </c>
      <c r="E783" s="3" t="s">
        <v>1116</v>
      </c>
      <c r="F783" s="4" t="s">
        <v>814</v>
      </c>
      <c r="G783" s="5">
        <v>46047</v>
      </c>
      <c r="H783" s="4">
        <v>100</v>
      </c>
      <c r="I783" s="4">
        <v>109</v>
      </c>
      <c r="J783" s="7">
        <v>155</v>
      </c>
      <c r="K783" s="8">
        <v>0.30305623471882615</v>
      </c>
      <c r="L783" s="9">
        <v>0.11884558224267694</v>
      </c>
      <c r="M783" s="10">
        <v>-104.49999999999999</v>
      </c>
      <c r="N783" s="11">
        <v>2.5499999999999998</v>
      </c>
      <c r="O783" s="12">
        <v>55848.146898759085</v>
      </c>
      <c r="P783" s="13" t="s">
        <v>506</v>
      </c>
      <c r="Q783" s="13" t="s">
        <v>81</v>
      </c>
      <c r="R783" s="14" t="s">
        <v>536</v>
      </c>
      <c r="S783" s="13">
        <v>2272</v>
      </c>
      <c r="T783" s="13">
        <v>1590.3999999999999</v>
      </c>
      <c r="U783" s="13">
        <v>1590.3999999999999</v>
      </c>
      <c r="V783" s="31" t="s">
        <v>82</v>
      </c>
      <c r="W783" s="15"/>
      <c r="X783" s="15"/>
      <c r="Y783" s="16"/>
      <c r="Z783" s="17"/>
      <c r="AA783" s="16"/>
      <c r="AB783" s="24">
        <v>-1590.3999999999999</v>
      </c>
      <c r="AC783" s="20">
        <v>481.98063569682108</v>
      </c>
      <c r="AD783" s="21">
        <v>46047</v>
      </c>
      <c r="AE783" s="22">
        <v>625891.40511454444</v>
      </c>
      <c r="AF783" s="23">
        <v>469687.25593333348</v>
      </c>
      <c r="AG783" s="24">
        <v>571277.65593333356</v>
      </c>
      <c r="AH783" s="15">
        <v>0.5</v>
      </c>
      <c r="AI783" s="25" t="s">
        <v>1117</v>
      </c>
      <c r="AJ783" s="25">
        <v>-145</v>
      </c>
      <c r="AK783" s="25">
        <v>1600</v>
      </c>
      <c r="AL783" s="25">
        <v>109</v>
      </c>
      <c r="AM783" s="25">
        <v>1600</v>
      </c>
      <c r="AN783" s="25">
        <v>100</v>
      </c>
      <c r="AO783" s="25">
        <v>-128</v>
      </c>
      <c r="AP783" s="25">
        <v>122</v>
      </c>
      <c r="AQ783" s="25">
        <v>88</v>
      </c>
      <c r="AR783" s="25">
        <v>-127</v>
      </c>
      <c r="AS783" s="25">
        <v>1400</v>
      </c>
      <c r="AT783" s="25"/>
      <c r="AU783" s="25"/>
      <c r="AV783" s="25"/>
      <c r="AW783" s="25"/>
      <c r="AX783" s="25">
        <v>119</v>
      </c>
      <c r="AY783" s="25">
        <v>65</v>
      </c>
      <c r="AZ783" s="25">
        <v>-142</v>
      </c>
      <c r="BA783" s="25">
        <v>646</v>
      </c>
      <c r="BB783" s="25">
        <v>122</v>
      </c>
      <c r="BC783" s="25">
        <v>-156</v>
      </c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>
        <v>150</v>
      </c>
      <c r="BQ783" s="1">
        <v>-190</v>
      </c>
      <c r="BR783" s="1">
        <v>1000</v>
      </c>
      <c r="BS783" s="1">
        <v>1000</v>
      </c>
      <c r="BT783" s="1">
        <v>114</v>
      </c>
      <c r="BU783" s="1">
        <v>-145</v>
      </c>
    </row>
    <row r="784" spans="1:73" ht="15" customHeight="1" x14ac:dyDescent="0.25">
      <c r="A784" s="1">
        <f t="shared" si="51"/>
        <v>384</v>
      </c>
      <c r="B784" s="1" t="str">
        <f t="shared" si="48"/>
        <v xml:space="preserve">Oregon </v>
      </c>
      <c r="C784" s="1">
        <f t="shared" si="49"/>
        <v>0</v>
      </c>
      <c r="D784" s="2" t="str">
        <f t="shared" si="50"/>
        <v>2026-01</v>
      </c>
      <c r="E784" s="100" t="s">
        <v>1118</v>
      </c>
      <c r="F784" s="101" t="s">
        <v>814</v>
      </c>
      <c r="G784" s="102">
        <v>46047</v>
      </c>
      <c r="H784" s="6">
        <v>-116</v>
      </c>
      <c r="I784" s="6">
        <v>116</v>
      </c>
      <c r="J784" s="115">
        <v>128</v>
      </c>
      <c r="K784" s="8">
        <v>0.22444444444444464</v>
      </c>
      <c r="L784" s="9">
        <v>9.8440545808966939E-2</v>
      </c>
      <c r="M784" s="10">
        <v>-116.00000000000003</v>
      </c>
      <c r="N784" s="11">
        <v>2.2800000000000002</v>
      </c>
      <c r="O784" s="12">
        <v>49994.400832696803</v>
      </c>
      <c r="P784" s="13" t="s">
        <v>506</v>
      </c>
      <c r="Q784" s="13" t="s">
        <v>76</v>
      </c>
      <c r="R784" s="14" t="s">
        <v>1119</v>
      </c>
      <c r="S784" s="13">
        <v>575</v>
      </c>
      <c r="T784" s="13">
        <v>402.5</v>
      </c>
      <c r="U784" s="104">
        <v>402.5</v>
      </c>
      <c r="V784" s="31" t="s">
        <v>82</v>
      </c>
      <c r="W784" s="15"/>
      <c r="X784" s="15"/>
      <c r="Y784" s="16"/>
      <c r="Z784" s="17"/>
      <c r="AA784" s="16"/>
      <c r="AB784" s="24">
        <v>-402.5</v>
      </c>
      <c r="AC784" s="20">
        <v>90.338888888888974</v>
      </c>
      <c r="AD784" s="21">
        <v>46047</v>
      </c>
      <c r="AE784" s="22">
        <v>622103.48190318188</v>
      </c>
      <c r="AF784" s="23">
        <v>469830.66593333357</v>
      </c>
      <c r="AG784" s="24">
        <v>570233.16593333345</v>
      </c>
      <c r="AH784" s="15">
        <v>0.5</v>
      </c>
      <c r="AI784" s="25" t="s">
        <v>1120</v>
      </c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</row>
    <row r="785" spans="1:73" ht="15" customHeight="1" x14ac:dyDescent="0.25">
      <c r="A785" s="1">
        <f t="shared" si="51"/>
        <v>385</v>
      </c>
      <c r="B785" s="1" t="str">
        <f t="shared" si="48"/>
        <v xml:space="preserve">Oregon </v>
      </c>
      <c r="C785" s="1">
        <f t="shared" si="49"/>
        <v>1</v>
      </c>
      <c r="D785" s="2" t="str">
        <f t="shared" si="50"/>
        <v>2026-01</v>
      </c>
      <c r="E785" s="100" t="s">
        <v>1121</v>
      </c>
      <c r="F785" s="101" t="s">
        <v>814</v>
      </c>
      <c r="G785" s="102">
        <v>46047</v>
      </c>
      <c r="H785" s="6">
        <v>-111</v>
      </c>
      <c r="I785" s="6">
        <v>-102</v>
      </c>
      <c r="J785" s="115">
        <v>115</v>
      </c>
      <c r="K785" s="8">
        <v>9.701665756417259E-2</v>
      </c>
      <c r="L785" s="9">
        <v>4.5124026774033765E-2</v>
      </c>
      <c r="M785" s="10">
        <v>-104.18176749372735</v>
      </c>
      <c r="N785" s="11">
        <v>2.15</v>
      </c>
      <c r="O785" s="12">
        <v>24016.812544964152</v>
      </c>
      <c r="P785" s="13" t="s">
        <v>506</v>
      </c>
      <c r="Q785" s="13" t="s">
        <v>92</v>
      </c>
      <c r="R785" s="14" t="s">
        <v>1119</v>
      </c>
      <c r="S785" s="13">
        <v>375</v>
      </c>
      <c r="T785" s="13">
        <v>262.5</v>
      </c>
      <c r="U785" s="104">
        <v>262.5</v>
      </c>
      <c r="V785" s="126" t="s">
        <v>82</v>
      </c>
      <c r="W785" s="15"/>
      <c r="X785" s="15"/>
      <c r="Y785" s="16"/>
      <c r="Z785" s="17"/>
      <c r="AA785" s="16"/>
      <c r="AB785" s="24">
        <v>-262.5</v>
      </c>
      <c r="AC785" s="20">
        <v>25.466872610595306</v>
      </c>
      <c r="AD785" s="21">
        <v>46047</v>
      </c>
      <c r="AE785" s="22">
        <v>621067.43003538589</v>
      </c>
      <c r="AF785" s="23">
        <v>469110.53593333362</v>
      </c>
      <c r="AG785" s="24">
        <v>569373.03593333345</v>
      </c>
      <c r="AH785" s="15">
        <v>0.5</v>
      </c>
      <c r="AI785" s="25" t="s">
        <v>1122</v>
      </c>
      <c r="AJ785" s="25">
        <v>-111</v>
      </c>
      <c r="AK785" s="25">
        <v>500</v>
      </c>
      <c r="AL785" s="25">
        <v>-121</v>
      </c>
      <c r="AM785" s="25">
        <v>500</v>
      </c>
      <c r="AN785" s="25">
        <v>-153</v>
      </c>
      <c r="AO785" s="25">
        <v>-102</v>
      </c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>
        <v>-115</v>
      </c>
      <c r="BQ785" s="1">
        <v>-115</v>
      </c>
      <c r="BR785" s="1">
        <v>1000</v>
      </c>
      <c r="BS785" s="1">
        <v>1000</v>
      </c>
      <c r="BT785" s="1">
        <v>-120</v>
      </c>
      <c r="BU785" s="1">
        <v>-110</v>
      </c>
    </row>
    <row r="786" spans="1:73" ht="15" customHeight="1" x14ac:dyDescent="0.25">
      <c r="A786" s="1">
        <f t="shared" si="51"/>
        <v>386</v>
      </c>
      <c r="B786" s="1" t="str">
        <f t="shared" si="48"/>
        <v xml:space="preserve">Sacramento </v>
      </c>
      <c r="C786" s="1">
        <f t="shared" si="49"/>
        <v>0</v>
      </c>
      <c r="D786" s="2" t="str">
        <f t="shared" si="50"/>
        <v>2026-01</v>
      </c>
      <c r="E786" s="100" t="s">
        <v>1123</v>
      </c>
      <c r="F786" s="101" t="s">
        <v>814</v>
      </c>
      <c r="G786" s="102">
        <v>46047</v>
      </c>
      <c r="H786" s="6">
        <v>-120</v>
      </c>
      <c r="I786" s="6">
        <v>-110</v>
      </c>
      <c r="J786" s="115">
        <v>120</v>
      </c>
      <c r="K786" s="8">
        <v>0.12226720647773291</v>
      </c>
      <c r="L786" s="9">
        <v>5.5576002944424052E-2</v>
      </c>
      <c r="M786" s="10">
        <v>-104.13223140495869</v>
      </c>
      <c r="N786" s="11">
        <v>2.2000000000000002</v>
      </c>
      <c r="O786" s="12">
        <v>29095.719064080102</v>
      </c>
      <c r="P786" s="13" t="s">
        <v>506</v>
      </c>
      <c r="Q786" s="13" t="s">
        <v>76</v>
      </c>
      <c r="R786" s="14" t="s">
        <v>1124</v>
      </c>
      <c r="S786" s="13">
        <v>1900</v>
      </c>
      <c r="T786" s="13">
        <v>1330</v>
      </c>
      <c r="U786" s="104">
        <v>1330</v>
      </c>
      <c r="V786" s="120" t="s">
        <v>82</v>
      </c>
      <c r="W786" s="15"/>
      <c r="X786" s="15"/>
      <c r="Y786" s="16"/>
      <c r="Z786" s="17"/>
      <c r="AA786" s="16"/>
      <c r="AB786" s="24">
        <v>-1330</v>
      </c>
      <c r="AC786" s="20">
        <v>162.61538461538478</v>
      </c>
      <c r="AD786" s="21">
        <v>46047</v>
      </c>
      <c r="AE786" s="22">
        <v>622454.53875067155</v>
      </c>
      <c r="AF786" s="23">
        <v>469793.91593333357</v>
      </c>
      <c r="AG786" s="24">
        <v>571123.91593333345</v>
      </c>
      <c r="AH786" s="15">
        <v>0.5</v>
      </c>
      <c r="AI786" s="25" t="s">
        <v>1125</v>
      </c>
      <c r="AJ786" s="25">
        <v>-120</v>
      </c>
      <c r="AK786" s="25">
        <v>800</v>
      </c>
      <c r="AL786" s="25">
        <v>-110</v>
      </c>
      <c r="AM786" s="25">
        <v>800</v>
      </c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</row>
    <row r="787" spans="1:73" ht="15" customHeight="1" x14ac:dyDescent="0.25">
      <c r="A787" s="1">
        <f t="shared" si="51"/>
        <v>386</v>
      </c>
      <c r="B787" s="1" t="str">
        <f t="shared" si="48"/>
        <v xml:space="preserve">Sacramento </v>
      </c>
      <c r="C787" s="1">
        <f t="shared" si="49"/>
        <v>0</v>
      </c>
      <c r="D787" s="2" t="str">
        <f t="shared" si="50"/>
        <v>2026-01</v>
      </c>
      <c r="E787" s="100" t="s">
        <v>1126</v>
      </c>
      <c r="F787" s="101" t="s">
        <v>814</v>
      </c>
      <c r="G787" s="102">
        <v>46047</v>
      </c>
      <c r="H787" s="6">
        <v>-111</v>
      </c>
      <c r="I787" s="6">
        <v>-120</v>
      </c>
      <c r="J787" s="115">
        <v>150</v>
      </c>
      <c r="K787" s="8">
        <v>0.227382388419783</v>
      </c>
      <c r="L787" s="9">
        <v>9.0952955367913202E-2</v>
      </c>
      <c r="M787" s="10">
        <v>103.68550368550368</v>
      </c>
      <c r="N787" s="11">
        <v>2.5</v>
      </c>
      <c r="O787" s="12">
        <v>43187.033837327472</v>
      </c>
      <c r="P787" s="13" t="s">
        <v>506</v>
      </c>
      <c r="Q787" s="13" t="s">
        <v>76</v>
      </c>
      <c r="R787" s="14" t="s">
        <v>1124</v>
      </c>
      <c r="S787" s="13">
        <v>1500</v>
      </c>
      <c r="T787" s="13">
        <v>1050</v>
      </c>
      <c r="U787" s="104">
        <v>1050</v>
      </c>
      <c r="V787" s="31" t="s">
        <v>82</v>
      </c>
      <c r="W787" s="15"/>
      <c r="X787" s="15"/>
      <c r="Y787" s="16"/>
      <c r="Z787" s="17"/>
      <c r="AA787" s="16"/>
      <c r="AB787" s="24">
        <v>-1050</v>
      </c>
      <c r="AC787" s="20">
        <v>238.75150784077215</v>
      </c>
      <c r="AD787" s="21">
        <v>46047</v>
      </c>
      <c r="AE787" s="22">
        <v>622693.29025851237</v>
      </c>
      <c r="AF787" s="23">
        <v>468743.91593333357</v>
      </c>
      <c r="AG787" s="24">
        <v>569793.91593333345</v>
      </c>
      <c r="AH787" s="15">
        <v>0.5</v>
      </c>
      <c r="AI787" s="25" t="s">
        <v>1127</v>
      </c>
      <c r="AJ787" s="25">
        <v>-111</v>
      </c>
      <c r="AK787" s="25">
        <v>800</v>
      </c>
      <c r="AL787" s="25">
        <v>-120</v>
      </c>
      <c r="AM787" s="25">
        <v>800</v>
      </c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</row>
    <row r="788" spans="1:73" ht="15" customHeight="1" x14ac:dyDescent="0.25">
      <c r="A788" s="1">
        <f t="shared" si="51"/>
        <v>386</v>
      </c>
      <c r="B788" s="1" t="str">
        <f t="shared" si="48"/>
        <v xml:space="preserve">Sacramento </v>
      </c>
      <c r="C788" s="1">
        <f t="shared" si="49"/>
        <v>0</v>
      </c>
      <c r="D788" s="2" t="str">
        <f t="shared" si="50"/>
        <v>2026-01</v>
      </c>
      <c r="E788" s="100" t="s">
        <v>1128</v>
      </c>
      <c r="F788" s="101" t="s">
        <v>814</v>
      </c>
      <c r="G788" s="102">
        <v>46047</v>
      </c>
      <c r="H788" s="6">
        <v>-112</v>
      </c>
      <c r="I788" s="6">
        <v>-118</v>
      </c>
      <c r="J788" s="115">
        <v>180</v>
      </c>
      <c r="K788" s="8">
        <v>0.38300695905486337</v>
      </c>
      <c r="L788" s="9">
        <v>0.1367881996624512</v>
      </c>
      <c r="M788" s="10">
        <v>102.45740498034075</v>
      </c>
      <c r="N788" s="11">
        <v>2.8</v>
      </c>
      <c r="O788" s="12">
        <v>60509.132700716924</v>
      </c>
      <c r="P788" s="13" t="s">
        <v>506</v>
      </c>
      <c r="Q788" s="13" t="s">
        <v>76</v>
      </c>
      <c r="R788" s="14" t="s">
        <v>1124</v>
      </c>
      <c r="S788" s="13">
        <v>1300</v>
      </c>
      <c r="T788" s="13">
        <v>909.99999999999989</v>
      </c>
      <c r="U788" s="104">
        <v>909.99999999999989</v>
      </c>
      <c r="V788" s="37" t="s">
        <v>82</v>
      </c>
      <c r="W788" s="15"/>
      <c r="X788" s="15"/>
      <c r="Y788" s="16"/>
      <c r="Z788" s="17"/>
      <c r="AA788" s="16"/>
      <c r="AB788" s="24">
        <v>-909.99999999999989</v>
      </c>
      <c r="AC788" s="20">
        <v>348.53633273992563</v>
      </c>
      <c r="AD788" s="21">
        <v>46047</v>
      </c>
      <c r="AE788" s="22">
        <v>623041.82659125235</v>
      </c>
      <c r="AF788" s="23">
        <v>467833.91593333357</v>
      </c>
      <c r="AG788" s="24">
        <v>568743.91593333345</v>
      </c>
      <c r="AH788" s="15">
        <v>0.5</v>
      </c>
      <c r="AI788" s="25" t="s">
        <v>1129</v>
      </c>
      <c r="AJ788" s="25">
        <v>-112</v>
      </c>
      <c r="AK788" s="25">
        <v>800</v>
      </c>
      <c r="AL788" s="25">
        <v>-118</v>
      </c>
      <c r="AM788" s="25">
        <v>800</v>
      </c>
      <c r="AN788" s="25"/>
      <c r="AO788" s="25"/>
      <c r="AP788" s="25">
        <v>-1900</v>
      </c>
      <c r="AQ788" s="25">
        <v>60</v>
      </c>
      <c r="AR788" s="25">
        <v>-2400</v>
      </c>
      <c r="AS788" s="25">
        <v>55</v>
      </c>
      <c r="AT788" s="25"/>
      <c r="AU788" s="25"/>
      <c r="AV788" s="25"/>
      <c r="AW788" s="25"/>
      <c r="AX788" s="25">
        <v>129</v>
      </c>
      <c r="AY788" s="25">
        <v>1000</v>
      </c>
      <c r="AZ788" s="25">
        <v>-175</v>
      </c>
      <c r="BA788" s="25">
        <v>137</v>
      </c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>
        <v>160</v>
      </c>
      <c r="BQ788" s="1">
        <v>-240</v>
      </c>
    </row>
    <row r="789" spans="1:73" ht="15" customHeight="1" x14ac:dyDescent="0.25">
      <c r="A789" s="1">
        <f t="shared" si="51"/>
        <v>387</v>
      </c>
      <c r="B789" s="1" t="str">
        <f t="shared" si="48"/>
        <v xml:space="preserve">Sacramento </v>
      </c>
      <c r="C789" s="1">
        <f t="shared" si="49"/>
        <v>1</v>
      </c>
      <c r="D789" s="2" t="str">
        <f t="shared" si="50"/>
        <v>2026-01</v>
      </c>
      <c r="E789" s="100" t="s">
        <v>1130</v>
      </c>
      <c r="F789" s="101" t="s">
        <v>814</v>
      </c>
      <c r="G789" s="102">
        <v>46047</v>
      </c>
      <c r="H789" s="6">
        <v>-117</v>
      </c>
      <c r="I789" s="6">
        <v>-109</v>
      </c>
      <c r="J789" s="115">
        <v>133</v>
      </c>
      <c r="K789" s="8">
        <v>0.18437388267575766</v>
      </c>
      <c r="L789" s="9">
        <v>7.9130421749252222E-2</v>
      </c>
      <c r="M789" s="10">
        <v>-103.3822348116518</v>
      </c>
      <c r="N789" s="11">
        <v>2.33</v>
      </c>
      <c r="O789" s="12">
        <v>39522.060821368636</v>
      </c>
      <c r="P789" s="13" t="s">
        <v>506</v>
      </c>
      <c r="Q789" s="13" t="s">
        <v>92</v>
      </c>
      <c r="R789" s="14" t="s">
        <v>1124</v>
      </c>
      <c r="S789" s="13">
        <v>1000</v>
      </c>
      <c r="T789" s="13">
        <v>700</v>
      </c>
      <c r="U789" s="104">
        <v>700</v>
      </c>
      <c r="V789" s="31" t="s">
        <v>77</v>
      </c>
      <c r="W789" s="15"/>
      <c r="X789" s="15"/>
      <c r="Y789" s="16"/>
      <c r="Z789" s="17"/>
      <c r="AA789" s="16"/>
      <c r="AB789" s="24">
        <v>931</v>
      </c>
      <c r="AC789" s="20">
        <v>129.06171787303037</v>
      </c>
      <c r="AD789" s="21">
        <v>46047</v>
      </c>
      <c r="AE789" s="22">
        <v>622291.92336605617</v>
      </c>
      <c r="AF789" s="23">
        <v>471123.91593333357</v>
      </c>
      <c r="AG789" s="24">
        <v>570192.91593333345</v>
      </c>
      <c r="AH789" s="15">
        <v>0.5</v>
      </c>
      <c r="AI789" s="25" t="s">
        <v>1131</v>
      </c>
      <c r="AJ789" s="25"/>
      <c r="AK789" s="25"/>
      <c r="AL789" s="25"/>
      <c r="AM789" s="25"/>
      <c r="AN789" s="25">
        <v>-117</v>
      </c>
      <c r="AO789" s="25">
        <v>-109</v>
      </c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R789" s="1">
        <v>1000</v>
      </c>
      <c r="BS789" s="1">
        <v>1000</v>
      </c>
    </row>
    <row r="790" spans="1:73" ht="15" customHeight="1" x14ac:dyDescent="0.25">
      <c r="A790" s="1">
        <f t="shared" si="51"/>
        <v>388</v>
      </c>
      <c r="B790" s="1" t="str">
        <f t="shared" si="48"/>
        <v xml:space="preserve">Santa </v>
      </c>
      <c r="C790" s="1">
        <f t="shared" si="49"/>
        <v>1</v>
      </c>
      <c r="D790" s="2" t="str">
        <f t="shared" si="50"/>
        <v>2026-01</v>
      </c>
      <c r="E790" s="100" t="s">
        <v>1132</v>
      </c>
      <c r="F790" s="101" t="s">
        <v>805</v>
      </c>
      <c r="G790" s="5">
        <v>46047</v>
      </c>
      <c r="H790" s="6">
        <v>-112</v>
      </c>
      <c r="I790" s="6">
        <v>-119</v>
      </c>
      <c r="J790" s="115">
        <v>120</v>
      </c>
      <c r="K790" s="8">
        <v>8.4524479459763921E-2</v>
      </c>
      <c r="L790" s="9">
        <v>3.8420217936256329E-2</v>
      </c>
      <c r="M790" s="10">
        <v>102.85388127853879</v>
      </c>
      <c r="N790" s="11">
        <v>2.2000000000000002</v>
      </c>
      <c r="O790" s="12">
        <v>20290.861167038773</v>
      </c>
      <c r="P790" s="13" t="s">
        <v>506</v>
      </c>
      <c r="Q790" s="13" t="s">
        <v>92</v>
      </c>
      <c r="R790" s="14" t="s">
        <v>1133</v>
      </c>
      <c r="S790" s="13">
        <v>375</v>
      </c>
      <c r="T790" s="13">
        <v>262.5</v>
      </c>
      <c r="U790" s="13">
        <v>262.5</v>
      </c>
      <c r="V790" s="31" t="s">
        <v>77</v>
      </c>
      <c r="W790" s="15"/>
      <c r="X790" s="15"/>
      <c r="Y790" s="16"/>
      <c r="Z790" s="17"/>
      <c r="AA790" s="16"/>
      <c r="AB790" s="24">
        <v>315</v>
      </c>
      <c r="AC790" s="20">
        <v>22.18767585818803</v>
      </c>
      <c r="AD790" s="21">
        <v>46047</v>
      </c>
      <c r="AE790" s="22">
        <v>618350.64640103676</v>
      </c>
      <c r="AF790" s="23">
        <v>476456.57593333366</v>
      </c>
      <c r="AG790" s="24">
        <v>576141.57593333349</v>
      </c>
      <c r="AH790" s="15">
        <v>0.5</v>
      </c>
      <c r="AI790" s="25" t="s">
        <v>1134</v>
      </c>
      <c r="AJ790" s="25"/>
      <c r="AK790" s="25"/>
      <c r="AL790" s="25"/>
      <c r="AM790" s="25"/>
      <c r="AN790" s="25">
        <v>-112</v>
      </c>
      <c r="AO790" s="25">
        <v>-119</v>
      </c>
      <c r="AP790" s="25"/>
      <c r="AQ790" s="25"/>
      <c r="AR790" s="25"/>
      <c r="AS790" s="25"/>
      <c r="AT790" s="25"/>
      <c r="AU790" s="25"/>
      <c r="AV790" s="25"/>
      <c r="AW790" s="25"/>
      <c r="AX790" s="25">
        <v>114</v>
      </c>
      <c r="AY790" s="25">
        <v>450</v>
      </c>
      <c r="AZ790" s="25">
        <v>-276</v>
      </c>
      <c r="BA790" s="25">
        <v>493</v>
      </c>
      <c r="BB790" s="25">
        <v>-122</v>
      </c>
      <c r="BC790" s="25">
        <v>-108</v>
      </c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R790" s="1">
        <v>1000</v>
      </c>
      <c r="BS790" s="1">
        <v>1000</v>
      </c>
      <c r="BT790" s="1">
        <v>-105</v>
      </c>
      <c r="BU790" s="1">
        <v>-125</v>
      </c>
    </row>
    <row r="791" spans="1:73" ht="15" customHeight="1" x14ac:dyDescent="0.25">
      <c r="A791" s="1">
        <f t="shared" si="51"/>
        <v>388</v>
      </c>
      <c r="B791" s="1" t="str">
        <f t="shared" si="48"/>
        <v xml:space="preserve">Santa </v>
      </c>
      <c r="C791" s="1">
        <f t="shared" si="49"/>
        <v>1</v>
      </c>
      <c r="D791" s="2" t="str">
        <f t="shared" si="50"/>
        <v>2026-01</v>
      </c>
      <c r="E791" s="100" t="s">
        <v>1135</v>
      </c>
      <c r="F791" s="101" t="s">
        <v>805</v>
      </c>
      <c r="G791" s="5">
        <v>46047</v>
      </c>
      <c r="H791" s="6">
        <v>-119</v>
      </c>
      <c r="I791" s="6">
        <v>-111</v>
      </c>
      <c r="J791" s="115">
        <v>123</v>
      </c>
      <c r="K791" s="8">
        <v>0.13305010320126265</v>
      </c>
      <c r="L791" s="9">
        <v>5.9663723408637959E-2</v>
      </c>
      <c r="M791" s="10">
        <v>-103.29096219507178</v>
      </c>
      <c r="N791" s="11">
        <v>2.23</v>
      </c>
      <c r="O791" s="12">
        <v>30836.389940592082</v>
      </c>
      <c r="P791" s="13" t="s">
        <v>506</v>
      </c>
      <c r="Q791" s="13" t="s">
        <v>92</v>
      </c>
      <c r="R791" s="14" t="s">
        <v>1133</v>
      </c>
      <c r="S791" s="13">
        <v>350</v>
      </c>
      <c r="T791" s="13">
        <v>244.99999999999997</v>
      </c>
      <c r="U791" s="104">
        <v>244.99999999999997</v>
      </c>
      <c r="V791" s="31" t="s">
        <v>77</v>
      </c>
      <c r="W791" s="15"/>
      <c r="X791" s="15"/>
      <c r="Y791" s="16"/>
      <c r="Z791" s="17"/>
      <c r="AA791" s="16"/>
      <c r="AB791" s="24">
        <v>301.35000000000002</v>
      </c>
      <c r="AC791" s="20">
        <v>32.597275284309347</v>
      </c>
      <c r="AD791" s="21">
        <v>46047</v>
      </c>
      <c r="AE791" s="22">
        <v>619886.57284127967</v>
      </c>
      <c r="AF791" s="23">
        <v>470443.85593333363</v>
      </c>
      <c r="AG791" s="24">
        <v>570142.50593333354</v>
      </c>
      <c r="AH791" s="15">
        <v>0.5</v>
      </c>
      <c r="AI791" s="25" t="s">
        <v>1136</v>
      </c>
      <c r="AJ791" s="25"/>
      <c r="AK791" s="25"/>
      <c r="AL791" s="25"/>
      <c r="AM791" s="25"/>
      <c r="AN791" s="25">
        <v>-119</v>
      </c>
      <c r="AO791" s="25">
        <v>-111</v>
      </c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>
        <v>-122</v>
      </c>
      <c r="BC791" s="25">
        <v>-108</v>
      </c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R791" s="1">
        <v>1000</v>
      </c>
      <c r="BS791" s="1">
        <v>1000</v>
      </c>
    </row>
    <row r="792" spans="1:73" ht="15" customHeight="1" x14ac:dyDescent="0.25">
      <c r="A792" s="1">
        <f t="shared" si="51"/>
        <v>389</v>
      </c>
      <c r="B792" s="1" t="str">
        <f t="shared" si="48"/>
        <v xml:space="preserve">Toronto </v>
      </c>
      <c r="C792" s="1">
        <f t="shared" si="49"/>
        <v>0</v>
      </c>
      <c r="D792" s="2" t="str">
        <f t="shared" si="50"/>
        <v>2026-01</v>
      </c>
      <c r="E792" s="3" t="s">
        <v>1137</v>
      </c>
      <c r="F792" s="4" t="s">
        <v>814</v>
      </c>
      <c r="G792" s="5">
        <v>46047</v>
      </c>
      <c r="H792" s="4">
        <v>125</v>
      </c>
      <c r="I792" s="4">
        <v>-131</v>
      </c>
      <c r="J792" s="7">
        <v>160</v>
      </c>
      <c r="K792" s="8">
        <v>0.14236804564907271</v>
      </c>
      <c r="L792" s="9">
        <v>5.4756940634258733E-2</v>
      </c>
      <c r="M792" s="10">
        <v>127.59740259740259</v>
      </c>
      <c r="N792" s="11">
        <v>2.6</v>
      </c>
      <c r="O792" s="12">
        <v>25459.875847961248</v>
      </c>
      <c r="P792" s="13" t="s">
        <v>506</v>
      </c>
      <c r="Q792" s="13" t="s">
        <v>76</v>
      </c>
      <c r="R792" s="14" t="s">
        <v>533</v>
      </c>
      <c r="S792" s="13">
        <v>2175</v>
      </c>
      <c r="T792" s="13">
        <v>1522.5</v>
      </c>
      <c r="U792" s="13">
        <v>1522.5</v>
      </c>
      <c r="V792" s="37" t="s">
        <v>77</v>
      </c>
      <c r="W792" s="15"/>
      <c r="X792" s="15"/>
      <c r="Y792" s="16"/>
      <c r="Z792" s="17"/>
      <c r="AA792" s="16"/>
      <c r="AB792" s="24">
        <v>2436</v>
      </c>
      <c r="AC792" s="20">
        <v>216.75534950071321</v>
      </c>
      <c r="AD792" s="21">
        <v>46047</v>
      </c>
      <c r="AE792" s="22">
        <v>624959.96459673857</v>
      </c>
      <c r="AF792" s="23">
        <v>474696.45593333349</v>
      </c>
      <c r="AG792" s="24">
        <v>572260.45593333361</v>
      </c>
      <c r="AH792" s="15">
        <v>0.5</v>
      </c>
      <c r="AI792" s="25" t="s">
        <v>1138</v>
      </c>
      <c r="AJ792" s="25">
        <v>110</v>
      </c>
      <c r="AK792" s="25">
        <v>9300</v>
      </c>
      <c r="AL792" s="25">
        <v>-131</v>
      </c>
      <c r="AM792" s="25">
        <v>9300</v>
      </c>
      <c r="AN792" s="25">
        <v>125</v>
      </c>
      <c r="AO792" s="25">
        <v>-165</v>
      </c>
      <c r="AP792" s="25"/>
      <c r="AQ792" s="25"/>
      <c r="AR792" s="25"/>
      <c r="AS792" s="25"/>
      <c r="AT792" s="25"/>
      <c r="AU792" s="25"/>
      <c r="AV792" s="25"/>
      <c r="AW792" s="25"/>
      <c r="AX792" s="25">
        <v>-103</v>
      </c>
      <c r="AY792" s="25">
        <v>1200</v>
      </c>
      <c r="AZ792" s="25">
        <v>-148</v>
      </c>
      <c r="BA792" s="25">
        <v>1400</v>
      </c>
      <c r="BB792" s="25">
        <v>118</v>
      </c>
      <c r="BC792" s="25">
        <v>-158</v>
      </c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>
        <v>105</v>
      </c>
      <c r="BQ792" s="1">
        <v>-145</v>
      </c>
      <c r="BR792" s="1">
        <v>1000</v>
      </c>
      <c r="BS792" s="1">
        <v>1000</v>
      </c>
    </row>
    <row r="793" spans="1:73" ht="15" customHeight="1" x14ac:dyDescent="0.25">
      <c r="A793" s="1">
        <f t="shared" si="51"/>
        <v>390</v>
      </c>
      <c r="B793" s="1" t="str">
        <f t="shared" si="48"/>
        <v xml:space="preserve">Toronto </v>
      </c>
      <c r="C793" s="1">
        <f t="shared" si="49"/>
        <v>1</v>
      </c>
      <c r="D793" s="2" t="str">
        <f t="shared" si="50"/>
        <v>2026-01</v>
      </c>
      <c r="E793" s="3" t="s">
        <v>1139</v>
      </c>
      <c r="F793" s="4" t="s">
        <v>814</v>
      </c>
      <c r="G793" s="5">
        <v>46047</v>
      </c>
      <c r="H793" s="4">
        <v>-130</v>
      </c>
      <c r="I793" s="4">
        <v>130</v>
      </c>
      <c r="J793" s="7">
        <v>-112</v>
      </c>
      <c r="K793" s="8">
        <v>6.9875776397515674E-2</v>
      </c>
      <c r="L793" s="9">
        <v>3.691550451189507E-2</v>
      </c>
      <c r="M793" s="10">
        <v>-130.00000000000003</v>
      </c>
      <c r="N793" s="11">
        <v>1.8928571428571428</v>
      </c>
      <c r="O793" s="12">
        <v>22595.797406087015</v>
      </c>
      <c r="P793" s="13" t="s">
        <v>506</v>
      </c>
      <c r="Q793" s="13" t="s">
        <v>92</v>
      </c>
      <c r="R793" s="14" t="s">
        <v>533</v>
      </c>
      <c r="S793" s="13">
        <v>1304</v>
      </c>
      <c r="T793" s="13">
        <v>912.8</v>
      </c>
      <c r="U793" s="13">
        <v>912.8</v>
      </c>
      <c r="V793" s="31" t="s">
        <v>82</v>
      </c>
      <c r="W793" s="15"/>
      <c r="X793" s="15"/>
      <c r="Y793" s="16"/>
      <c r="Z793" s="17"/>
      <c r="AA793" s="16"/>
      <c r="AB793" s="24">
        <v>-912.8</v>
      </c>
      <c r="AC793" s="20">
        <v>63.782608695652307</v>
      </c>
      <c r="AD793" s="21">
        <v>46047</v>
      </c>
      <c r="AE793" s="22">
        <v>624355.00222565979</v>
      </c>
      <c r="AF793" s="23">
        <v>476535.35593333351</v>
      </c>
      <c r="AG793" s="24">
        <v>577448.15593333356</v>
      </c>
      <c r="AH793" s="15">
        <v>0.5</v>
      </c>
      <c r="AI793" s="25" t="s">
        <v>1140</v>
      </c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</row>
    <row r="794" spans="1:73" ht="15" customHeight="1" x14ac:dyDescent="0.25">
      <c r="A794" s="1">
        <f t="shared" si="51"/>
        <v>391</v>
      </c>
      <c r="B794" s="1" t="str">
        <f t="shared" si="48"/>
        <v xml:space="preserve">USC </v>
      </c>
      <c r="C794" s="1">
        <f t="shared" si="49"/>
        <v>1</v>
      </c>
      <c r="D794" s="2" t="str">
        <f t="shared" si="50"/>
        <v>2026-01</v>
      </c>
      <c r="E794" s="28" t="s">
        <v>1141</v>
      </c>
      <c r="F794" s="29" t="s">
        <v>814</v>
      </c>
      <c r="G794" s="102">
        <v>46047</v>
      </c>
      <c r="H794" s="6">
        <v>101</v>
      </c>
      <c r="I794" s="6">
        <v>-150</v>
      </c>
      <c r="J794" s="30">
        <v>123</v>
      </c>
      <c r="K794" s="8">
        <v>1.0879419764279412E-2</v>
      </c>
      <c r="L794" s="9">
        <v>4.8786635714257454E-3</v>
      </c>
      <c r="M794" s="10">
        <v>120.59999999999998</v>
      </c>
      <c r="N794" s="11">
        <v>2.23</v>
      </c>
      <c r="O794" s="12">
        <v>2511.2615966801959</v>
      </c>
      <c r="P794" s="13" t="s">
        <v>506</v>
      </c>
      <c r="Q794" s="13" t="s">
        <v>92</v>
      </c>
      <c r="R794" s="14" t="s">
        <v>1142</v>
      </c>
      <c r="S794" s="13">
        <v>1125</v>
      </c>
      <c r="T794" s="13">
        <v>787.5</v>
      </c>
      <c r="U794" s="104">
        <v>787.5</v>
      </c>
      <c r="V794" s="31" t="s">
        <v>77</v>
      </c>
      <c r="W794" s="15"/>
      <c r="X794" s="15"/>
      <c r="Y794" s="16"/>
      <c r="Z794" s="17"/>
      <c r="AA794" s="16"/>
      <c r="AB794" s="24">
        <v>968.63</v>
      </c>
      <c r="AC794" s="20">
        <v>8.567543064370037</v>
      </c>
      <c r="AD794" s="21">
        <v>46047</v>
      </c>
      <c r="AE794" s="22">
        <v>623050.39413431671</v>
      </c>
      <c r="AF794" s="23">
        <v>468802.54593333357</v>
      </c>
      <c r="AG794" s="24">
        <v>567833.91593333345</v>
      </c>
      <c r="AH794" s="15">
        <v>0.5</v>
      </c>
      <c r="AI794" s="25" t="s">
        <v>1143</v>
      </c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</row>
    <row r="795" spans="1:73" ht="15" customHeight="1" x14ac:dyDescent="0.25">
      <c r="A795" s="1">
        <f t="shared" si="51"/>
        <v>392</v>
      </c>
      <c r="B795" s="1" t="str">
        <f t="shared" si="48"/>
        <v xml:space="preserve">Utah </v>
      </c>
      <c r="C795" s="1">
        <f t="shared" si="49"/>
        <v>0</v>
      </c>
      <c r="D795" s="2" t="str">
        <f t="shared" si="50"/>
        <v>2026-01</v>
      </c>
      <c r="E795" s="100" t="s">
        <v>1144</v>
      </c>
      <c r="F795" s="101" t="s">
        <v>805</v>
      </c>
      <c r="G795" s="5">
        <v>46047</v>
      </c>
      <c r="H795" s="6">
        <v>-157</v>
      </c>
      <c r="I795" s="6">
        <v>118</v>
      </c>
      <c r="J795" s="115">
        <v>-104</v>
      </c>
      <c r="K795" s="8">
        <v>0.12030863706263356</v>
      </c>
      <c r="L795" s="9">
        <v>6.1333814973107303E-2</v>
      </c>
      <c r="M795" s="10">
        <v>-133.17509727626455</v>
      </c>
      <c r="N795" s="11">
        <v>1.9615384615384617</v>
      </c>
      <c r="O795" s="12">
        <v>36216.89437379544</v>
      </c>
      <c r="P795" s="13" t="s">
        <v>506</v>
      </c>
      <c r="Q795" s="13" t="s">
        <v>76</v>
      </c>
      <c r="R795" s="14" t="s">
        <v>1145</v>
      </c>
      <c r="S795" s="13">
        <v>3675</v>
      </c>
      <c r="T795" s="13">
        <v>2572.5</v>
      </c>
      <c r="U795" s="13">
        <v>2572.5</v>
      </c>
      <c r="V795" s="31" t="s">
        <v>82</v>
      </c>
      <c r="W795" s="15"/>
      <c r="X795" s="15"/>
      <c r="Y795" s="16"/>
      <c r="Z795" s="17"/>
      <c r="AA795" s="16"/>
      <c r="AB795" s="24">
        <v>-2572.5</v>
      </c>
      <c r="AC795" s="20">
        <v>309.49396884362483</v>
      </c>
      <c r="AD795" s="21">
        <v>46047</v>
      </c>
      <c r="AE795" s="22">
        <v>619239.10385895486</v>
      </c>
      <c r="AF795" s="23">
        <v>476337.50593333365</v>
      </c>
      <c r="AG795" s="24">
        <v>578910.00593333354</v>
      </c>
      <c r="AH795" s="15">
        <v>0.5</v>
      </c>
      <c r="AI795" s="25" t="s">
        <v>1146</v>
      </c>
      <c r="AJ795" s="25"/>
      <c r="AK795" s="25"/>
      <c r="AL795" s="25"/>
      <c r="AM795" s="25"/>
      <c r="AN795" s="25">
        <v>-157</v>
      </c>
      <c r="AO795" s="25">
        <v>118</v>
      </c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>
        <v>-152</v>
      </c>
      <c r="BC795" s="25">
        <v>114</v>
      </c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>
        <v>-130</v>
      </c>
      <c r="BQ795" s="1">
        <v>-110</v>
      </c>
      <c r="BR795" s="1">
        <v>1000</v>
      </c>
      <c r="BS795" s="1">
        <v>1000</v>
      </c>
      <c r="BT795" s="1">
        <v>-150</v>
      </c>
      <c r="BU795" s="1">
        <v>110</v>
      </c>
    </row>
    <row r="796" spans="1:73" ht="15" customHeight="1" x14ac:dyDescent="0.25">
      <c r="A796" s="1">
        <f t="shared" si="51"/>
        <v>392</v>
      </c>
      <c r="B796" s="1" t="str">
        <f t="shared" si="48"/>
        <v xml:space="preserve">Utah </v>
      </c>
      <c r="C796" s="1">
        <f t="shared" si="49"/>
        <v>0</v>
      </c>
      <c r="D796" s="2" t="str">
        <f t="shared" si="50"/>
        <v>2026-01</v>
      </c>
      <c r="E796" s="100" t="s">
        <v>1147</v>
      </c>
      <c r="F796" s="101" t="s">
        <v>805</v>
      </c>
      <c r="G796" s="5">
        <v>46047</v>
      </c>
      <c r="H796" s="6">
        <v>-193</v>
      </c>
      <c r="I796" s="6">
        <v>193</v>
      </c>
      <c r="J796" s="115">
        <v>-149</v>
      </c>
      <c r="K796" s="8">
        <v>0.10078567011017692</v>
      </c>
      <c r="L796" s="9">
        <v>6.030949737516611E-2</v>
      </c>
      <c r="M796" s="10">
        <v>-192.99999999999991</v>
      </c>
      <c r="N796" s="11">
        <v>1.6711409395973154</v>
      </c>
      <c r="O796" s="12">
        <v>43274.488500113723</v>
      </c>
      <c r="P796" s="13" t="s">
        <v>506</v>
      </c>
      <c r="Q796" s="13" t="s">
        <v>76</v>
      </c>
      <c r="R796" s="14" t="s">
        <v>1145</v>
      </c>
      <c r="S796" s="13">
        <v>5250</v>
      </c>
      <c r="T796" s="13">
        <v>3674.9999999999995</v>
      </c>
      <c r="U796" s="104">
        <v>3674.9999999999995</v>
      </c>
      <c r="V796" s="31" t="s">
        <v>82</v>
      </c>
      <c r="W796" s="15"/>
      <c r="X796" s="15"/>
      <c r="Y796" s="16"/>
      <c r="Z796" s="17"/>
      <c r="AA796" s="16"/>
      <c r="AB796" s="24">
        <v>-3674.9999999999995</v>
      </c>
      <c r="AC796" s="20">
        <v>370.38733765490014</v>
      </c>
      <c r="AD796" s="21">
        <v>46047</v>
      </c>
      <c r="AE796" s="22">
        <v>619609.4911966098</v>
      </c>
      <c r="AF796" s="23">
        <v>472662.50593333365</v>
      </c>
      <c r="AG796" s="24">
        <v>576337.50593333354</v>
      </c>
      <c r="AH796" s="15">
        <v>0.5</v>
      </c>
      <c r="AI796" s="25" t="s">
        <v>1148</v>
      </c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</row>
    <row r="797" spans="1:73" ht="15" customHeight="1" x14ac:dyDescent="0.25">
      <c r="A797" s="1">
        <f t="shared" si="51"/>
        <v>393</v>
      </c>
      <c r="B797" s="1" t="str">
        <f t="shared" si="48"/>
        <v xml:space="preserve">Wisconsin </v>
      </c>
      <c r="C797" s="1">
        <f t="shared" si="49"/>
        <v>0</v>
      </c>
      <c r="D797" s="2" t="str">
        <f t="shared" si="50"/>
        <v>2026-01</v>
      </c>
      <c r="E797" s="3" t="s">
        <v>1149</v>
      </c>
      <c r="F797" s="4" t="s">
        <v>814</v>
      </c>
      <c r="G797" s="5">
        <v>46047</v>
      </c>
      <c r="H797" s="4">
        <v>-114</v>
      </c>
      <c r="I797" s="4">
        <v>-114</v>
      </c>
      <c r="J797" s="7">
        <v>118</v>
      </c>
      <c r="K797" s="8">
        <v>8.9999999999999802E-2</v>
      </c>
      <c r="L797" s="9">
        <v>4.128440366972469E-2</v>
      </c>
      <c r="M797" s="10">
        <v>100</v>
      </c>
      <c r="N797" s="11">
        <v>2.1799999999999997</v>
      </c>
      <c r="O797" s="12">
        <v>21844.704887288099</v>
      </c>
      <c r="P797" s="13" t="s">
        <v>506</v>
      </c>
      <c r="Q797" s="13" t="s">
        <v>76</v>
      </c>
      <c r="R797" s="14" t="s">
        <v>729</v>
      </c>
      <c r="S797" s="13">
        <v>1925</v>
      </c>
      <c r="T797" s="13">
        <v>1347.5</v>
      </c>
      <c r="U797" s="13">
        <v>1347.5</v>
      </c>
      <c r="V797" s="31" t="s">
        <v>82</v>
      </c>
      <c r="W797" s="15"/>
      <c r="X797" s="15"/>
      <c r="Y797" s="16"/>
      <c r="Z797" s="17"/>
      <c r="AA797" s="16"/>
      <c r="AB797" s="24">
        <v>-1347.5</v>
      </c>
      <c r="AC797" s="20">
        <v>121.27499999999974</v>
      </c>
      <c r="AD797" s="21">
        <v>46047</v>
      </c>
      <c r="AE797" s="22">
        <v>623687.27083447389</v>
      </c>
      <c r="AF797" s="23">
        <v>471469.20593333355</v>
      </c>
      <c r="AG797" s="24">
        <v>572816.70593333349</v>
      </c>
      <c r="AH797" s="15">
        <v>0.5</v>
      </c>
      <c r="AI797" s="25" t="s">
        <v>1150</v>
      </c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</row>
    <row r="798" spans="1:73" ht="15" customHeight="1" x14ac:dyDescent="0.25">
      <c r="A798" s="1">
        <f t="shared" si="51"/>
        <v>394</v>
      </c>
      <c r="B798" s="1" t="str">
        <f t="shared" si="48"/>
        <v xml:space="preserve">Brooklyn </v>
      </c>
      <c r="C798" s="1">
        <f t="shared" si="49"/>
        <v>1</v>
      </c>
      <c r="D798" s="2" t="str">
        <f t="shared" si="50"/>
        <v>2026-01</v>
      </c>
      <c r="E798" s="28" t="s">
        <v>1151</v>
      </c>
      <c r="F798" s="4" t="s">
        <v>814</v>
      </c>
      <c r="G798" s="5">
        <v>46048</v>
      </c>
      <c r="H798" s="4">
        <v>110</v>
      </c>
      <c r="I798" s="4">
        <v>-116</v>
      </c>
      <c r="J798" s="7">
        <v>140</v>
      </c>
      <c r="K798" s="8">
        <v>0.12793733681462113</v>
      </c>
      <c r="L798" s="9">
        <v>5.3307223672758808E-2</v>
      </c>
      <c r="M798" s="10">
        <v>112.7777777777778</v>
      </c>
      <c r="N798" s="11">
        <v>2.4</v>
      </c>
      <c r="O798" s="12">
        <v>25934.29570191466</v>
      </c>
      <c r="P798" s="13" t="s">
        <v>506</v>
      </c>
      <c r="Q798" s="13" t="s">
        <v>92</v>
      </c>
      <c r="R798" s="14" t="s">
        <v>777</v>
      </c>
      <c r="S798" s="13">
        <v>1250</v>
      </c>
      <c r="T798" s="13">
        <v>875</v>
      </c>
      <c r="U798" s="13">
        <v>875</v>
      </c>
      <c r="V798" s="120" t="s">
        <v>82</v>
      </c>
      <c r="W798" s="15"/>
      <c r="X798" s="15"/>
      <c r="Y798" s="16"/>
      <c r="Z798" s="17"/>
      <c r="AA798" s="16"/>
      <c r="AB798" s="24">
        <v>-875</v>
      </c>
      <c r="AC798" s="20">
        <v>111.94516971279349</v>
      </c>
      <c r="AD798" s="21">
        <v>46048</v>
      </c>
      <c r="AE798" s="22">
        <v>627292.76944651804</v>
      </c>
      <c r="AF798" s="23">
        <v>466715.5859333335</v>
      </c>
      <c r="AG798" s="24">
        <v>567590.5859333335</v>
      </c>
      <c r="AH798" s="15">
        <v>0.5</v>
      </c>
      <c r="AI798" s="25" t="s">
        <v>1152</v>
      </c>
      <c r="AJ798" s="25"/>
      <c r="AK798" s="25"/>
      <c r="AL798" s="25"/>
      <c r="AM798" s="25"/>
      <c r="AN798" s="25">
        <v>-110</v>
      </c>
      <c r="AO798" s="25">
        <v>-116</v>
      </c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>
        <v>110</v>
      </c>
      <c r="BC798" s="25">
        <v>-136</v>
      </c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>
        <v>105</v>
      </c>
      <c r="BQ798" s="1">
        <v>-145</v>
      </c>
      <c r="BR798" s="1">
        <v>1000</v>
      </c>
      <c r="BS798" s="1">
        <v>1000</v>
      </c>
      <c r="BT798" s="1">
        <v>-110</v>
      </c>
      <c r="BU798" s="1">
        <v>-120</v>
      </c>
    </row>
    <row r="799" spans="1:73" ht="15" customHeight="1" x14ac:dyDescent="0.25">
      <c r="A799" s="1">
        <f t="shared" si="51"/>
        <v>394</v>
      </c>
      <c r="B799" s="1" t="str">
        <f t="shared" si="48"/>
        <v xml:space="preserve">Brooklyn </v>
      </c>
      <c r="C799" s="1">
        <f t="shared" si="49"/>
        <v>1</v>
      </c>
      <c r="D799" s="2" t="str">
        <f t="shared" si="50"/>
        <v>2026-01</v>
      </c>
      <c r="E799" s="28" t="s">
        <v>1153</v>
      </c>
      <c r="F799" s="4" t="s">
        <v>814</v>
      </c>
      <c r="G799" s="5">
        <v>46048</v>
      </c>
      <c r="H799" s="4">
        <v>150</v>
      </c>
      <c r="I799" s="4">
        <v>-150</v>
      </c>
      <c r="J799" s="7">
        <v>143</v>
      </c>
      <c r="K799" s="8">
        <v>-2.8000000000000112E-2</v>
      </c>
      <c r="L799" s="9">
        <v>-1.1522633744856015E-2</v>
      </c>
      <c r="M799" s="10">
        <v>150</v>
      </c>
      <c r="N799" s="11">
        <v>2.4299999999999997</v>
      </c>
      <c r="O799" s="12">
        <v>-5548.2644776690222</v>
      </c>
      <c r="P799" s="13" t="s">
        <v>506</v>
      </c>
      <c r="Q799" s="13" t="s">
        <v>92</v>
      </c>
      <c r="R799" s="14" t="s">
        <v>777</v>
      </c>
      <c r="S799" s="13">
        <v>1200</v>
      </c>
      <c r="T799" s="13">
        <v>840</v>
      </c>
      <c r="U799" s="13">
        <v>840</v>
      </c>
      <c r="V799" s="120" t="s">
        <v>82</v>
      </c>
      <c r="W799" s="15"/>
      <c r="X799" s="15"/>
      <c r="Y799" s="16"/>
      <c r="Z799" s="17"/>
      <c r="AA799" s="16"/>
      <c r="AB799" s="24">
        <v>-840</v>
      </c>
      <c r="AC799" s="20">
        <v>-23.520000000000095</v>
      </c>
      <c r="AD799" s="21">
        <v>46048</v>
      </c>
      <c r="AE799" s="22">
        <v>627269.24944651802</v>
      </c>
      <c r="AF799" s="23">
        <v>465875.5859333335</v>
      </c>
      <c r="AG799" s="24">
        <v>566715.5859333335</v>
      </c>
      <c r="AH799" s="15">
        <v>0.5</v>
      </c>
      <c r="AI799" s="25" t="s">
        <v>1154</v>
      </c>
      <c r="AJ799" s="25"/>
      <c r="AK799" s="25"/>
      <c r="AL799" s="25"/>
      <c r="AM799" s="25"/>
      <c r="AN799" s="25">
        <v>109</v>
      </c>
      <c r="AO799" s="25">
        <v>-145</v>
      </c>
      <c r="AP799" s="25">
        <v>122</v>
      </c>
      <c r="AQ799" s="25">
        <v>675</v>
      </c>
      <c r="AR799" s="25">
        <v>-317</v>
      </c>
      <c r="AS799" s="25">
        <v>1100</v>
      </c>
      <c r="AT799" s="25"/>
      <c r="AU799" s="25"/>
      <c r="AV799" s="25"/>
      <c r="AW799" s="25"/>
      <c r="AX799" s="25"/>
      <c r="AY799" s="25"/>
      <c r="AZ799" s="25"/>
      <c r="BA799" s="25"/>
      <c r="BB799" s="25">
        <v>114</v>
      </c>
      <c r="BC799" s="25">
        <v>-140</v>
      </c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>
        <v>115</v>
      </c>
      <c r="BQ799" s="1">
        <v>-160</v>
      </c>
      <c r="BR799" s="1">
        <v>1000</v>
      </c>
      <c r="BS799" s="1">
        <v>1000</v>
      </c>
      <c r="BT799" s="1">
        <v>120</v>
      </c>
      <c r="BU799" s="1">
        <v>-160</v>
      </c>
    </row>
    <row r="800" spans="1:73" ht="15" customHeight="1" x14ac:dyDescent="0.25">
      <c r="A800" s="1">
        <f t="shared" si="51"/>
        <v>394</v>
      </c>
      <c r="B800" s="1" t="str">
        <f t="shared" si="48"/>
        <v xml:space="preserve">Brooklyn </v>
      </c>
      <c r="C800" s="1">
        <f t="shared" si="49"/>
        <v>1</v>
      </c>
      <c r="D800" s="2" t="str">
        <f t="shared" si="50"/>
        <v>2026-01</v>
      </c>
      <c r="E800" s="3" t="s">
        <v>1155</v>
      </c>
      <c r="F800" s="4" t="s">
        <v>814</v>
      </c>
      <c r="G800" s="5">
        <v>46048</v>
      </c>
      <c r="H800" s="4">
        <v>-192</v>
      </c>
      <c r="I800" s="4">
        <v>192</v>
      </c>
      <c r="J800" s="7">
        <v>-152</v>
      </c>
      <c r="K800" s="8">
        <v>9.0122566690699346E-2</v>
      </c>
      <c r="L800" s="9">
        <v>5.4359643400739288E-2</v>
      </c>
      <c r="M800" s="10">
        <v>-191.99999999999997</v>
      </c>
      <c r="N800" s="11">
        <v>1.6578947368421053</v>
      </c>
      <c r="O800" s="12">
        <v>38758.601776255717</v>
      </c>
      <c r="P800" s="13" t="s">
        <v>506</v>
      </c>
      <c r="Q800" s="13" t="s">
        <v>92</v>
      </c>
      <c r="R800" s="14" t="s">
        <v>777</v>
      </c>
      <c r="S800" s="13">
        <v>2134</v>
      </c>
      <c r="T800" s="13">
        <v>1493.8</v>
      </c>
      <c r="U800" s="13">
        <v>1493.8</v>
      </c>
      <c r="V800" s="120" t="s">
        <v>82</v>
      </c>
      <c r="W800" s="15"/>
      <c r="X800" s="15"/>
      <c r="Y800" s="16"/>
      <c r="Z800" s="17"/>
      <c r="AA800" s="16"/>
      <c r="AB800" s="24">
        <v>-1493.8</v>
      </c>
      <c r="AC800" s="20">
        <v>134.62509012256669</v>
      </c>
      <c r="AD800" s="21">
        <v>46048</v>
      </c>
      <c r="AE800" s="22">
        <v>627403.87453664059</v>
      </c>
      <c r="AF800" s="23">
        <v>464381.78593333351</v>
      </c>
      <c r="AG800" s="24">
        <v>565875.5859333335</v>
      </c>
      <c r="AH800" s="15">
        <v>0.5</v>
      </c>
      <c r="AI800" s="25" t="s">
        <v>1156</v>
      </c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</row>
    <row r="801" spans="1:73" ht="15" customHeight="1" x14ac:dyDescent="0.25">
      <c r="A801" s="1">
        <f t="shared" si="51"/>
        <v>394</v>
      </c>
      <c r="B801" s="1" t="str">
        <f t="shared" si="48"/>
        <v xml:space="preserve">Brooklyn </v>
      </c>
      <c r="C801" s="1">
        <f t="shared" si="49"/>
        <v>1</v>
      </c>
      <c r="D801" s="2" t="str">
        <f t="shared" si="50"/>
        <v>2026-01</v>
      </c>
      <c r="E801" s="3" t="s">
        <v>1157</v>
      </c>
      <c r="F801" s="4" t="s">
        <v>814</v>
      </c>
      <c r="G801" s="5">
        <v>46048</v>
      </c>
      <c r="H801" s="4">
        <v>-122</v>
      </c>
      <c r="I801" s="4">
        <v>-108</v>
      </c>
      <c r="J801" s="7">
        <v>120</v>
      </c>
      <c r="K801" s="8">
        <v>0.13120440914248668</v>
      </c>
      <c r="L801" s="9">
        <v>5.9638367792039404E-2</v>
      </c>
      <c r="M801" s="10">
        <v>-105.83917250583917</v>
      </c>
      <c r="N801" s="11">
        <v>2.2000000000000002</v>
      </c>
      <c r="O801" s="12">
        <v>30853.907814235172</v>
      </c>
      <c r="P801" s="13" t="s">
        <v>506</v>
      </c>
      <c r="Q801" s="13" t="s">
        <v>92</v>
      </c>
      <c r="R801" s="14" t="s">
        <v>777</v>
      </c>
      <c r="S801" s="13">
        <v>1174</v>
      </c>
      <c r="T801" s="13">
        <v>821.8</v>
      </c>
      <c r="U801" s="13">
        <v>821.8</v>
      </c>
      <c r="V801" s="120" t="s">
        <v>82</v>
      </c>
      <c r="W801" s="15"/>
      <c r="X801" s="15"/>
      <c r="Y801" s="16"/>
      <c r="Z801" s="17"/>
      <c r="AA801" s="16"/>
      <c r="AB801" s="24">
        <v>-821.8</v>
      </c>
      <c r="AC801" s="20">
        <v>107.82378343329555</v>
      </c>
      <c r="AD801" s="21">
        <v>46048</v>
      </c>
      <c r="AE801" s="22">
        <v>627511.69832007389</v>
      </c>
      <c r="AF801" s="23">
        <v>463559.98593333352</v>
      </c>
      <c r="AG801" s="24">
        <v>564381.78593333345</v>
      </c>
      <c r="AH801" s="15">
        <v>0.5</v>
      </c>
      <c r="AI801" s="25" t="s">
        <v>1158</v>
      </c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</row>
    <row r="802" spans="1:73" ht="15" customHeight="1" x14ac:dyDescent="0.25">
      <c r="A802" s="1">
        <f t="shared" si="51"/>
        <v>395</v>
      </c>
      <c r="B802" s="1" t="str">
        <f t="shared" si="48"/>
        <v xml:space="preserve">Miami </v>
      </c>
      <c r="C802" s="1">
        <f t="shared" si="49"/>
        <v>0</v>
      </c>
      <c r="D802" s="2" t="str">
        <f t="shared" si="50"/>
        <v>2026-01</v>
      </c>
      <c r="E802" s="28" t="s">
        <v>1159</v>
      </c>
      <c r="F802" s="4" t="s">
        <v>814</v>
      </c>
      <c r="G802" s="5">
        <v>46048</v>
      </c>
      <c r="H802" s="4">
        <v>-108</v>
      </c>
      <c r="I802" s="4">
        <v>-112</v>
      </c>
      <c r="J802" s="7">
        <v>160</v>
      </c>
      <c r="K802" s="8">
        <v>0.28874263941808131</v>
      </c>
      <c r="L802" s="9">
        <v>0.11105486131464665</v>
      </c>
      <c r="M802" s="10">
        <v>101.74703004891684</v>
      </c>
      <c r="N802" s="11">
        <v>2.6</v>
      </c>
      <c r="O802" s="12">
        <v>51380.29867877849</v>
      </c>
      <c r="P802" s="13" t="s">
        <v>506</v>
      </c>
      <c r="Q802" s="13" t="s">
        <v>76</v>
      </c>
      <c r="R802" s="14" t="s">
        <v>717</v>
      </c>
      <c r="S802" s="13">
        <v>880</v>
      </c>
      <c r="T802" s="13">
        <v>616</v>
      </c>
      <c r="U802" s="13">
        <v>616</v>
      </c>
      <c r="V802" s="31" t="s">
        <v>82</v>
      </c>
      <c r="W802" s="15"/>
      <c r="X802" s="15"/>
      <c r="Y802" s="16"/>
      <c r="Z802" s="17"/>
      <c r="AA802" s="16"/>
      <c r="AB802" s="24">
        <v>-616</v>
      </c>
      <c r="AC802" s="20">
        <v>177.86546588153809</v>
      </c>
      <c r="AD802" s="21">
        <v>46048</v>
      </c>
      <c r="AE802" s="22">
        <v>626775.84806468408</v>
      </c>
      <c r="AF802" s="23">
        <v>468807.88593333348</v>
      </c>
      <c r="AG802" s="24">
        <v>569423.88593333354</v>
      </c>
      <c r="AH802" s="15">
        <v>0.5</v>
      </c>
      <c r="AI802" s="25" t="s">
        <v>1160</v>
      </c>
      <c r="AJ802" s="25">
        <v>-118</v>
      </c>
      <c r="AK802" s="25">
        <v>2600</v>
      </c>
      <c r="AL802" s="25">
        <v>-112</v>
      </c>
      <c r="AM802" s="25">
        <v>2600</v>
      </c>
      <c r="AN802" s="25">
        <v>-108</v>
      </c>
      <c r="AO802" s="25">
        <v>-119</v>
      </c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>
        <v>-112</v>
      </c>
      <c r="BC802" s="25">
        <v>-118</v>
      </c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R802" s="1">
        <v>1000</v>
      </c>
      <c r="BS802" s="1">
        <v>1000</v>
      </c>
      <c r="BT802" s="1">
        <v>-115</v>
      </c>
      <c r="BU802" s="1">
        <v>-115</v>
      </c>
    </row>
    <row r="803" spans="1:73" ht="15" customHeight="1" x14ac:dyDescent="0.25">
      <c r="A803" s="1">
        <f t="shared" si="51"/>
        <v>395</v>
      </c>
      <c r="B803" s="1" t="str">
        <f t="shared" si="48"/>
        <v xml:space="preserve">Miami </v>
      </c>
      <c r="C803" s="1">
        <f t="shared" si="49"/>
        <v>0</v>
      </c>
      <c r="D803" s="2" t="str">
        <f t="shared" si="50"/>
        <v>2026-01</v>
      </c>
      <c r="E803" s="28" t="s">
        <v>1161</v>
      </c>
      <c r="F803" s="4" t="s">
        <v>814</v>
      </c>
      <c r="G803" s="5">
        <v>46048</v>
      </c>
      <c r="H803" s="4">
        <v>-131</v>
      </c>
      <c r="I803" s="4">
        <v>131</v>
      </c>
      <c r="J803" s="7">
        <v>135</v>
      </c>
      <c r="K803" s="8">
        <v>0.33268398268398269</v>
      </c>
      <c r="L803" s="9">
        <v>0.14156765220595008</v>
      </c>
      <c r="M803" s="10">
        <v>-131</v>
      </c>
      <c r="N803" s="11">
        <v>2.35</v>
      </c>
      <c r="O803" s="12">
        <v>70086.397360873307</v>
      </c>
      <c r="P803" s="13" t="s">
        <v>506</v>
      </c>
      <c r="Q803" s="13" t="s">
        <v>76</v>
      </c>
      <c r="R803" s="14" t="s">
        <v>717</v>
      </c>
      <c r="S803" s="13">
        <v>1739</v>
      </c>
      <c r="T803" s="13">
        <v>1217.3</v>
      </c>
      <c r="U803" s="13">
        <v>1217.3</v>
      </c>
      <c r="V803" s="31" t="s">
        <v>82</v>
      </c>
      <c r="W803" s="15"/>
      <c r="X803" s="15"/>
      <c r="Y803" s="16"/>
      <c r="Z803" s="17"/>
      <c r="AA803" s="16"/>
      <c r="AB803" s="24">
        <v>-1217.3</v>
      </c>
      <c r="AC803" s="20">
        <v>404.97621212121214</v>
      </c>
      <c r="AD803" s="21">
        <v>46048</v>
      </c>
      <c r="AE803" s="22">
        <v>627180.82427680527</v>
      </c>
      <c r="AF803" s="23">
        <v>467590.5859333335</v>
      </c>
      <c r="AG803" s="24">
        <v>568807.88593333354</v>
      </c>
      <c r="AH803" s="15">
        <v>0.5</v>
      </c>
      <c r="AI803" s="25" t="s">
        <v>1162</v>
      </c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</row>
    <row r="804" spans="1:73" ht="15" customHeight="1" x14ac:dyDescent="0.25">
      <c r="A804" s="1">
        <f t="shared" si="51"/>
        <v>396</v>
      </c>
      <c r="B804" s="1" t="str">
        <f t="shared" si="48"/>
        <v xml:space="preserve">Miami </v>
      </c>
      <c r="C804" s="1">
        <f t="shared" si="49"/>
        <v>1</v>
      </c>
      <c r="D804" s="2" t="str">
        <f t="shared" si="50"/>
        <v>2026-01</v>
      </c>
      <c r="E804" s="28" t="s">
        <v>1163</v>
      </c>
      <c r="F804" s="4" t="s">
        <v>814</v>
      </c>
      <c r="G804" s="5">
        <v>46048</v>
      </c>
      <c r="H804" s="4">
        <v>162</v>
      </c>
      <c r="I804" s="4">
        <v>-205</v>
      </c>
      <c r="J804" s="7">
        <v>210</v>
      </c>
      <c r="K804" s="8">
        <v>0.12278826742667137</v>
      </c>
      <c r="L804" s="9">
        <v>3.96091185247327E-2</v>
      </c>
      <c r="M804" s="10">
        <v>176.09836065573774</v>
      </c>
      <c r="N804" s="11">
        <v>3.1</v>
      </c>
      <c r="O804" s="12">
        <v>16675.049752463136</v>
      </c>
      <c r="P804" s="13" t="s">
        <v>506</v>
      </c>
      <c r="Q804" s="13" t="s">
        <v>92</v>
      </c>
      <c r="R804" s="14" t="s">
        <v>717</v>
      </c>
      <c r="S804" s="13">
        <v>670</v>
      </c>
      <c r="T804" s="13">
        <v>468.99999999999994</v>
      </c>
      <c r="U804" s="13">
        <v>468.99999999999994</v>
      </c>
      <c r="V804" s="31" t="s">
        <v>82</v>
      </c>
      <c r="W804" s="15"/>
      <c r="X804" s="15"/>
      <c r="Y804" s="16"/>
      <c r="Z804" s="17"/>
      <c r="AA804" s="16"/>
      <c r="AB804" s="24">
        <v>-468.99999999999994</v>
      </c>
      <c r="AC804" s="20">
        <v>57.587697423108864</v>
      </c>
      <c r="AD804" s="21">
        <v>46048</v>
      </c>
      <c r="AE804" s="22">
        <v>626482.64479392453</v>
      </c>
      <c r="AF804" s="23">
        <v>469904.78593333351</v>
      </c>
      <c r="AG804" s="24">
        <v>570373.78593333357</v>
      </c>
      <c r="AH804" s="15">
        <v>0.5</v>
      </c>
      <c r="AI804" s="25" t="s">
        <v>1164</v>
      </c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</row>
    <row r="805" spans="1:73" ht="15" customHeight="1" x14ac:dyDescent="0.25">
      <c r="A805" s="1">
        <f t="shared" si="51"/>
        <v>396</v>
      </c>
      <c r="B805" s="1" t="str">
        <f t="shared" si="48"/>
        <v xml:space="preserve">Miami </v>
      </c>
      <c r="C805" s="1">
        <f t="shared" si="49"/>
        <v>1</v>
      </c>
      <c r="D805" s="2" t="str">
        <f t="shared" si="50"/>
        <v>2026-01</v>
      </c>
      <c r="E805" s="28" t="s">
        <v>1165</v>
      </c>
      <c r="F805" s="4" t="s">
        <v>814</v>
      </c>
      <c r="G805" s="5">
        <v>46048</v>
      </c>
      <c r="H805" s="4">
        <v>146</v>
      </c>
      <c r="I805" s="4">
        <v>-146</v>
      </c>
      <c r="J805" s="7">
        <v>205</v>
      </c>
      <c r="K805" s="8">
        <v>0.2398373983739836</v>
      </c>
      <c r="L805" s="9">
        <v>7.8635212581633973E-2</v>
      </c>
      <c r="M805" s="10">
        <v>146</v>
      </c>
      <c r="N805" s="11">
        <v>3.05</v>
      </c>
      <c r="O805" s="12">
        <v>33337.67833637385</v>
      </c>
      <c r="P805" s="13" t="s">
        <v>506</v>
      </c>
      <c r="Q805" s="13" t="s">
        <v>92</v>
      </c>
      <c r="R805" s="14" t="s">
        <v>717</v>
      </c>
      <c r="S805" s="13">
        <v>687</v>
      </c>
      <c r="T805" s="13">
        <v>480.9</v>
      </c>
      <c r="U805" s="13">
        <v>480.9</v>
      </c>
      <c r="V805" s="31" t="s">
        <v>82</v>
      </c>
      <c r="W805" s="15"/>
      <c r="X805" s="15"/>
      <c r="Y805" s="16"/>
      <c r="Z805" s="17"/>
      <c r="AA805" s="16"/>
      <c r="AB805" s="24">
        <v>-480.9</v>
      </c>
      <c r="AC805" s="20">
        <v>115.33780487804871</v>
      </c>
      <c r="AD805" s="21">
        <v>46048</v>
      </c>
      <c r="AE805" s="22">
        <v>626597.98259880254</v>
      </c>
      <c r="AF805" s="23">
        <v>469423.88593333348</v>
      </c>
      <c r="AG805" s="24">
        <v>569904.78593333357</v>
      </c>
      <c r="AH805" s="15">
        <v>0.5</v>
      </c>
      <c r="AI805" s="25" t="s">
        <v>1166</v>
      </c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</row>
    <row r="806" spans="1:73" ht="15" customHeight="1" x14ac:dyDescent="0.25">
      <c r="A806" s="1">
        <f t="shared" si="51"/>
        <v>397</v>
      </c>
      <c r="B806" s="1" t="str">
        <f t="shared" si="48"/>
        <v xml:space="preserve">Ball </v>
      </c>
      <c r="C806" s="1">
        <f t="shared" si="49"/>
        <v>0</v>
      </c>
      <c r="D806" s="2" t="str">
        <f t="shared" si="50"/>
        <v>2026-02</v>
      </c>
      <c r="E806" s="28" t="s">
        <v>1167</v>
      </c>
      <c r="F806" s="29" t="s">
        <v>814</v>
      </c>
      <c r="G806" s="5">
        <v>46064</v>
      </c>
      <c r="H806" s="6">
        <v>447</v>
      </c>
      <c r="I806" s="6">
        <v>-447</v>
      </c>
      <c r="J806" s="30">
        <v>510</v>
      </c>
      <c r="K806" s="8">
        <v>0.11517367458866533</v>
      </c>
      <c r="L806" s="9">
        <v>1.888093026043694E-2</v>
      </c>
      <c r="M806" s="10">
        <v>447</v>
      </c>
      <c r="N806" s="11">
        <v>6.1</v>
      </c>
      <c r="O806" s="12">
        <v>6432.7195475857561</v>
      </c>
      <c r="P806" s="13" t="s">
        <v>506</v>
      </c>
      <c r="Q806" s="13" t="s">
        <v>81</v>
      </c>
      <c r="R806" s="14" t="s">
        <v>1168</v>
      </c>
      <c r="S806" s="13">
        <v>233</v>
      </c>
      <c r="T806" s="13">
        <v>163.1</v>
      </c>
      <c r="U806" s="13">
        <v>163.1</v>
      </c>
      <c r="V806" s="31" t="s">
        <v>82</v>
      </c>
      <c r="W806" s="15"/>
      <c r="X806" s="15"/>
      <c r="Y806" s="16"/>
      <c r="Z806" s="17"/>
      <c r="AA806" s="16"/>
      <c r="AB806" s="24">
        <v>-163.1</v>
      </c>
      <c r="AC806" s="20">
        <v>18.784826325411313</v>
      </c>
      <c r="AD806" s="21">
        <v>46064</v>
      </c>
      <c r="AE806" s="22">
        <v>629572.4901496137</v>
      </c>
      <c r="AF806" s="23">
        <v>469530.79593333357</v>
      </c>
      <c r="AG806" s="24">
        <v>569693.89593333344</v>
      </c>
      <c r="AH806" s="15">
        <v>0.5</v>
      </c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</row>
    <row r="807" spans="1:73" ht="15" customHeight="1" x14ac:dyDescent="0.25">
      <c r="A807" s="1">
        <f t="shared" si="51"/>
        <v>398</v>
      </c>
      <c r="B807" s="1" t="str">
        <f t="shared" si="48"/>
        <v xml:space="preserve">Ball </v>
      </c>
      <c r="C807" s="1">
        <f t="shared" si="49"/>
        <v>1</v>
      </c>
      <c r="D807" s="2" t="str">
        <f t="shared" si="50"/>
        <v>2026-02</v>
      </c>
      <c r="E807" s="28" t="s">
        <v>1169</v>
      </c>
      <c r="F807" s="29" t="s">
        <v>814</v>
      </c>
      <c r="G807" s="5">
        <v>46064</v>
      </c>
      <c r="H807" s="6">
        <v>118</v>
      </c>
      <c r="I807" s="6">
        <v>-118</v>
      </c>
      <c r="J807" s="30">
        <v>118</v>
      </c>
      <c r="K807" s="8">
        <v>0</v>
      </c>
      <c r="L807" s="9">
        <v>0</v>
      </c>
      <c r="M807" s="10">
        <v>117.99999999999996</v>
      </c>
      <c r="N807" s="11">
        <v>2.1799999999999997</v>
      </c>
      <c r="O807" s="12">
        <v>0</v>
      </c>
      <c r="P807" s="13" t="s">
        <v>506</v>
      </c>
      <c r="Q807" s="13" t="s">
        <v>92</v>
      </c>
      <c r="R807" s="14" t="s">
        <v>1170</v>
      </c>
      <c r="S807" s="13">
        <v>550</v>
      </c>
      <c r="T807" s="13">
        <v>385</v>
      </c>
      <c r="U807" s="13">
        <v>385</v>
      </c>
      <c r="V807" s="31" t="s">
        <v>82</v>
      </c>
      <c r="W807" s="15"/>
      <c r="X807" s="15"/>
      <c r="Y807" s="16"/>
      <c r="Z807" s="17"/>
      <c r="AA807" s="16"/>
      <c r="AB807" s="24">
        <v>-385</v>
      </c>
      <c r="AC807" s="20">
        <v>0</v>
      </c>
      <c r="AD807" s="21">
        <v>46064</v>
      </c>
      <c r="AE807" s="22">
        <v>629553.70532328833</v>
      </c>
      <c r="AF807" s="23">
        <v>469693.89593333355</v>
      </c>
      <c r="AG807" s="24">
        <v>570078.89593333344</v>
      </c>
      <c r="AH807" s="15">
        <v>0.5</v>
      </c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</row>
    <row r="808" spans="1:73" ht="15" customHeight="1" x14ac:dyDescent="0.25">
      <c r="A808" s="1">
        <f t="shared" si="51"/>
        <v>399</v>
      </c>
      <c r="B808" s="1" t="str">
        <f t="shared" si="48"/>
        <v xml:space="preserve">Brooklyn </v>
      </c>
      <c r="C808" s="1">
        <f t="shared" si="49"/>
        <v>0</v>
      </c>
      <c r="D808" s="2" t="str">
        <f t="shared" si="50"/>
        <v>2026-02</v>
      </c>
      <c r="E808" s="28" t="s">
        <v>1171</v>
      </c>
      <c r="F808" s="29" t="s">
        <v>814</v>
      </c>
      <c r="G808" s="102">
        <v>46064</v>
      </c>
      <c r="H808" s="6">
        <v>165</v>
      </c>
      <c r="I808" s="6">
        <v>-165</v>
      </c>
      <c r="J808" s="30">
        <v>195</v>
      </c>
      <c r="K808" s="8">
        <v>0.11320754716981161</v>
      </c>
      <c r="L808" s="9">
        <v>3.8375439718580207E-2</v>
      </c>
      <c r="M808" s="10">
        <v>164.99999999999997</v>
      </c>
      <c r="N808" s="11">
        <v>2.95</v>
      </c>
      <c r="O808" s="12">
        <v>16548.964758587372</v>
      </c>
      <c r="P808" s="13" t="s">
        <v>506</v>
      </c>
      <c r="Q808" s="13" t="s">
        <v>76</v>
      </c>
      <c r="R808" s="14" t="s">
        <v>1172</v>
      </c>
      <c r="S808" s="13">
        <v>1666</v>
      </c>
      <c r="T808" s="13">
        <v>1166.1999999999998</v>
      </c>
      <c r="U808" s="104">
        <v>1166.1999999999998</v>
      </c>
      <c r="V808" s="31" t="s">
        <v>82</v>
      </c>
      <c r="W808" s="15"/>
      <c r="X808" s="15"/>
      <c r="Y808" s="16"/>
      <c r="Z808" s="17"/>
      <c r="AA808" s="16"/>
      <c r="AB808" s="24">
        <v>-1166.1999999999998</v>
      </c>
      <c r="AC808" s="20">
        <v>132.02264150943429</v>
      </c>
      <c r="AD808" s="21">
        <v>46064</v>
      </c>
      <c r="AE808" s="22">
        <v>630443.73458861583</v>
      </c>
      <c r="AF808" s="23">
        <v>468945.63593333354</v>
      </c>
      <c r="AG808" s="24">
        <v>570111.8359333335</v>
      </c>
      <c r="AH808" s="15">
        <v>0.5</v>
      </c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</row>
    <row r="809" spans="1:73" ht="15" customHeight="1" x14ac:dyDescent="0.25">
      <c r="A809" s="1">
        <f t="shared" si="51"/>
        <v>399</v>
      </c>
      <c r="B809" s="1" t="str">
        <f t="shared" si="48"/>
        <v xml:space="preserve">Brooklyn </v>
      </c>
      <c r="C809" s="1">
        <f t="shared" si="49"/>
        <v>0</v>
      </c>
      <c r="D809" s="2" t="str">
        <f t="shared" si="50"/>
        <v>2026-02</v>
      </c>
      <c r="E809" s="28" t="s">
        <v>1173</v>
      </c>
      <c r="F809" s="29" t="s">
        <v>814</v>
      </c>
      <c r="G809" s="102">
        <v>46064</v>
      </c>
      <c r="H809" s="6">
        <v>102</v>
      </c>
      <c r="I809" s="6">
        <v>-102</v>
      </c>
      <c r="J809" s="30">
        <v>118</v>
      </c>
      <c r="K809" s="8">
        <v>7.9207920792079015E-2</v>
      </c>
      <c r="L809" s="9">
        <v>3.6333908620219735E-2</v>
      </c>
      <c r="M809" s="10">
        <v>102</v>
      </c>
      <c r="N809" s="11">
        <v>2.1799999999999997</v>
      </c>
      <c r="O809" s="12">
        <v>19095.339350002763</v>
      </c>
      <c r="P809" s="13" t="s">
        <v>506</v>
      </c>
      <c r="Q809" s="13" t="s">
        <v>76</v>
      </c>
      <c r="R809" s="14" t="s">
        <v>1172</v>
      </c>
      <c r="S809" s="13">
        <v>2800</v>
      </c>
      <c r="T809" s="13">
        <v>1959.9999999999998</v>
      </c>
      <c r="U809" s="104">
        <v>1959.9999999999998</v>
      </c>
      <c r="V809" s="31" t="s">
        <v>82</v>
      </c>
      <c r="W809" s="15"/>
      <c r="X809" s="15"/>
      <c r="Y809" s="16"/>
      <c r="Z809" s="17"/>
      <c r="AA809" s="16"/>
      <c r="AB809" s="24">
        <v>-1959.9999999999998</v>
      </c>
      <c r="AC809" s="20">
        <v>155.24752475247485</v>
      </c>
      <c r="AD809" s="21">
        <v>46064</v>
      </c>
      <c r="AE809" s="22">
        <v>630598.98211336834</v>
      </c>
      <c r="AF809" s="23">
        <v>466985.63593333354</v>
      </c>
      <c r="AG809" s="24">
        <v>568945.63593333354</v>
      </c>
      <c r="AH809" s="15">
        <v>0.5</v>
      </c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</row>
    <row r="810" spans="1:73" ht="15" customHeight="1" x14ac:dyDescent="0.25">
      <c r="A810" s="1">
        <f t="shared" si="51"/>
        <v>399</v>
      </c>
      <c r="B810" s="1" t="str">
        <f t="shared" si="48"/>
        <v xml:space="preserve">Brooklyn </v>
      </c>
      <c r="C810" s="1">
        <f t="shared" si="49"/>
        <v>0</v>
      </c>
      <c r="D810" s="2" t="str">
        <f t="shared" si="50"/>
        <v>2026-02</v>
      </c>
      <c r="E810" s="28" t="s">
        <v>1174</v>
      </c>
      <c r="F810" s="29" t="s">
        <v>814</v>
      </c>
      <c r="G810" s="5">
        <v>46064</v>
      </c>
      <c r="H810" s="6">
        <v>-169</v>
      </c>
      <c r="I810" s="6">
        <v>169</v>
      </c>
      <c r="J810" s="30">
        <v>-133</v>
      </c>
      <c r="K810" s="8">
        <v>0.10062330547558494</v>
      </c>
      <c r="L810" s="9">
        <v>5.7437337460312432E-2</v>
      </c>
      <c r="M810" s="10">
        <v>-169.00000000000003</v>
      </c>
      <c r="N810" s="11">
        <v>1.7518796992481203</v>
      </c>
      <c r="O810" s="12">
        <v>38220.600173977735</v>
      </c>
      <c r="P810" s="13" t="s">
        <v>506</v>
      </c>
      <c r="Q810" s="13" t="s">
        <v>76</v>
      </c>
      <c r="R810" s="14" t="s">
        <v>1172</v>
      </c>
      <c r="S810" s="13">
        <v>3173</v>
      </c>
      <c r="T810" s="13">
        <v>2221.1</v>
      </c>
      <c r="U810" s="13">
        <v>2221.1</v>
      </c>
      <c r="V810" s="31" t="s">
        <v>82</v>
      </c>
      <c r="W810" s="15"/>
      <c r="X810" s="15"/>
      <c r="Y810" s="16"/>
      <c r="Z810" s="17"/>
      <c r="AA810" s="16"/>
      <c r="AB810" s="24">
        <v>-2221.1</v>
      </c>
      <c r="AC810" s="20">
        <v>223.4944237918217</v>
      </c>
      <c r="AD810" s="21">
        <v>46064</v>
      </c>
      <c r="AE810" s="22">
        <v>631682.47653716011</v>
      </c>
      <c r="AF810" s="23">
        <v>468964.53593333357</v>
      </c>
      <c r="AG810" s="24">
        <v>571185.63593333354</v>
      </c>
      <c r="AH810" s="15">
        <v>0.5</v>
      </c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</row>
    <row r="811" spans="1:73" ht="15" customHeight="1" x14ac:dyDescent="0.25">
      <c r="A811" s="1">
        <f t="shared" si="51"/>
        <v>400</v>
      </c>
      <c r="B811" s="1" t="str">
        <f t="shared" si="48"/>
        <v xml:space="preserve">Cincinnati </v>
      </c>
      <c r="C811" s="1">
        <f t="shared" si="49"/>
        <v>1</v>
      </c>
      <c r="D811" s="2" t="str">
        <f t="shared" si="50"/>
        <v>2026-02</v>
      </c>
      <c r="E811" s="28" t="s">
        <v>1175</v>
      </c>
      <c r="F811" s="29" t="s">
        <v>814</v>
      </c>
      <c r="G811" s="5">
        <v>46064</v>
      </c>
      <c r="H811" s="6">
        <v>-120</v>
      </c>
      <c r="I811" s="6">
        <v>120</v>
      </c>
      <c r="J811" s="30">
        <v>102</v>
      </c>
      <c r="K811" s="8">
        <v>0.10181818181818175</v>
      </c>
      <c r="L811" s="9">
        <v>5.0405040504050369E-2</v>
      </c>
      <c r="M811" s="10">
        <v>-119.99999999999997</v>
      </c>
      <c r="N811" s="11">
        <v>2.02</v>
      </c>
      <c r="O811" s="12">
        <v>28412.63095567438</v>
      </c>
      <c r="P811" s="13" t="s">
        <v>506</v>
      </c>
      <c r="Q811" s="13" t="s">
        <v>92</v>
      </c>
      <c r="R811" s="14" t="s">
        <v>1176</v>
      </c>
      <c r="S811" s="13">
        <v>245</v>
      </c>
      <c r="T811" s="13">
        <v>171.5</v>
      </c>
      <c r="U811" s="13">
        <v>171.5</v>
      </c>
      <c r="V811" s="6" t="s">
        <v>77</v>
      </c>
      <c r="W811" s="15"/>
      <c r="X811" s="15"/>
      <c r="Y811" s="16"/>
      <c r="Z811" s="17"/>
      <c r="AA811" s="16"/>
      <c r="AB811" s="24">
        <v>174.93</v>
      </c>
      <c r="AC811" s="20">
        <v>17.46181818181817</v>
      </c>
      <c r="AD811" s="21">
        <v>46064</v>
      </c>
      <c r="AE811" s="22">
        <v>631837.4720513192</v>
      </c>
      <c r="AF811" s="23">
        <v>469442.28593333351</v>
      </c>
      <c r="AG811" s="24">
        <v>569267.35593333351</v>
      </c>
      <c r="AH811" s="15">
        <v>0.5</v>
      </c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</row>
    <row r="812" spans="1:73" ht="15" customHeight="1" x14ac:dyDescent="0.25">
      <c r="A812" s="1">
        <f t="shared" si="51"/>
        <v>401</v>
      </c>
      <c r="B812" s="1" t="str">
        <f t="shared" si="48"/>
        <v xml:space="preserve">Cleveland </v>
      </c>
      <c r="C812" s="1">
        <f t="shared" si="49"/>
        <v>0</v>
      </c>
      <c r="D812" s="2" t="str">
        <f t="shared" si="50"/>
        <v>2026-02</v>
      </c>
      <c r="E812" s="28" t="s">
        <v>1177</v>
      </c>
      <c r="F812" s="29" t="s">
        <v>814</v>
      </c>
      <c r="G812" s="5">
        <v>46064</v>
      </c>
      <c r="H812" s="6">
        <v>-208</v>
      </c>
      <c r="I812" s="6">
        <v>208</v>
      </c>
      <c r="J812" s="30">
        <v>-164</v>
      </c>
      <c r="K812" s="8">
        <v>8.7108013937282222E-2</v>
      </c>
      <c r="L812" s="9">
        <v>5.4112554112554112E-2</v>
      </c>
      <c r="M812" s="10">
        <v>-208</v>
      </c>
      <c r="N812" s="11">
        <v>1.6097560975609757</v>
      </c>
      <c r="O812" s="12">
        <v>40423.476852380954</v>
      </c>
      <c r="P812" s="13" t="s">
        <v>506</v>
      </c>
      <c r="Q812" s="32" t="s">
        <v>76</v>
      </c>
      <c r="R812" s="33" t="s">
        <v>787</v>
      </c>
      <c r="S812" s="32">
        <v>5775</v>
      </c>
      <c r="T812" s="32">
        <v>4042.4999999999995</v>
      </c>
      <c r="U812" s="32">
        <v>4042.4999999999995</v>
      </c>
      <c r="V812" s="6" t="s">
        <v>77</v>
      </c>
      <c r="W812" s="15"/>
      <c r="X812" s="15"/>
      <c r="Y812" s="16"/>
      <c r="Z812" s="17"/>
      <c r="AA812" s="16"/>
      <c r="AB812" s="24">
        <v>2464.94</v>
      </c>
      <c r="AC812" s="20">
        <v>352.13414634146335</v>
      </c>
      <c r="AD812" s="21">
        <v>46064</v>
      </c>
      <c r="AE812" s="22">
        <v>629328.19391079643</v>
      </c>
      <c r="AF812" s="23">
        <v>468393.61593333352</v>
      </c>
      <c r="AG812" s="24">
        <v>565928.67593333346</v>
      </c>
      <c r="AH812" s="15">
        <v>0.5</v>
      </c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</row>
    <row r="813" spans="1:73" ht="15" customHeight="1" x14ac:dyDescent="0.25">
      <c r="A813" s="1">
        <f t="shared" si="51"/>
        <v>401</v>
      </c>
      <c r="B813" s="1" t="str">
        <f t="shared" si="48"/>
        <v xml:space="preserve">Cleveland </v>
      </c>
      <c r="C813" s="1">
        <f t="shared" si="49"/>
        <v>0</v>
      </c>
      <c r="D813" s="2" t="str">
        <f t="shared" si="50"/>
        <v>2026-02</v>
      </c>
      <c r="E813" s="28" t="s">
        <v>1178</v>
      </c>
      <c r="F813" s="29" t="s">
        <v>814</v>
      </c>
      <c r="G813" s="102">
        <v>46064</v>
      </c>
      <c r="H813" s="6">
        <v>-193</v>
      </c>
      <c r="I813" s="6">
        <v>193</v>
      </c>
      <c r="J813" s="30">
        <v>-148</v>
      </c>
      <c r="K813" s="8">
        <v>0.10377271469421621</v>
      </c>
      <c r="L813" s="9">
        <v>6.1928878123967745E-2</v>
      </c>
      <c r="M813" s="10">
        <v>-192.99999999999991</v>
      </c>
      <c r="N813" s="11">
        <v>1.6756756756756757</v>
      </c>
      <c r="O813" s="12">
        <v>43502.00651365181</v>
      </c>
      <c r="P813" s="13" t="s">
        <v>506</v>
      </c>
      <c r="Q813" s="13" t="s">
        <v>76</v>
      </c>
      <c r="R813" s="14" t="s">
        <v>787</v>
      </c>
      <c r="S813" s="13">
        <v>5000</v>
      </c>
      <c r="T813" s="13">
        <v>3500</v>
      </c>
      <c r="U813" s="104">
        <v>3500</v>
      </c>
      <c r="V813" s="6" t="s">
        <v>77</v>
      </c>
      <c r="W813" s="15"/>
      <c r="X813" s="15"/>
      <c r="Y813" s="16"/>
      <c r="Z813" s="17"/>
      <c r="AA813" s="16"/>
      <c r="AB813" s="24">
        <v>2364.86</v>
      </c>
      <c r="AC813" s="20">
        <v>363.20450142975676</v>
      </c>
      <c r="AD813" s="21">
        <v>46064</v>
      </c>
      <c r="AE813" s="22">
        <v>630134.75174514169</v>
      </c>
      <c r="AF813" s="23">
        <v>468857.65593333356</v>
      </c>
      <c r="AG813" s="24">
        <v>566492.79593333346</v>
      </c>
      <c r="AH813" s="15">
        <v>0.5</v>
      </c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</row>
    <row r="814" spans="1:73" ht="15" customHeight="1" x14ac:dyDescent="0.25">
      <c r="A814" s="1">
        <f t="shared" si="51"/>
        <v>402</v>
      </c>
      <c r="B814" s="1" t="str">
        <f t="shared" si="48"/>
        <v xml:space="preserve">Eastern </v>
      </c>
      <c r="C814" s="1">
        <f t="shared" si="49"/>
        <v>1</v>
      </c>
      <c r="D814" s="2" t="str">
        <f t="shared" si="50"/>
        <v>2026-02</v>
      </c>
      <c r="E814" s="28" t="s">
        <v>1179</v>
      </c>
      <c r="F814" s="29" t="s">
        <v>814</v>
      </c>
      <c r="G814" s="5">
        <v>46064</v>
      </c>
      <c r="H814" s="6">
        <v>-108</v>
      </c>
      <c r="I814" s="6">
        <v>108</v>
      </c>
      <c r="J814" s="30">
        <v>114</v>
      </c>
      <c r="K814" s="8">
        <v>0.11115384615384612</v>
      </c>
      <c r="L814" s="9">
        <v>5.1941049604600997E-2</v>
      </c>
      <c r="M814" s="10">
        <v>-108.00000000000001</v>
      </c>
      <c r="N814" s="11">
        <v>2.1399999999999997</v>
      </c>
      <c r="O814" s="12">
        <v>27767.953943106164</v>
      </c>
      <c r="P814" s="13" t="s">
        <v>506</v>
      </c>
      <c r="Q814" s="13" t="s">
        <v>92</v>
      </c>
      <c r="R814" s="14" t="s">
        <v>1180</v>
      </c>
      <c r="S814" s="13">
        <v>626</v>
      </c>
      <c r="T814" s="13">
        <v>438.2</v>
      </c>
      <c r="U814" s="13">
        <v>438.2</v>
      </c>
      <c r="V814" s="6" t="s">
        <v>77</v>
      </c>
      <c r="W814" s="15"/>
      <c r="X814" s="15"/>
      <c r="Y814" s="16"/>
      <c r="Z814" s="17"/>
      <c r="AA814" s="16"/>
      <c r="AB814" s="24">
        <v>499.55</v>
      </c>
      <c r="AC814" s="20">
        <v>48.707615384615366</v>
      </c>
      <c r="AD814" s="21">
        <v>46064</v>
      </c>
      <c r="AE814" s="22">
        <v>629553.70532328833</v>
      </c>
      <c r="AF814" s="23">
        <v>470078.89593333355</v>
      </c>
      <c r="AG814" s="24">
        <v>569579.34593333339</v>
      </c>
      <c r="AH814" s="15">
        <v>0.5</v>
      </c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</row>
    <row r="815" spans="1:73" ht="15" customHeight="1" x14ac:dyDescent="0.25">
      <c r="A815" s="1">
        <f t="shared" si="51"/>
        <v>403</v>
      </c>
      <c r="B815" s="1" t="str">
        <f t="shared" si="48"/>
        <v xml:space="preserve">Kent </v>
      </c>
      <c r="C815" s="1">
        <f t="shared" si="49"/>
        <v>0</v>
      </c>
      <c r="D815" s="2" t="str">
        <f t="shared" si="50"/>
        <v>2026-02</v>
      </c>
      <c r="E815" s="28" t="s">
        <v>913</v>
      </c>
      <c r="F815" s="29" t="s">
        <v>814</v>
      </c>
      <c r="G815" s="5">
        <v>46064</v>
      </c>
      <c r="H815" s="6">
        <v>-131</v>
      </c>
      <c r="I815" s="6">
        <v>131</v>
      </c>
      <c r="J815" s="30">
        <v>-105</v>
      </c>
      <c r="K815" s="8">
        <v>0.1071943929086786</v>
      </c>
      <c r="L815" s="9">
        <v>5.490444514834758E-2</v>
      </c>
      <c r="M815" s="10">
        <v>-131</v>
      </c>
      <c r="N815" s="11">
        <v>1.9523809523809523</v>
      </c>
      <c r="O815" s="12">
        <v>31987.519511399714</v>
      </c>
      <c r="P815" s="13" t="s">
        <v>506</v>
      </c>
      <c r="Q815" s="13" t="s">
        <v>81</v>
      </c>
      <c r="R815" s="14" t="s">
        <v>914</v>
      </c>
      <c r="S815" s="13">
        <v>1040</v>
      </c>
      <c r="T815" s="13">
        <v>728</v>
      </c>
      <c r="U815" s="13">
        <v>728</v>
      </c>
      <c r="V815" s="6" t="s">
        <v>77</v>
      </c>
      <c r="W815" s="15"/>
      <c r="X815" s="15"/>
      <c r="Y815" s="16"/>
      <c r="Z815" s="17"/>
      <c r="AA815" s="16"/>
      <c r="AB815" s="24">
        <v>693.33</v>
      </c>
      <c r="AC815" s="20">
        <v>78.037518037518026</v>
      </c>
      <c r="AD815" s="21">
        <v>46064</v>
      </c>
      <c r="AE815" s="22">
        <v>629406.23142883391</v>
      </c>
      <c r="AF815" s="23">
        <v>469086.94593333354</v>
      </c>
      <c r="AG815" s="24">
        <v>568393.61593333341</v>
      </c>
      <c r="AH815" s="15">
        <v>0.5</v>
      </c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</row>
    <row r="816" spans="1:73" ht="15" customHeight="1" x14ac:dyDescent="0.25">
      <c r="A816" s="1">
        <f t="shared" si="51"/>
        <v>404</v>
      </c>
      <c r="B816" s="1" t="str">
        <f t="shared" si="48"/>
        <v xml:space="preserve">La </v>
      </c>
      <c r="C816" s="1">
        <f t="shared" si="49"/>
        <v>0</v>
      </c>
      <c r="D816" s="2" t="str">
        <f t="shared" si="50"/>
        <v>2026-02</v>
      </c>
      <c r="E816" s="28" t="s">
        <v>1181</v>
      </c>
      <c r="F816" s="29" t="s">
        <v>814</v>
      </c>
      <c r="G816" s="5">
        <v>46064</v>
      </c>
      <c r="H816" s="6">
        <v>-244</v>
      </c>
      <c r="I816" s="6">
        <v>244</v>
      </c>
      <c r="J816" s="30">
        <v>-175</v>
      </c>
      <c r="K816" s="8">
        <v>0.11461794019933563</v>
      </c>
      <c r="L816" s="9">
        <v>7.2938689217759034E-2</v>
      </c>
      <c r="M816" s="10">
        <v>-244.00000000000003</v>
      </c>
      <c r="N816" s="11">
        <v>1.5714285714285714</v>
      </c>
      <c r="O816" s="12">
        <v>57074.126845058192</v>
      </c>
      <c r="P816" s="13" t="s">
        <v>506</v>
      </c>
      <c r="Q816" s="13" t="s">
        <v>76</v>
      </c>
      <c r="R816" s="14" t="s">
        <v>863</v>
      </c>
      <c r="S816" s="13">
        <v>1231</v>
      </c>
      <c r="T816" s="13">
        <v>861.69999999999993</v>
      </c>
      <c r="U816" s="13">
        <v>861.69999999999993</v>
      </c>
      <c r="V816" s="31" t="s">
        <v>77</v>
      </c>
      <c r="W816" s="15"/>
      <c r="X816" s="15"/>
      <c r="Y816" s="16"/>
      <c r="Z816" s="17"/>
      <c r="AA816" s="16"/>
      <c r="AB816" s="24">
        <v>492.4</v>
      </c>
      <c r="AC816" s="20">
        <v>98.766279069767506</v>
      </c>
      <c r="AD816" s="21">
        <v>46064</v>
      </c>
      <c r="AE816" s="22">
        <v>629504.99770790373</v>
      </c>
      <c r="AF816" s="23">
        <v>469579.34593333356</v>
      </c>
      <c r="AG816" s="24">
        <v>569086.94593333337</v>
      </c>
      <c r="AH816" s="15">
        <v>0.5</v>
      </c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</row>
    <row r="817" spans="1:68" ht="15" customHeight="1" x14ac:dyDescent="0.25">
      <c r="A817" s="1">
        <f t="shared" si="51"/>
        <v>405</v>
      </c>
      <c r="B817" s="1" t="str">
        <f t="shared" si="48"/>
        <v xml:space="preserve">Memphis </v>
      </c>
      <c r="C817" s="1">
        <f t="shared" si="49"/>
        <v>0</v>
      </c>
      <c r="D817" s="2" t="str">
        <f t="shared" si="50"/>
        <v>2026-02</v>
      </c>
      <c r="E817" s="28" t="s">
        <v>1182</v>
      </c>
      <c r="F817" s="29" t="s">
        <v>814</v>
      </c>
      <c r="G817" s="102">
        <v>46064</v>
      </c>
      <c r="H817" s="6">
        <v>352</v>
      </c>
      <c r="I817" s="6">
        <v>-352</v>
      </c>
      <c r="J817" s="30">
        <v>400</v>
      </c>
      <c r="K817" s="8">
        <v>0.10619469026548672</v>
      </c>
      <c r="L817" s="9">
        <v>2.1238938053097345E-2</v>
      </c>
      <c r="M817" s="10">
        <v>352</v>
      </c>
      <c r="N817" s="11">
        <v>5</v>
      </c>
      <c r="O817" s="12">
        <v>7571.1734858407099</v>
      </c>
      <c r="P817" s="13" t="s">
        <v>506</v>
      </c>
      <c r="Q817" s="13" t="s">
        <v>81</v>
      </c>
      <c r="R817" s="14" t="s">
        <v>1183</v>
      </c>
      <c r="S817" s="13">
        <v>357</v>
      </c>
      <c r="T817" s="13">
        <v>249.89999999999998</v>
      </c>
      <c r="U817" s="104">
        <v>249.89999999999998</v>
      </c>
      <c r="V817" s="6" t="s">
        <v>82</v>
      </c>
      <c r="W817" s="15"/>
      <c r="X817" s="15"/>
      <c r="Y817" s="16"/>
      <c r="Z817" s="17"/>
      <c r="AA817" s="16"/>
      <c r="AB817" s="24">
        <v>-249.89999999999998</v>
      </c>
      <c r="AC817" s="20">
        <v>26.538053097345131</v>
      </c>
      <c r="AD817" s="21">
        <v>46064</v>
      </c>
      <c r="AE817" s="22">
        <v>630311.71194710641</v>
      </c>
      <c r="AF817" s="23">
        <v>470111.83593333355</v>
      </c>
      <c r="AG817" s="24">
        <v>570361.73593333352</v>
      </c>
      <c r="AH817" s="15">
        <v>0.5</v>
      </c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</row>
    <row r="818" spans="1:68" ht="15" customHeight="1" x14ac:dyDescent="0.25">
      <c r="A818" s="1">
        <f t="shared" si="51"/>
        <v>405</v>
      </c>
      <c r="B818" s="1" t="str">
        <f t="shared" si="48"/>
        <v xml:space="preserve">Memphis </v>
      </c>
      <c r="C818" s="1">
        <f t="shared" si="49"/>
        <v>0</v>
      </c>
      <c r="D818" s="2" t="str">
        <f t="shared" si="50"/>
        <v>2026-02</v>
      </c>
      <c r="E818" s="28" t="s">
        <v>1184</v>
      </c>
      <c r="F818" s="29" t="s">
        <v>814</v>
      </c>
      <c r="G818" s="5">
        <v>46064</v>
      </c>
      <c r="H818" s="6">
        <v>210</v>
      </c>
      <c r="I818" s="6">
        <v>-290</v>
      </c>
      <c r="J818" s="30">
        <v>270</v>
      </c>
      <c r="K818" s="8">
        <v>0.11947245927075277</v>
      </c>
      <c r="L818" s="9">
        <v>3.2289853856960204E-2</v>
      </c>
      <c r="M818" s="10">
        <v>230.5128205128205</v>
      </c>
      <c r="N818" s="11">
        <v>3.7</v>
      </c>
      <c r="O818" s="12">
        <v>12601.927479489346</v>
      </c>
      <c r="P818" s="13" t="s">
        <v>506</v>
      </c>
      <c r="Q818" s="13" t="s">
        <v>76</v>
      </c>
      <c r="R818" s="14" t="s">
        <v>1183</v>
      </c>
      <c r="S818" s="13">
        <v>462</v>
      </c>
      <c r="T818" s="13">
        <v>323.39999999999998</v>
      </c>
      <c r="U818" s="13">
        <v>323.39999999999998</v>
      </c>
      <c r="V818" s="31" t="s">
        <v>82</v>
      </c>
      <c r="W818" s="15"/>
      <c r="X818" s="15"/>
      <c r="Y818" s="16"/>
      <c r="Z818" s="17"/>
      <c r="AA818" s="16"/>
      <c r="AB818" s="24">
        <v>-323.39999999999998</v>
      </c>
      <c r="AC818" s="20">
        <v>38.637393328161444</v>
      </c>
      <c r="AD818" s="21">
        <v>46064</v>
      </c>
      <c r="AE818" s="22">
        <v>631820.01023313741</v>
      </c>
      <c r="AF818" s="23">
        <v>469267.35593333351</v>
      </c>
      <c r="AG818" s="24">
        <v>569590.75593333354</v>
      </c>
      <c r="AH818" s="15">
        <v>0.5</v>
      </c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</row>
    <row r="819" spans="1:68" ht="15" customHeight="1" x14ac:dyDescent="0.25">
      <c r="A819" s="1">
        <f t="shared" si="51"/>
        <v>406</v>
      </c>
      <c r="B819" s="1" t="str">
        <f t="shared" si="48"/>
        <v xml:space="preserve">Miami </v>
      </c>
      <c r="C819" s="1">
        <f t="shared" si="49"/>
        <v>0</v>
      </c>
      <c r="D819" s="2" t="str">
        <f t="shared" si="50"/>
        <v>2026-02</v>
      </c>
      <c r="E819" s="28" t="s">
        <v>1185</v>
      </c>
      <c r="F819" s="29" t="s">
        <v>814</v>
      </c>
      <c r="G819" s="5">
        <v>46064</v>
      </c>
      <c r="H819" s="6">
        <v>188</v>
      </c>
      <c r="I819" s="6">
        <v>-188</v>
      </c>
      <c r="J819" s="30">
        <v>240</v>
      </c>
      <c r="K819" s="8">
        <v>0.18055555555555547</v>
      </c>
      <c r="L819" s="9">
        <v>5.3104575163398671E-2</v>
      </c>
      <c r="M819" s="10">
        <v>188</v>
      </c>
      <c r="N819" s="11">
        <v>3.4</v>
      </c>
      <c r="O819" s="12">
        <v>21390.357833140435</v>
      </c>
      <c r="P819" s="13" t="s">
        <v>506</v>
      </c>
      <c r="Q819" s="13" t="s">
        <v>81</v>
      </c>
      <c r="R819" s="14" t="s">
        <v>1186</v>
      </c>
      <c r="S819" s="13">
        <v>104</v>
      </c>
      <c r="T819" s="13">
        <v>72.8</v>
      </c>
      <c r="U819" s="13">
        <v>72.8</v>
      </c>
      <c r="V819" s="6" t="s">
        <v>77</v>
      </c>
      <c r="W819" s="15"/>
      <c r="X819" s="15"/>
      <c r="Y819" s="16"/>
      <c r="Z819" s="17"/>
      <c r="AA819" s="16"/>
      <c r="AB819" s="24">
        <v>174.72</v>
      </c>
      <c r="AC819" s="20">
        <v>13.144444444444437</v>
      </c>
      <c r="AD819" s="21">
        <v>46064</v>
      </c>
      <c r="AE819" s="22">
        <v>631727.28193071834</v>
      </c>
      <c r="AF819" s="23">
        <v>468829.15593333356</v>
      </c>
      <c r="AG819" s="24">
        <v>568654.43593333359</v>
      </c>
      <c r="AH819" s="15">
        <v>0.5</v>
      </c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</row>
    <row r="820" spans="1:68" ht="15" customHeight="1" x14ac:dyDescent="0.25">
      <c r="A820" s="1">
        <f t="shared" si="51"/>
        <v>406</v>
      </c>
      <c r="B820" s="1" t="str">
        <f t="shared" si="48"/>
        <v xml:space="preserve">Miami </v>
      </c>
      <c r="C820" s="1">
        <f t="shared" si="49"/>
        <v>0</v>
      </c>
      <c r="D820" s="2" t="str">
        <f t="shared" si="50"/>
        <v>2026-02</v>
      </c>
      <c r="E820" s="28" t="s">
        <v>1187</v>
      </c>
      <c r="F820" s="29" t="s">
        <v>814</v>
      </c>
      <c r="G820" s="5">
        <v>46064</v>
      </c>
      <c r="H820" s="6">
        <v>109</v>
      </c>
      <c r="I820" s="6">
        <v>-109</v>
      </c>
      <c r="J820" s="30">
        <v>128</v>
      </c>
      <c r="K820" s="8">
        <v>9.0909090909091092E-2</v>
      </c>
      <c r="L820" s="9">
        <v>3.9872408293461004E-2</v>
      </c>
      <c r="M820" s="10">
        <v>108.99999999999999</v>
      </c>
      <c r="N820" s="11">
        <v>2.2800000000000002</v>
      </c>
      <c r="O820" s="12">
        <v>20199.89900331444</v>
      </c>
      <c r="P820" s="13" t="s">
        <v>506</v>
      </c>
      <c r="Q820" s="13" t="s">
        <v>76</v>
      </c>
      <c r="R820" s="14" t="s">
        <v>1186</v>
      </c>
      <c r="S820" s="13">
        <v>850</v>
      </c>
      <c r="T820" s="13">
        <v>595</v>
      </c>
      <c r="U820" s="13">
        <v>595</v>
      </c>
      <c r="V820" s="6" t="s">
        <v>77</v>
      </c>
      <c r="W820" s="15"/>
      <c r="X820" s="15"/>
      <c r="Y820" s="16"/>
      <c r="Z820" s="17"/>
      <c r="AA820" s="16"/>
      <c r="AB820" s="24">
        <v>761.6</v>
      </c>
      <c r="AC820" s="20">
        <v>54.0909090909092</v>
      </c>
      <c r="AD820" s="21">
        <v>46064</v>
      </c>
      <c r="AE820" s="22">
        <v>631781.37283980928</v>
      </c>
      <c r="AF820" s="23">
        <v>469590.75593333354</v>
      </c>
      <c r="AG820" s="24">
        <v>568829.15593333356</v>
      </c>
      <c r="AH820" s="15">
        <v>0.5</v>
      </c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</row>
    <row r="821" spans="1:68" ht="15" customHeight="1" x14ac:dyDescent="0.25">
      <c r="A821" s="1">
        <f t="shared" si="51"/>
        <v>407</v>
      </c>
      <c r="B821" s="1" t="str">
        <f t="shared" si="48"/>
        <v xml:space="preserve">Philadelphia </v>
      </c>
      <c r="C821" s="1">
        <f t="shared" si="49"/>
        <v>0</v>
      </c>
      <c r="D821" s="2" t="str">
        <f t="shared" si="50"/>
        <v>2026-02</v>
      </c>
      <c r="E821" s="28" t="s">
        <v>1188</v>
      </c>
      <c r="F821" s="29" t="s">
        <v>814</v>
      </c>
      <c r="G821" s="102">
        <v>46064</v>
      </c>
      <c r="H821" s="6">
        <v>-163</v>
      </c>
      <c r="I821" s="6">
        <v>130</v>
      </c>
      <c r="J821" s="30">
        <v>-123</v>
      </c>
      <c r="K821" s="8">
        <v>6.552241412051979E-2</v>
      </c>
      <c r="L821" s="9">
        <v>3.6140165635981769E-2</v>
      </c>
      <c r="M821" s="10">
        <v>-142.54752851711024</v>
      </c>
      <c r="N821" s="11">
        <v>1.8130081300813008</v>
      </c>
      <c r="O821" s="12">
        <v>22949.975089302872</v>
      </c>
      <c r="P821" s="13" t="s">
        <v>506</v>
      </c>
      <c r="Q821" s="13" t="s">
        <v>76</v>
      </c>
      <c r="R821" s="14" t="s">
        <v>738</v>
      </c>
      <c r="S821" s="13">
        <v>4340</v>
      </c>
      <c r="T821" s="13">
        <v>3038</v>
      </c>
      <c r="U821" s="104">
        <v>3038</v>
      </c>
      <c r="V821" s="6" t="s">
        <v>82</v>
      </c>
      <c r="W821" s="15"/>
      <c r="X821" s="15"/>
      <c r="Y821" s="16"/>
      <c r="Z821" s="17"/>
      <c r="AA821" s="16"/>
      <c r="AB821" s="24">
        <v>-3038</v>
      </c>
      <c r="AC821" s="20">
        <v>199.05709409813912</v>
      </c>
      <c r="AD821" s="21">
        <v>46064</v>
      </c>
      <c r="AE821" s="22">
        <v>629771.54724371189</v>
      </c>
      <c r="AF821" s="23">
        <v>466492.79593333357</v>
      </c>
      <c r="AG821" s="24">
        <v>569530.79593333346</v>
      </c>
      <c r="AH821" s="15">
        <v>0.5</v>
      </c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</row>
    <row r="822" spans="1:68" ht="15" customHeight="1" x14ac:dyDescent="0.25">
      <c r="A822" s="1">
        <f t="shared" si="51"/>
        <v>408</v>
      </c>
      <c r="B822" s="1" t="str">
        <f t="shared" si="48"/>
        <v xml:space="preserve">Portland </v>
      </c>
      <c r="C822" s="1">
        <f t="shared" si="49"/>
        <v>0</v>
      </c>
      <c r="D822" s="2" t="str">
        <f t="shared" si="50"/>
        <v>2026-02</v>
      </c>
      <c r="E822" s="28" t="s">
        <v>1189</v>
      </c>
      <c r="F822" s="29" t="s">
        <v>814</v>
      </c>
      <c r="G822" s="5">
        <v>46064</v>
      </c>
      <c r="H822" s="6">
        <v>-131</v>
      </c>
      <c r="I822" s="6">
        <v>131</v>
      </c>
      <c r="J822" s="30">
        <v>-106</v>
      </c>
      <c r="K822" s="8">
        <v>0.1020991587029323</v>
      </c>
      <c r="L822" s="9">
        <v>5.2536460303450605E-2</v>
      </c>
      <c r="M822" s="10">
        <v>-131</v>
      </c>
      <c r="N822" s="11">
        <v>1.9433962264150944</v>
      </c>
      <c r="O822" s="12">
        <v>30788.124238816756</v>
      </c>
      <c r="P822" s="13" t="s">
        <v>506</v>
      </c>
      <c r="Q822" s="13" t="s">
        <v>81</v>
      </c>
      <c r="R822" s="14" t="s">
        <v>1190</v>
      </c>
      <c r="S822" s="13">
        <v>443</v>
      </c>
      <c r="T822" s="13">
        <v>310.09999999999997</v>
      </c>
      <c r="U822" s="13">
        <v>310.09999999999997</v>
      </c>
      <c r="V822" s="6" t="s">
        <v>82</v>
      </c>
      <c r="W822" s="15"/>
      <c r="X822" s="15"/>
      <c r="Y822" s="16"/>
      <c r="Z822" s="17"/>
      <c r="AA822" s="16"/>
      <c r="AB822" s="24">
        <v>-310.09999999999997</v>
      </c>
      <c r="AC822" s="20">
        <v>31.660949113779303</v>
      </c>
      <c r="AD822" s="21">
        <v>46064</v>
      </c>
      <c r="AE822" s="22">
        <v>631714.13748627389</v>
      </c>
      <c r="AF822" s="23">
        <v>468654.43593333359</v>
      </c>
      <c r="AG822" s="24">
        <v>568964.53593333357</v>
      </c>
      <c r="AH822" s="15">
        <v>0.5</v>
      </c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</row>
    <row r="823" spans="1:68" ht="15" customHeight="1" x14ac:dyDescent="0.25">
      <c r="A823" s="1">
        <f t="shared" si="51"/>
        <v>409</v>
      </c>
      <c r="B823" s="1" t="str">
        <f t="shared" si="48"/>
        <v xml:space="preserve">Sacramento </v>
      </c>
      <c r="C823" s="1">
        <f t="shared" si="49"/>
        <v>0</v>
      </c>
      <c r="D823" s="2" t="str">
        <f t="shared" si="50"/>
        <v>2026-02</v>
      </c>
      <c r="E823" s="28" t="s">
        <v>1191</v>
      </c>
      <c r="F823" s="29" t="s">
        <v>814</v>
      </c>
      <c r="G823" s="5">
        <v>46064</v>
      </c>
      <c r="H823" s="6">
        <v>-100</v>
      </c>
      <c r="I823" s="6">
        <v>100</v>
      </c>
      <c r="J823" s="30">
        <v>123</v>
      </c>
      <c r="K823" s="8">
        <v>0.11499999999999995</v>
      </c>
      <c r="L823" s="9">
        <v>5.1569506726457381E-2</v>
      </c>
      <c r="M823" s="10">
        <v>-100</v>
      </c>
      <c r="N823" s="11">
        <v>2.23</v>
      </c>
      <c r="O823" s="12">
        <v>26620.26946436314</v>
      </c>
      <c r="P823" s="13" t="s">
        <v>506</v>
      </c>
      <c r="Q823" s="13" t="s">
        <v>76</v>
      </c>
      <c r="R823" s="14" t="s">
        <v>762</v>
      </c>
      <c r="S823" s="13">
        <v>650</v>
      </c>
      <c r="T823" s="13">
        <v>454.99999999999994</v>
      </c>
      <c r="U823" s="13">
        <v>454.99999999999994</v>
      </c>
      <c r="V823" s="6" t="s">
        <v>82</v>
      </c>
      <c r="W823" s="15"/>
      <c r="X823" s="15"/>
      <c r="Y823" s="16"/>
      <c r="Z823" s="17"/>
      <c r="AA823" s="16"/>
      <c r="AB823" s="24">
        <v>-454.99999999999994</v>
      </c>
      <c r="AC823" s="20">
        <v>52.324999999999967</v>
      </c>
      <c r="AD823" s="21">
        <v>46064</v>
      </c>
      <c r="AE823" s="22">
        <v>631889.79705131915</v>
      </c>
      <c r="AF823" s="23">
        <v>468987.28593333351</v>
      </c>
      <c r="AG823" s="24">
        <v>569442.28593333357</v>
      </c>
      <c r="AH823" s="15">
        <v>0.5</v>
      </c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</row>
    <row r="824" spans="1:68" ht="15" customHeight="1" x14ac:dyDescent="0.25">
      <c r="A824" s="1">
        <f t="shared" si="51"/>
        <v>409</v>
      </c>
      <c r="B824" s="1" t="str">
        <f t="shared" si="48"/>
        <v xml:space="preserve">Sacramento </v>
      </c>
      <c r="C824" s="1">
        <f t="shared" si="49"/>
        <v>0</v>
      </c>
      <c r="D824" s="2" t="str">
        <f t="shared" si="50"/>
        <v>2026-02</v>
      </c>
      <c r="E824" s="28" t="s">
        <v>1192</v>
      </c>
      <c r="F824" s="29" t="s">
        <v>814</v>
      </c>
      <c r="G824" s="5">
        <v>46064</v>
      </c>
      <c r="H824" s="6">
        <v>-131</v>
      </c>
      <c r="I824" s="6">
        <v>131</v>
      </c>
      <c r="J824" s="30">
        <v>-108</v>
      </c>
      <c r="K824" s="8">
        <v>9.2191758858425676E-2</v>
      </c>
      <c r="L824" s="9">
        <v>4.7868797868797941E-2</v>
      </c>
      <c r="M824" s="10">
        <v>-131</v>
      </c>
      <c r="N824" s="11">
        <v>1.925925925925926</v>
      </c>
      <c r="O824" s="12">
        <v>28326.20687546903</v>
      </c>
      <c r="P824" s="13" t="s">
        <v>506</v>
      </c>
      <c r="Q824" s="13" t="s">
        <v>76</v>
      </c>
      <c r="R824" s="14" t="s">
        <v>762</v>
      </c>
      <c r="S824" s="13">
        <v>895</v>
      </c>
      <c r="T824" s="13">
        <v>626.5</v>
      </c>
      <c r="U824" s="13">
        <v>626.5</v>
      </c>
      <c r="V824" s="6" t="s">
        <v>82</v>
      </c>
      <c r="W824" s="15"/>
      <c r="X824" s="15"/>
      <c r="Y824" s="16"/>
      <c r="Z824" s="17"/>
      <c r="AA824" s="16"/>
      <c r="AB824" s="24">
        <v>-626.5</v>
      </c>
      <c r="AC824" s="20">
        <v>57.758136924803686</v>
      </c>
      <c r="AD824" s="21">
        <v>46064</v>
      </c>
      <c r="AE824" s="22">
        <v>631947.55518824398</v>
      </c>
      <c r="AF824" s="23">
        <v>468360.78593333351</v>
      </c>
      <c r="AG824" s="24">
        <v>568987.28593333357</v>
      </c>
      <c r="AH824" s="15">
        <v>0.5</v>
      </c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</row>
    <row r="825" spans="1:68" ht="15" customHeight="1" x14ac:dyDescent="0.25">
      <c r="A825" s="1">
        <f t="shared" si="51"/>
        <v>409</v>
      </c>
      <c r="B825" s="1" t="str">
        <f t="shared" si="48"/>
        <v xml:space="preserve">Sacramento </v>
      </c>
      <c r="C825" s="1">
        <f t="shared" si="49"/>
        <v>0</v>
      </c>
      <c r="D825" s="2" t="str">
        <f t="shared" si="50"/>
        <v>2026-02</v>
      </c>
      <c r="E825" s="28" t="s">
        <v>1193</v>
      </c>
      <c r="F825" s="29" t="s">
        <v>814</v>
      </c>
      <c r="G825" s="5">
        <v>46064</v>
      </c>
      <c r="H825" s="6">
        <v>109</v>
      </c>
      <c r="I825" s="6">
        <v>-109</v>
      </c>
      <c r="J825" s="30">
        <v>133</v>
      </c>
      <c r="K825" s="8">
        <v>0.11483253588516756</v>
      </c>
      <c r="L825" s="9">
        <v>4.9284350165307966E-2</v>
      </c>
      <c r="M825" s="10">
        <v>108.99999999999999</v>
      </c>
      <c r="N825" s="11">
        <v>2.33</v>
      </c>
      <c r="O825" s="12">
        <v>24536.206897147204</v>
      </c>
      <c r="P825" s="13" t="s">
        <v>506</v>
      </c>
      <c r="Q825" s="13" t="s">
        <v>76</v>
      </c>
      <c r="R825" s="14" t="s">
        <v>762</v>
      </c>
      <c r="S825" s="13">
        <v>626</v>
      </c>
      <c r="T825" s="13">
        <v>438.2</v>
      </c>
      <c r="U825" s="13">
        <v>438.2</v>
      </c>
      <c r="V825" s="6" t="s">
        <v>82</v>
      </c>
      <c r="W825" s="15"/>
      <c r="X825" s="15"/>
      <c r="Y825" s="16"/>
      <c r="Z825" s="17"/>
      <c r="AA825" s="16"/>
      <c r="AB825" s="24">
        <v>-438.2</v>
      </c>
      <c r="AC825" s="20">
        <v>50.319617224880425</v>
      </c>
      <c r="AD825" s="21">
        <v>46064</v>
      </c>
      <c r="AE825" s="22">
        <v>631997.87480546883</v>
      </c>
      <c r="AF825" s="23">
        <v>467922.5859333335</v>
      </c>
      <c r="AG825" s="24">
        <v>568360.78593333357</v>
      </c>
      <c r="AH825" s="15">
        <v>0.5</v>
      </c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</row>
    <row r="826" spans="1:68" ht="15" customHeight="1" x14ac:dyDescent="0.25">
      <c r="A826" s="1">
        <f t="shared" si="51"/>
        <v>410</v>
      </c>
      <c r="B826" s="1" t="str">
        <f t="shared" si="48"/>
        <v xml:space="preserve">South </v>
      </c>
      <c r="C826" s="1">
        <f t="shared" si="49"/>
        <v>1</v>
      </c>
      <c r="D826" s="2" t="str">
        <f t="shared" si="50"/>
        <v>2026-02</v>
      </c>
      <c r="E826" s="28" t="s">
        <v>1194</v>
      </c>
      <c r="F826" s="29" t="s">
        <v>814</v>
      </c>
      <c r="G826" s="102">
        <v>46064</v>
      </c>
      <c r="H826" s="6">
        <v>-106</v>
      </c>
      <c r="I826" s="6">
        <v>106</v>
      </c>
      <c r="J826" s="30">
        <v>118</v>
      </c>
      <c r="K826" s="8">
        <v>0.12174757281553353</v>
      </c>
      <c r="L826" s="9">
        <v>5.5847510465841077E-2</v>
      </c>
      <c r="M826" s="10">
        <v>-105.99999999999999</v>
      </c>
      <c r="N826" s="11">
        <v>2.1799999999999997</v>
      </c>
      <c r="O826" s="12">
        <v>29346.202918397139</v>
      </c>
      <c r="P826" s="13" t="s">
        <v>506</v>
      </c>
      <c r="Q826" s="13" t="s">
        <v>92</v>
      </c>
      <c r="R826" s="14" t="s">
        <v>937</v>
      </c>
      <c r="S826" s="13">
        <v>550</v>
      </c>
      <c r="T826" s="13">
        <v>385</v>
      </c>
      <c r="U826" s="104">
        <v>385</v>
      </c>
      <c r="V826" s="6" t="s">
        <v>77</v>
      </c>
      <c r="W826" s="15"/>
      <c r="X826" s="15"/>
      <c r="Y826" s="16"/>
      <c r="Z826" s="17"/>
      <c r="AA826" s="16"/>
      <c r="AB826" s="24">
        <v>454.3</v>
      </c>
      <c r="AC826" s="20">
        <v>46.872815533980408</v>
      </c>
      <c r="AD826" s="21">
        <v>46064</v>
      </c>
      <c r="AE826" s="22">
        <v>630181.6245606757</v>
      </c>
      <c r="AF826" s="23">
        <v>469311.95593333355</v>
      </c>
      <c r="AG826" s="24">
        <v>568857.65593333344</v>
      </c>
      <c r="AH826" s="15">
        <v>0.5</v>
      </c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</row>
    <row r="827" spans="1:68" ht="15" customHeight="1" x14ac:dyDescent="0.25">
      <c r="A827" s="1">
        <f t="shared" si="51"/>
        <v>411</v>
      </c>
      <c r="B827" s="1" t="str">
        <f t="shared" si="48"/>
        <v xml:space="preserve">Texas </v>
      </c>
      <c r="C827" s="1">
        <f t="shared" si="49"/>
        <v>0</v>
      </c>
      <c r="D827" s="2" t="str">
        <f t="shared" si="50"/>
        <v>2026-02</v>
      </c>
      <c r="E827" s="28" t="s">
        <v>1195</v>
      </c>
      <c r="F827" s="29" t="s">
        <v>814</v>
      </c>
      <c r="G827" s="102">
        <v>46064</v>
      </c>
      <c r="H827" s="6">
        <v>-110</v>
      </c>
      <c r="I827" s="6">
        <v>110</v>
      </c>
      <c r="J827" s="30">
        <v>112</v>
      </c>
      <c r="K827" s="8">
        <v>0.11047619047619064</v>
      </c>
      <c r="L827" s="9">
        <v>5.2111410601976715E-2</v>
      </c>
      <c r="M827" s="10">
        <v>-110.00000000000001</v>
      </c>
      <c r="N827" s="11">
        <v>2.12</v>
      </c>
      <c r="O827" s="12">
        <v>28078.310751814104</v>
      </c>
      <c r="P827" s="13" t="s">
        <v>506</v>
      </c>
      <c r="Q827" s="13" t="s">
        <v>76</v>
      </c>
      <c r="R827" s="14" t="s">
        <v>701</v>
      </c>
      <c r="S827" s="13">
        <v>1339</v>
      </c>
      <c r="T827" s="13">
        <v>937.3</v>
      </c>
      <c r="U827" s="104">
        <v>937.3</v>
      </c>
      <c r="V827" s="6" t="s">
        <v>77</v>
      </c>
      <c r="W827" s="15"/>
      <c r="X827" s="15"/>
      <c r="Y827" s="16"/>
      <c r="Z827" s="17"/>
      <c r="AA827" s="16"/>
      <c r="AB827" s="24">
        <v>1049.78</v>
      </c>
      <c r="AC827" s="20">
        <v>103.54933333333348</v>
      </c>
      <c r="AD827" s="21">
        <v>46064</v>
      </c>
      <c r="AE827" s="22">
        <v>630285.17389400909</v>
      </c>
      <c r="AF827" s="23">
        <v>470361.73593333358</v>
      </c>
      <c r="AG827" s="24">
        <v>569311.95593333349</v>
      </c>
      <c r="AH827" s="15">
        <v>0.5</v>
      </c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</row>
    <row r="828" spans="1:68" ht="15" customHeight="1" x14ac:dyDescent="0.25">
      <c r="A828" s="1">
        <f t="shared" si="51"/>
        <v>412</v>
      </c>
      <c r="B828" s="1" t="str">
        <f t="shared" si="48"/>
        <v xml:space="preserve">Western </v>
      </c>
      <c r="C828" s="1">
        <f t="shared" si="49"/>
        <v>0</v>
      </c>
      <c r="D828" s="2" t="str">
        <f t="shared" si="50"/>
        <v>2026-02</v>
      </c>
      <c r="E828" s="3" t="s">
        <v>1070</v>
      </c>
      <c r="F828" s="4" t="s">
        <v>814</v>
      </c>
      <c r="G828" s="5">
        <v>46064</v>
      </c>
      <c r="H828" s="4">
        <v>447</v>
      </c>
      <c r="I828" s="4">
        <v>-447</v>
      </c>
      <c r="J828" s="7">
        <v>650</v>
      </c>
      <c r="K828" s="8">
        <v>0.37111517367458868</v>
      </c>
      <c r="L828" s="9">
        <v>4.9482023156611821E-2</v>
      </c>
      <c r="M828" s="10">
        <v>447</v>
      </c>
      <c r="N828" s="11">
        <v>7.5</v>
      </c>
      <c r="O828" s="12">
        <v>16159.344566793236</v>
      </c>
      <c r="P828" s="13" t="s">
        <v>506</v>
      </c>
      <c r="Q828" s="13" t="s">
        <v>81</v>
      </c>
      <c r="R828" s="14" t="s">
        <v>663</v>
      </c>
      <c r="S828" s="13">
        <v>180</v>
      </c>
      <c r="T828" s="13">
        <v>125.99999999999999</v>
      </c>
      <c r="U828" s="13">
        <v>125.99999999999999</v>
      </c>
      <c r="V828" s="120" t="s">
        <v>82</v>
      </c>
      <c r="W828" s="15"/>
      <c r="X828" s="15"/>
      <c r="Y828" s="16"/>
      <c r="Z828" s="17"/>
      <c r="AA828" s="16"/>
      <c r="AB828" s="24">
        <v>-125.99999999999999</v>
      </c>
      <c r="AC828" s="20">
        <v>46.760511882998166</v>
      </c>
      <c r="AD828" s="21">
        <v>46064</v>
      </c>
      <c r="AE828" s="22">
        <v>628976.05976445496</v>
      </c>
      <c r="AF828" s="23">
        <v>465928.67593333352</v>
      </c>
      <c r="AG828" s="24">
        <v>566054.67593333346</v>
      </c>
      <c r="AH828" s="15">
        <v>0.5</v>
      </c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</row>
    <row r="829" spans="1:68" ht="15" customHeight="1" x14ac:dyDescent="0.25">
      <c r="A829" s="1">
        <f t="shared" si="51"/>
        <v>413</v>
      </c>
      <c r="B829" s="1" t="str">
        <f t="shared" si="48"/>
        <v xml:space="preserve">Alabama </v>
      </c>
      <c r="C829" s="1">
        <f t="shared" si="49"/>
        <v>0</v>
      </c>
      <c r="D829" s="2" t="str">
        <f t="shared" si="50"/>
        <v>2026-02</v>
      </c>
      <c r="E829" s="28" t="s">
        <v>1196</v>
      </c>
      <c r="F829" s="29" t="s">
        <v>1197</v>
      </c>
      <c r="G829" s="102">
        <v>46071</v>
      </c>
      <c r="H829" s="6">
        <v>-116</v>
      </c>
      <c r="I829" s="6">
        <v>-105</v>
      </c>
      <c r="J829" s="30">
        <v>106</v>
      </c>
      <c r="K829" s="8">
        <v>5.4386569091691712E-2</v>
      </c>
      <c r="L829" s="9">
        <v>2.6401247131889183E-2</v>
      </c>
      <c r="M829" s="10">
        <v>-104.85008818342151</v>
      </c>
      <c r="N829" s="11">
        <v>2.06</v>
      </c>
      <c r="O829" s="12">
        <v>14679.381017311967</v>
      </c>
      <c r="P829" s="13" t="s">
        <v>506</v>
      </c>
      <c r="Q829" s="13" t="s">
        <v>76</v>
      </c>
      <c r="R829" s="14" t="s">
        <v>927</v>
      </c>
      <c r="S829" s="13">
        <v>3083</v>
      </c>
      <c r="T829" s="13">
        <v>2158.1</v>
      </c>
      <c r="U829" s="104">
        <v>2158.1</v>
      </c>
      <c r="V829" s="6" t="s">
        <v>82</v>
      </c>
      <c r="W829" s="15"/>
      <c r="X829" s="15"/>
      <c r="Y829" s="16"/>
      <c r="Z829" s="17"/>
      <c r="AA829" s="16"/>
      <c r="AB829" s="24">
        <v>-2158.1</v>
      </c>
      <c r="AC829" s="20">
        <v>117.37165475677988</v>
      </c>
      <c r="AD829" s="21">
        <v>46071</v>
      </c>
      <c r="AE829" s="22">
        <v>632387.72323425021</v>
      </c>
      <c r="AF829" s="23">
        <v>470047.28593333351</v>
      </c>
      <c r="AG829" s="24">
        <v>572205.38593333366</v>
      </c>
      <c r="AH829" s="15">
        <v>0.5</v>
      </c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</row>
    <row r="830" spans="1:68" ht="15" customHeight="1" x14ac:dyDescent="0.25">
      <c r="A830" s="1">
        <f t="shared" si="51"/>
        <v>413</v>
      </c>
      <c r="B830" s="1" t="str">
        <f t="shared" si="48"/>
        <v xml:space="preserve">Alabama </v>
      </c>
      <c r="C830" s="1">
        <f t="shared" si="49"/>
        <v>0</v>
      </c>
      <c r="D830" s="2" t="str">
        <f t="shared" si="50"/>
        <v>2026-02</v>
      </c>
      <c r="E830" s="3" t="s">
        <v>1198</v>
      </c>
      <c r="F830" s="4" t="s">
        <v>1197</v>
      </c>
      <c r="G830" s="39">
        <v>46071</v>
      </c>
      <c r="H830" s="40">
        <v>132</v>
      </c>
      <c r="I830" s="40">
        <v>-132</v>
      </c>
      <c r="J830" s="7">
        <v>155</v>
      </c>
      <c r="K830" s="8">
        <v>9.9137931034482554E-2</v>
      </c>
      <c r="L830" s="9">
        <v>3.8877620013522574E-2</v>
      </c>
      <c r="M830" s="10">
        <v>132.00000000000003</v>
      </c>
      <c r="N830" s="11">
        <v>2.5499999999999998</v>
      </c>
      <c r="O830" s="12">
        <v>17983.956029569872</v>
      </c>
      <c r="P830" s="13" t="s">
        <v>506</v>
      </c>
      <c r="Q830" s="13" t="s">
        <v>81</v>
      </c>
      <c r="R830" s="14" t="s">
        <v>927</v>
      </c>
      <c r="S830" s="13">
        <v>2258</v>
      </c>
      <c r="T830" s="13">
        <v>1580.6</v>
      </c>
      <c r="U830" s="32">
        <v>1580.6</v>
      </c>
      <c r="V830" s="6" t="s">
        <v>77</v>
      </c>
      <c r="W830" s="15"/>
      <c r="X830" s="15"/>
      <c r="Y830" s="16"/>
      <c r="Z830" s="17"/>
      <c r="AA830" s="16"/>
      <c r="AB830" s="24">
        <v>2449.9299999999998</v>
      </c>
      <c r="AC830" s="20">
        <v>156.69741379310312</v>
      </c>
      <c r="AD830" s="21">
        <v>46071</v>
      </c>
      <c r="AE830" s="22">
        <v>633942.09648012498</v>
      </c>
      <c r="AF830" s="23">
        <v>464800.41593333345</v>
      </c>
      <c r="AG830" s="24">
        <v>562350.48593333375</v>
      </c>
      <c r="AH830" s="15">
        <v>0.5</v>
      </c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</row>
    <row r="831" spans="1:68" ht="15" customHeight="1" x14ac:dyDescent="0.25">
      <c r="A831" s="1">
        <f t="shared" si="51"/>
        <v>414</v>
      </c>
      <c r="B831" s="1" t="str">
        <f t="shared" si="48"/>
        <v xml:space="preserve">Auburn </v>
      </c>
      <c r="C831" s="1">
        <f t="shared" si="49"/>
        <v>0</v>
      </c>
      <c r="D831" s="2" t="str">
        <f t="shared" si="50"/>
        <v>2026-02</v>
      </c>
      <c r="E831" s="3" t="s">
        <v>1199</v>
      </c>
      <c r="F831" s="4" t="s">
        <v>1197</v>
      </c>
      <c r="G831" s="5">
        <v>46071</v>
      </c>
      <c r="H831" s="40">
        <v>312</v>
      </c>
      <c r="I831" s="40">
        <v>-312</v>
      </c>
      <c r="J831" s="7">
        <v>340</v>
      </c>
      <c r="K831" s="8">
        <v>6.7961165048543742E-2</v>
      </c>
      <c r="L831" s="9">
        <v>1.5445719329214486E-2</v>
      </c>
      <c r="M831" s="10">
        <v>312</v>
      </c>
      <c r="N831" s="11">
        <v>4.4000000000000004</v>
      </c>
      <c r="O831" s="12">
        <v>5635.2010444507987</v>
      </c>
      <c r="P831" s="13" t="s">
        <v>506</v>
      </c>
      <c r="Q831" s="13" t="s">
        <v>81</v>
      </c>
      <c r="R831" s="14" t="s">
        <v>1042</v>
      </c>
      <c r="S831" s="13">
        <v>1029</v>
      </c>
      <c r="T831" s="13">
        <v>720.3</v>
      </c>
      <c r="U831" s="32">
        <v>720.3</v>
      </c>
      <c r="V831" s="6" t="s">
        <v>82</v>
      </c>
      <c r="W831" s="15"/>
      <c r="X831" s="15"/>
      <c r="Y831" s="16"/>
      <c r="Z831" s="17"/>
      <c r="AA831" s="16"/>
      <c r="AB831" s="24">
        <v>-720.3</v>
      </c>
      <c r="AC831" s="20">
        <v>48.952427184466053</v>
      </c>
      <c r="AD831" s="21">
        <v>46071</v>
      </c>
      <c r="AE831" s="22">
        <v>634124.25187208899</v>
      </c>
      <c r="AF831" s="23">
        <v>463121.81593333348</v>
      </c>
      <c r="AG831" s="24">
        <v>563842.11593333387</v>
      </c>
      <c r="AH831" s="15">
        <v>0.5</v>
      </c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</row>
    <row r="832" spans="1:68" ht="15" customHeight="1" x14ac:dyDescent="0.25">
      <c r="A832" s="1">
        <f t="shared" si="51"/>
        <v>414</v>
      </c>
      <c r="B832" s="1" t="str">
        <f t="shared" si="48"/>
        <v xml:space="preserve">Auburn </v>
      </c>
      <c r="C832" s="1">
        <f t="shared" si="49"/>
        <v>0</v>
      </c>
      <c r="D832" s="2" t="str">
        <f t="shared" si="50"/>
        <v>2026-02</v>
      </c>
      <c r="E832" s="3" t="s">
        <v>1199</v>
      </c>
      <c r="F832" s="4" t="s">
        <v>1197</v>
      </c>
      <c r="G832" s="5">
        <v>46071</v>
      </c>
      <c r="H832" s="40">
        <v>-187</v>
      </c>
      <c r="I832" s="40">
        <v>187</v>
      </c>
      <c r="J832" s="7">
        <v>-186</v>
      </c>
      <c r="K832" s="8">
        <v>1.8732906223073397E-3</v>
      </c>
      <c r="L832" s="9">
        <v>1.2182939012208571E-3</v>
      </c>
      <c r="M832" s="10">
        <v>-187.00000000000006</v>
      </c>
      <c r="N832" s="11">
        <v>1.5376344086021505</v>
      </c>
      <c r="O832" s="12">
        <v>985.72706608605017</v>
      </c>
      <c r="P832" s="13" t="s">
        <v>506</v>
      </c>
      <c r="Q832" s="13" t="s">
        <v>81</v>
      </c>
      <c r="R832" s="14" t="s">
        <v>1042</v>
      </c>
      <c r="S832" s="13">
        <v>6510</v>
      </c>
      <c r="T832" s="13">
        <v>4557</v>
      </c>
      <c r="U832" s="32">
        <v>4557</v>
      </c>
      <c r="V832" s="31" t="s">
        <v>82</v>
      </c>
      <c r="W832" s="15"/>
      <c r="X832" s="15"/>
      <c r="Y832" s="16"/>
      <c r="Z832" s="17"/>
      <c r="AA832" s="16"/>
      <c r="AB832" s="24">
        <v>-4557</v>
      </c>
      <c r="AC832" s="20">
        <v>8.5365853658545472</v>
      </c>
      <c r="AD832" s="21">
        <v>46071</v>
      </c>
      <c r="AE832" s="22">
        <v>635222.95646841393</v>
      </c>
      <c r="AF832" s="23">
        <v>461250.3359333335</v>
      </c>
      <c r="AG832" s="24">
        <v>565807.33593333384</v>
      </c>
      <c r="AH832" s="15">
        <v>0.5</v>
      </c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</row>
    <row r="833" spans="1:68" ht="15" customHeight="1" x14ac:dyDescent="0.25">
      <c r="A833" s="1">
        <f t="shared" si="51"/>
        <v>415</v>
      </c>
      <c r="B833" s="1" t="str">
        <f t="shared" si="48"/>
        <v xml:space="preserve">Boise </v>
      </c>
      <c r="C833" s="1">
        <f t="shared" si="49"/>
        <v>0</v>
      </c>
      <c r="D833" s="2" t="str">
        <f t="shared" si="50"/>
        <v>2026-02</v>
      </c>
      <c r="E833" s="3" t="s">
        <v>1200</v>
      </c>
      <c r="F833" s="4" t="s">
        <v>1197</v>
      </c>
      <c r="G833" s="5">
        <v>46071</v>
      </c>
      <c r="H833" s="40">
        <v>-105</v>
      </c>
      <c r="I833" s="40">
        <v>105</v>
      </c>
      <c r="J833" s="7">
        <v>123</v>
      </c>
      <c r="K833" s="8">
        <v>0.1421951219512195</v>
      </c>
      <c r="L833" s="9">
        <v>6.3764628677676904E-2</v>
      </c>
      <c r="M833" s="10">
        <v>-105</v>
      </c>
      <c r="N833" s="11">
        <v>2.23</v>
      </c>
      <c r="O833" s="12">
        <v>32337.016721111799</v>
      </c>
      <c r="P833" s="13" t="s">
        <v>506</v>
      </c>
      <c r="Q833" s="13" t="s">
        <v>76</v>
      </c>
      <c r="R833" s="14" t="s">
        <v>1201</v>
      </c>
      <c r="S833" s="13">
        <v>888</v>
      </c>
      <c r="T833" s="13">
        <v>621.59999999999991</v>
      </c>
      <c r="U833" s="32">
        <v>621.59999999999991</v>
      </c>
      <c r="V833" s="31" t="s">
        <v>82</v>
      </c>
      <c r="W833" s="15"/>
      <c r="X833" s="15"/>
      <c r="Y833" s="16"/>
      <c r="Z833" s="17"/>
      <c r="AA833" s="16"/>
      <c r="AB833" s="24">
        <v>-621.59999999999991</v>
      </c>
      <c r="AC833" s="20">
        <v>88.388487804878025</v>
      </c>
      <c r="AD833" s="21">
        <v>46071</v>
      </c>
      <c r="AE833" s="22">
        <v>635498.7477731203</v>
      </c>
      <c r="AF833" s="23">
        <v>458814.3359333335</v>
      </c>
      <c r="AG833" s="24">
        <v>559435.93593333382</v>
      </c>
      <c r="AH833" s="15">
        <v>0.5</v>
      </c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</row>
    <row r="834" spans="1:68" ht="15" customHeight="1" x14ac:dyDescent="0.25">
      <c r="A834" s="1">
        <f t="shared" si="51"/>
        <v>415</v>
      </c>
      <c r="B834" s="1" t="str">
        <f t="shared" ref="B834:B897" si="52">LEFT(E834, FIND(" ", E834))</f>
        <v xml:space="preserve">Boise </v>
      </c>
      <c r="C834" s="1">
        <f t="shared" ref="C834:C897" si="53">IF(Q834="total", 1, 0)</f>
        <v>0</v>
      </c>
      <c r="D834" s="2" t="str">
        <f t="shared" ref="D834:D897" si="54">YEAR(G834)&amp;"-"&amp;IF(MONTH(G834)&lt;10, "0", "")&amp;MONTH(G834)</f>
        <v>2026-02</v>
      </c>
      <c r="E834" s="3" t="s">
        <v>1202</v>
      </c>
      <c r="F834" s="4" t="s">
        <v>1197</v>
      </c>
      <c r="G834" s="5">
        <v>46071</v>
      </c>
      <c r="H834" s="40">
        <v>-150</v>
      </c>
      <c r="I834" s="40">
        <v>150</v>
      </c>
      <c r="J834" s="7">
        <v>-120</v>
      </c>
      <c r="K834" s="8">
        <v>0.10000000000000024</v>
      </c>
      <c r="L834" s="9">
        <v>5.4545454545454675E-2</v>
      </c>
      <c r="M834" s="10">
        <v>-150.00000000000006</v>
      </c>
      <c r="N834" s="11">
        <v>1.8333333333333335</v>
      </c>
      <c r="O834" s="12">
        <v>33528.860156000104</v>
      </c>
      <c r="P834" s="13" t="s">
        <v>506</v>
      </c>
      <c r="Q834" s="13" t="s">
        <v>76</v>
      </c>
      <c r="R834" s="14" t="s">
        <v>1201</v>
      </c>
      <c r="S834" s="13">
        <v>1300</v>
      </c>
      <c r="T834" s="13">
        <v>909.99999999999989</v>
      </c>
      <c r="U834" s="32">
        <v>909.99999999999989</v>
      </c>
      <c r="V834" s="31" t="s">
        <v>82</v>
      </c>
      <c r="W834" s="15"/>
      <c r="X834" s="15"/>
      <c r="Y834" s="16"/>
      <c r="Z834" s="17"/>
      <c r="AA834" s="16"/>
      <c r="AB834" s="24">
        <v>-909.99999999999989</v>
      </c>
      <c r="AC834" s="20">
        <v>91.000000000000213</v>
      </c>
      <c r="AD834" s="21">
        <v>46071</v>
      </c>
      <c r="AE834" s="22">
        <v>635589.7477731203</v>
      </c>
      <c r="AF834" s="23">
        <v>457904.3359333335</v>
      </c>
      <c r="AG834" s="24">
        <v>558814.33593333384</v>
      </c>
      <c r="AH834" s="15">
        <v>0.5</v>
      </c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</row>
    <row r="835" spans="1:68" ht="15" customHeight="1" x14ac:dyDescent="0.25">
      <c r="A835" s="1">
        <f t="shared" si="51"/>
        <v>416</v>
      </c>
      <c r="B835" s="1" t="str">
        <f t="shared" si="52"/>
        <v xml:space="preserve">Butler </v>
      </c>
      <c r="C835" s="1">
        <f t="shared" si="53"/>
        <v>0</v>
      </c>
      <c r="D835" s="2" t="str">
        <f t="shared" si="54"/>
        <v>2026-02</v>
      </c>
      <c r="E835" s="3" t="s">
        <v>1203</v>
      </c>
      <c r="F835" s="4" t="s">
        <v>1197</v>
      </c>
      <c r="G835" s="39">
        <v>46071</v>
      </c>
      <c r="H835" s="40">
        <v>-112</v>
      </c>
      <c r="I835" s="40">
        <v>112</v>
      </c>
      <c r="J835" s="7">
        <v>108</v>
      </c>
      <c r="K835" s="8">
        <v>9.8867924528301968E-2</v>
      </c>
      <c r="L835" s="9">
        <v>4.7532656023222097E-2</v>
      </c>
      <c r="M835" s="10">
        <v>-112</v>
      </c>
      <c r="N835" s="11">
        <v>2.08</v>
      </c>
      <c r="O835" s="12">
        <v>25995.538657325917</v>
      </c>
      <c r="P835" s="13" t="s">
        <v>506</v>
      </c>
      <c r="Q835" s="13" t="s">
        <v>76</v>
      </c>
      <c r="R835" s="14" t="s">
        <v>671</v>
      </c>
      <c r="S835" s="13">
        <v>3271</v>
      </c>
      <c r="T835" s="13">
        <v>2289.6999999999998</v>
      </c>
      <c r="U835" s="32">
        <v>2289.6999999999998</v>
      </c>
      <c r="V835" s="31" t="s">
        <v>82</v>
      </c>
      <c r="W835" s="15"/>
      <c r="X835" s="15"/>
      <c r="Y835" s="16"/>
      <c r="Z835" s="17"/>
      <c r="AA835" s="16"/>
      <c r="AB835" s="24">
        <v>-2289.6999999999998</v>
      </c>
      <c r="AC835" s="20">
        <v>226.37788679245298</v>
      </c>
      <c r="AD835" s="21">
        <v>46071</v>
      </c>
      <c r="AE835" s="22">
        <v>632859.59758063313</v>
      </c>
      <c r="AF835" s="23">
        <v>465643.36593333347</v>
      </c>
      <c r="AG835" s="24">
        <v>567933.06593333371</v>
      </c>
      <c r="AH835" s="15">
        <v>0.5</v>
      </c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</row>
    <row r="836" spans="1:68" ht="15" customHeight="1" x14ac:dyDescent="0.25">
      <c r="A836" s="1">
        <f t="shared" ref="A836:A899" si="55">IF(AND(B836=B835, C836=C835, G836=G835), A835, A835+1)</f>
        <v>416</v>
      </c>
      <c r="B836" s="1" t="str">
        <f t="shared" si="52"/>
        <v xml:space="preserve">Butler </v>
      </c>
      <c r="C836" s="1">
        <f t="shared" si="53"/>
        <v>0</v>
      </c>
      <c r="D836" s="2" t="str">
        <f t="shared" si="54"/>
        <v>2026-02</v>
      </c>
      <c r="E836" s="3" t="s">
        <v>1204</v>
      </c>
      <c r="F836" s="4" t="s">
        <v>1197</v>
      </c>
      <c r="G836" s="39">
        <v>46071</v>
      </c>
      <c r="H836" s="40">
        <v>-135</v>
      </c>
      <c r="I836" s="40">
        <v>135</v>
      </c>
      <c r="J836" s="7">
        <v>-114</v>
      </c>
      <c r="K836" s="8">
        <v>7.8387458006719132E-2</v>
      </c>
      <c r="L836" s="9">
        <v>4.1757804732551307E-2</v>
      </c>
      <c r="M836" s="10">
        <v>-135.00000000000003</v>
      </c>
      <c r="N836" s="11">
        <v>1.8771929824561404</v>
      </c>
      <c r="O836" s="12">
        <v>25273.426988510721</v>
      </c>
      <c r="P836" s="13" t="s">
        <v>506</v>
      </c>
      <c r="Q836" s="32" t="s">
        <v>76</v>
      </c>
      <c r="R836" s="33" t="s">
        <v>671</v>
      </c>
      <c r="S836" s="32">
        <v>4025</v>
      </c>
      <c r="T836" s="32">
        <v>2817.5</v>
      </c>
      <c r="U836" s="32">
        <v>2817.5</v>
      </c>
      <c r="V836" s="74" t="s">
        <v>82</v>
      </c>
      <c r="W836" s="15"/>
      <c r="X836" s="15"/>
      <c r="Y836" s="16"/>
      <c r="Z836" s="17"/>
      <c r="AA836" s="16"/>
      <c r="AB836" s="24">
        <v>-2817.5</v>
      </c>
      <c r="AC836" s="20">
        <v>220.85666293393115</v>
      </c>
      <c r="AD836" s="21">
        <v>46071</v>
      </c>
      <c r="AE836" s="22">
        <v>633080.45424356707</v>
      </c>
      <c r="AF836" s="23">
        <v>462825.86593333347</v>
      </c>
      <c r="AG836" s="24">
        <v>565643.36593333376</v>
      </c>
      <c r="AH836" s="15">
        <v>0.5</v>
      </c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</row>
    <row r="837" spans="1:68" ht="15" customHeight="1" x14ac:dyDescent="0.25">
      <c r="A837" s="1">
        <f t="shared" si="55"/>
        <v>417</v>
      </c>
      <c r="B837" s="1" t="str">
        <f t="shared" si="52"/>
        <v xml:space="preserve">BYU </v>
      </c>
      <c r="C837" s="1">
        <f t="shared" si="53"/>
        <v>0</v>
      </c>
      <c r="D837" s="2" t="str">
        <f t="shared" si="54"/>
        <v>2026-02</v>
      </c>
      <c r="E837" s="3" t="s">
        <v>1205</v>
      </c>
      <c r="F837" s="4" t="s">
        <v>1197</v>
      </c>
      <c r="G837" s="5">
        <v>46071</v>
      </c>
      <c r="H837" s="40">
        <v>606</v>
      </c>
      <c r="I837" s="40">
        <v>-606</v>
      </c>
      <c r="J837" s="7">
        <v>750</v>
      </c>
      <c r="K837" s="8">
        <v>0.20396600566572243</v>
      </c>
      <c r="L837" s="9">
        <v>2.3996000666555578E-2</v>
      </c>
      <c r="M837" s="10">
        <v>606</v>
      </c>
      <c r="N837" s="11">
        <v>8.5</v>
      </c>
      <c r="O837" s="12">
        <v>7671.4105282719629</v>
      </c>
      <c r="P837" s="13" t="s">
        <v>506</v>
      </c>
      <c r="Q837" s="13" t="s">
        <v>81</v>
      </c>
      <c r="R837" s="14" t="s">
        <v>1065</v>
      </c>
      <c r="S837" s="13">
        <v>466</v>
      </c>
      <c r="T837" s="13">
        <v>326.2</v>
      </c>
      <c r="U837" s="32">
        <v>326.2</v>
      </c>
      <c r="V837" s="31" t="s">
        <v>82</v>
      </c>
      <c r="W837" s="15"/>
      <c r="X837" s="15"/>
      <c r="Y837" s="16"/>
      <c r="Z837" s="17"/>
      <c r="AA837" s="16"/>
      <c r="AB837" s="24">
        <v>-326.2</v>
      </c>
      <c r="AC837" s="20">
        <v>66.533711048158651</v>
      </c>
      <c r="AD837" s="21">
        <v>46071</v>
      </c>
      <c r="AE837" s="22">
        <v>634075.29944490455</v>
      </c>
      <c r="AF837" s="23">
        <v>463842.11593333347</v>
      </c>
      <c r="AG837" s="24">
        <v>564168.31593333383</v>
      </c>
      <c r="AH837" s="15">
        <v>0.5</v>
      </c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</row>
    <row r="838" spans="1:68" ht="15" customHeight="1" x14ac:dyDescent="0.25">
      <c r="A838" s="1">
        <f t="shared" si="55"/>
        <v>418</v>
      </c>
      <c r="B838" s="1" t="str">
        <f t="shared" si="52"/>
        <v xml:space="preserve">Clemson </v>
      </c>
      <c r="C838" s="1">
        <f t="shared" si="53"/>
        <v>1</v>
      </c>
      <c r="D838" s="2" t="str">
        <f t="shared" si="54"/>
        <v>2026-02</v>
      </c>
      <c r="E838" s="28" t="s">
        <v>1206</v>
      </c>
      <c r="F838" s="29" t="s">
        <v>1197</v>
      </c>
      <c r="G838" s="102">
        <v>46071</v>
      </c>
      <c r="H838" s="6">
        <v>125</v>
      </c>
      <c r="I838" s="6">
        <v>-125</v>
      </c>
      <c r="J838" s="30">
        <v>116</v>
      </c>
      <c r="K838" s="8">
        <v>-3.9999999999999945E-2</v>
      </c>
      <c r="L838" s="9">
        <v>-1.851851851851849E-2</v>
      </c>
      <c r="M838" s="10">
        <v>125.00000000000001</v>
      </c>
      <c r="N838" s="11">
        <v>2.16</v>
      </c>
      <c r="O838" s="12">
        <v>-9801.3307919540148</v>
      </c>
      <c r="P838" s="13" t="s">
        <v>506</v>
      </c>
      <c r="Q838" s="13" t="s">
        <v>92</v>
      </c>
      <c r="R838" s="14" t="s">
        <v>1207</v>
      </c>
      <c r="S838" s="13">
        <v>1854</v>
      </c>
      <c r="T838" s="13">
        <v>1297.8</v>
      </c>
      <c r="U838" s="104">
        <v>1297.8</v>
      </c>
      <c r="V838" s="6" t="s">
        <v>82</v>
      </c>
      <c r="W838" s="15"/>
      <c r="X838" s="15"/>
      <c r="Y838" s="16"/>
      <c r="Z838" s="17"/>
      <c r="AA838" s="16"/>
      <c r="AB838" s="24">
        <v>-1297.8</v>
      </c>
      <c r="AC838" s="20">
        <v>-51.911999999999928</v>
      </c>
      <c r="AD838" s="21">
        <v>46071</v>
      </c>
      <c r="AE838" s="22">
        <v>632564.62751963164</v>
      </c>
      <c r="AF838" s="23">
        <v>467179.38593333348</v>
      </c>
      <c r="AG838" s="24">
        <v>568477.18593333371</v>
      </c>
      <c r="AH838" s="15">
        <v>0.5</v>
      </c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</row>
    <row r="839" spans="1:68" ht="15" customHeight="1" x14ac:dyDescent="0.25">
      <c r="A839" s="1">
        <f t="shared" si="55"/>
        <v>419</v>
      </c>
      <c r="B839" s="1" t="str">
        <f t="shared" si="52"/>
        <v xml:space="preserve">Creighton </v>
      </c>
      <c r="C839" s="1">
        <f t="shared" si="53"/>
        <v>0</v>
      </c>
      <c r="D839" s="2" t="str">
        <f t="shared" si="54"/>
        <v>2026-02</v>
      </c>
      <c r="E839" s="28" t="s">
        <v>1208</v>
      </c>
      <c r="F839" s="29" t="s">
        <v>1197</v>
      </c>
      <c r="G839" s="102">
        <v>46071</v>
      </c>
      <c r="H839" s="6">
        <v>105</v>
      </c>
      <c r="I839" s="6">
        <v>-105</v>
      </c>
      <c r="J839" s="30">
        <v>133</v>
      </c>
      <c r="K839" s="8">
        <v>0.1365853658536586</v>
      </c>
      <c r="L839" s="9">
        <v>5.8620328692557344E-2</v>
      </c>
      <c r="M839" s="10">
        <v>104.99999999999997</v>
      </c>
      <c r="N839" s="11">
        <v>2.33</v>
      </c>
      <c r="O839" s="12">
        <v>29289.940227642306</v>
      </c>
      <c r="P839" s="13" t="s">
        <v>506</v>
      </c>
      <c r="Q839" s="13" t="s">
        <v>76</v>
      </c>
      <c r="R839" s="14" t="s">
        <v>1050</v>
      </c>
      <c r="S839" s="13">
        <v>1916</v>
      </c>
      <c r="T839" s="13">
        <v>1341.1999999999998</v>
      </c>
      <c r="U839" s="104">
        <v>1341.1999999999998</v>
      </c>
      <c r="V839" s="6" t="s">
        <v>77</v>
      </c>
      <c r="W839" s="15"/>
      <c r="X839" s="15"/>
      <c r="Y839" s="16"/>
      <c r="Z839" s="17"/>
      <c r="AA839" s="16"/>
      <c r="AB839" s="24">
        <v>1783.8</v>
      </c>
      <c r="AC839" s="20">
        <v>183.18829268292689</v>
      </c>
      <c r="AD839" s="21">
        <v>46071</v>
      </c>
      <c r="AE839" s="22">
        <v>632270.35157949338</v>
      </c>
      <c r="AF839" s="23">
        <v>472205.38593333348</v>
      </c>
      <c r="AG839" s="24">
        <v>570421.58593333361</v>
      </c>
      <c r="AH839" s="15">
        <v>0.5</v>
      </c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</row>
    <row r="840" spans="1:68" ht="15" customHeight="1" x14ac:dyDescent="0.25">
      <c r="A840" s="1">
        <f t="shared" si="55"/>
        <v>420</v>
      </c>
      <c r="B840" s="1" t="str">
        <f t="shared" si="52"/>
        <v xml:space="preserve">Duquesne </v>
      </c>
      <c r="C840" s="1">
        <f t="shared" si="53"/>
        <v>0</v>
      </c>
      <c r="D840" s="2" t="str">
        <f t="shared" si="54"/>
        <v>2026-02</v>
      </c>
      <c r="E840" s="3" t="s">
        <v>1209</v>
      </c>
      <c r="F840" s="4" t="s">
        <v>1197</v>
      </c>
      <c r="G840" s="39">
        <v>46071</v>
      </c>
      <c r="H840" s="40">
        <v>125</v>
      </c>
      <c r="I840" s="40">
        <v>-125</v>
      </c>
      <c r="J840" s="7">
        <v>116</v>
      </c>
      <c r="K840" s="8">
        <v>-3.9999999999999945E-2</v>
      </c>
      <c r="L840" s="9">
        <v>-1.851851851851849E-2</v>
      </c>
      <c r="M840" s="10">
        <v>125.00000000000001</v>
      </c>
      <c r="N840" s="11">
        <v>2.16</v>
      </c>
      <c r="O840" s="12">
        <v>-9800.7114816091871</v>
      </c>
      <c r="P840" s="13" t="s">
        <v>506</v>
      </c>
      <c r="Q840" s="13" t="s">
        <v>76</v>
      </c>
      <c r="R840" s="14" t="s">
        <v>1210</v>
      </c>
      <c r="S840" s="13">
        <v>926</v>
      </c>
      <c r="T840" s="13">
        <v>648.19999999999993</v>
      </c>
      <c r="U840" s="32">
        <v>648.19999999999993</v>
      </c>
      <c r="V840" s="6" t="s">
        <v>82</v>
      </c>
      <c r="W840" s="15"/>
      <c r="X840" s="15"/>
      <c r="Y840" s="16"/>
      <c r="Z840" s="17"/>
      <c r="AA840" s="16"/>
      <c r="AB840" s="24">
        <v>-648.19999999999993</v>
      </c>
      <c r="AC840" s="20">
        <v>-25.927999999999962</v>
      </c>
      <c r="AD840" s="21">
        <v>46071</v>
      </c>
      <c r="AE840" s="22">
        <v>632622.08333020436</v>
      </c>
      <c r="AF840" s="23">
        <v>467793.06593333348</v>
      </c>
      <c r="AG840" s="24">
        <v>568441.26593333366</v>
      </c>
      <c r="AH840" s="15">
        <v>0.5</v>
      </c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</row>
    <row r="841" spans="1:68" ht="15" customHeight="1" x14ac:dyDescent="0.25">
      <c r="A841" s="1">
        <f t="shared" si="55"/>
        <v>421</v>
      </c>
      <c r="B841" s="1" t="str">
        <f t="shared" si="52"/>
        <v xml:space="preserve">James </v>
      </c>
      <c r="C841" s="1">
        <f t="shared" si="53"/>
        <v>0</v>
      </c>
      <c r="D841" s="2" t="str">
        <f t="shared" si="54"/>
        <v>2026-02</v>
      </c>
      <c r="E841" s="3" t="s">
        <v>1211</v>
      </c>
      <c r="F841" s="4" t="s">
        <v>1197</v>
      </c>
      <c r="G841" s="39">
        <v>46071</v>
      </c>
      <c r="H841" s="40">
        <v>-127</v>
      </c>
      <c r="I841" s="40">
        <v>127</v>
      </c>
      <c r="J841" s="7">
        <v>-112</v>
      </c>
      <c r="K841" s="8">
        <v>5.8999370673379528E-2</v>
      </c>
      <c r="L841" s="9">
        <v>3.1169478846313714E-2</v>
      </c>
      <c r="M841" s="10">
        <v>-127.00000000000001</v>
      </c>
      <c r="N841" s="11">
        <v>1.8928571428571428</v>
      </c>
      <c r="O841" s="12">
        <v>18739.407024229102</v>
      </c>
      <c r="P841" s="13" t="s">
        <v>506</v>
      </c>
      <c r="Q841" s="13" t="s">
        <v>81</v>
      </c>
      <c r="R841" s="14" t="s">
        <v>586</v>
      </c>
      <c r="S841" s="13">
        <v>2019</v>
      </c>
      <c r="T841" s="13">
        <v>1413.3</v>
      </c>
      <c r="U841" s="32">
        <v>1413.3</v>
      </c>
      <c r="V841" s="6" t="s">
        <v>77</v>
      </c>
      <c r="W841" s="15"/>
      <c r="X841" s="15"/>
      <c r="Y841" s="16"/>
      <c r="Z841" s="17"/>
      <c r="AA841" s="16"/>
      <c r="AB841" s="24">
        <v>1261.8800000000001</v>
      </c>
      <c r="AC841" s="20">
        <v>83.383810572687281</v>
      </c>
      <c r="AD841" s="21">
        <v>46071</v>
      </c>
      <c r="AE841" s="22">
        <v>632648.01133020432</v>
      </c>
      <c r="AF841" s="23">
        <v>468441.26593333349</v>
      </c>
      <c r="AG841" s="24">
        <v>567179.38593333366</v>
      </c>
      <c r="AH841" s="15">
        <v>0.5</v>
      </c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</row>
    <row r="842" spans="1:68" ht="15" customHeight="1" x14ac:dyDescent="0.25">
      <c r="A842" s="1">
        <f t="shared" si="55"/>
        <v>422</v>
      </c>
      <c r="B842" s="1" t="str">
        <f t="shared" si="52"/>
        <v xml:space="preserve">La </v>
      </c>
      <c r="C842" s="1">
        <f t="shared" si="53"/>
        <v>1</v>
      </c>
      <c r="D842" s="2" t="str">
        <f t="shared" si="54"/>
        <v>2026-02</v>
      </c>
      <c r="E842" s="28" t="s">
        <v>1212</v>
      </c>
      <c r="F842" s="29" t="s">
        <v>1197</v>
      </c>
      <c r="G842" s="102">
        <v>46071</v>
      </c>
      <c r="H842" s="6">
        <v>-102</v>
      </c>
      <c r="I842" s="6">
        <v>102</v>
      </c>
      <c r="J842" s="30">
        <v>118</v>
      </c>
      <c r="K842" s="8">
        <v>0.1007920792079206</v>
      </c>
      <c r="L842" s="9">
        <v>4.6234898719229645E-2</v>
      </c>
      <c r="M842" s="10">
        <v>-102</v>
      </c>
      <c r="N842" s="11">
        <v>2.1799999999999997</v>
      </c>
      <c r="O842" s="12">
        <v>24345.86915086981</v>
      </c>
      <c r="P842" s="13" t="s">
        <v>506</v>
      </c>
      <c r="Q842" s="13" t="s">
        <v>92</v>
      </c>
      <c r="R842" s="14" t="s">
        <v>1213</v>
      </c>
      <c r="S842" s="13">
        <v>911</v>
      </c>
      <c r="T842" s="13">
        <v>637.69999999999993</v>
      </c>
      <c r="U842" s="104">
        <v>637.69999999999993</v>
      </c>
      <c r="V842" s="6" t="s">
        <v>82</v>
      </c>
      <c r="W842" s="15"/>
      <c r="X842" s="15"/>
      <c r="Y842" s="16"/>
      <c r="Z842" s="17"/>
      <c r="AA842" s="16"/>
      <c r="AB842" s="24">
        <v>-637.69999999999993</v>
      </c>
      <c r="AC842" s="20">
        <v>64.275108910890964</v>
      </c>
      <c r="AD842" s="21">
        <v>46071</v>
      </c>
      <c r="AE842" s="22">
        <v>632451.99834316107</v>
      </c>
      <c r="AF842" s="23">
        <v>469409.5859333335</v>
      </c>
      <c r="AG842" s="24">
        <v>570047.28593333368</v>
      </c>
      <c r="AH842" s="15">
        <v>0.5</v>
      </c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</row>
    <row r="843" spans="1:68" ht="15" customHeight="1" x14ac:dyDescent="0.25">
      <c r="A843" s="1">
        <f t="shared" si="55"/>
        <v>423</v>
      </c>
      <c r="B843" s="1" t="str">
        <f t="shared" si="52"/>
        <v xml:space="preserve">Marquette </v>
      </c>
      <c r="C843" s="1">
        <f t="shared" si="53"/>
        <v>0</v>
      </c>
      <c r="D843" s="2" t="str">
        <f t="shared" si="54"/>
        <v>2026-02</v>
      </c>
      <c r="E843" s="3" t="s">
        <v>1214</v>
      </c>
      <c r="F843" s="4" t="s">
        <v>1197</v>
      </c>
      <c r="G843" s="5">
        <v>46071</v>
      </c>
      <c r="H843" s="40">
        <v>-120</v>
      </c>
      <c r="I843" s="40">
        <v>120</v>
      </c>
      <c r="J843" s="7">
        <v>120</v>
      </c>
      <c r="K843" s="8">
        <v>0.19999999999999996</v>
      </c>
      <c r="L843" s="9">
        <v>9.0909090909090884E-2</v>
      </c>
      <c r="M843" s="10">
        <v>-119.99999999999997</v>
      </c>
      <c r="N843" s="11">
        <v>2.2000000000000002</v>
      </c>
      <c r="O843" s="12">
        <v>47203.286327777801</v>
      </c>
      <c r="P843" s="13" t="s">
        <v>506</v>
      </c>
      <c r="Q843" s="13" t="s">
        <v>76</v>
      </c>
      <c r="R843" s="14" t="s">
        <v>1215</v>
      </c>
      <c r="S843" s="13">
        <v>903</v>
      </c>
      <c r="T843" s="13">
        <v>632.09999999999991</v>
      </c>
      <c r="U843" s="32">
        <v>632.09999999999991</v>
      </c>
      <c r="V843" s="6" t="s">
        <v>82</v>
      </c>
      <c r="W843" s="15"/>
      <c r="X843" s="15"/>
      <c r="Y843" s="16"/>
      <c r="Z843" s="17"/>
      <c r="AA843" s="16"/>
      <c r="AB843" s="24">
        <v>-632.09999999999991</v>
      </c>
      <c r="AC843" s="20">
        <v>126.41999999999996</v>
      </c>
      <c r="AD843" s="21">
        <v>46071</v>
      </c>
      <c r="AE843" s="22">
        <v>635214.41988304805</v>
      </c>
      <c r="AF843" s="23">
        <v>465807.3359333335</v>
      </c>
      <c r="AG843" s="24">
        <v>566439.43593333382</v>
      </c>
      <c r="AH843" s="15">
        <v>0.5</v>
      </c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</row>
    <row r="844" spans="1:68" ht="15" customHeight="1" x14ac:dyDescent="0.25">
      <c r="A844" s="1">
        <f t="shared" si="55"/>
        <v>424</v>
      </c>
      <c r="B844" s="1" t="str">
        <f t="shared" si="52"/>
        <v xml:space="preserve">Missouri </v>
      </c>
      <c r="C844" s="1">
        <f t="shared" si="53"/>
        <v>0</v>
      </c>
      <c r="D844" s="2" t="str">
        <f t="shared" si="54"/>
        <v>2026-02</v>
      </c>
      <c r="E844" s="3" t="s">
        <v>1216</v>
      </c>
      <c r="F844" s="4" t="s">
        <v>1197</v>
      </c>
      <c r="G844" s="5">
        <v>46071</v>
      </c>
      <c r="H844" s="40">
        <v>-104</v>
      </c>
      <c r="I844" s="40">
        <v>104</v>
      </c>
      <c r="J844" s="7">
        <v>114</v>
      </c>
      <c r="K844" s="8">
        <v>9.0980392156862544E-2</v>
      </c>
      <c r="L844" s="9">
        <v>4.251420194245914E-2</v>
      </c>
      <c r="M844" s="10">
        <v>-103.99999999999999</v>
      </c>
      <c r="N844" s="11">
        <v>2.1399999999999997</v>
      </c>
      <c r="O844" s="12">
        <v>22441.443635454623</v>
      </c>
      <c r="P844" s="13" t="s">
        <v>506</v>
      </c>
      <c r="Q844" s="13" t="s">
        <v>76</v>
      </c>
      <c r="R844" s="14" t="s">
        <v>1217</v>
      </c>
      <c r="S844" s="13">
        <v>951</v>
      </c>
      <c r="T844" s="13">
        <v>665.69999999999993</v>
      </c>
      <c r="U844" s="32">
        <v>665.69999999999993</v>
      </c>
      <c r="V844" s="6" t="s">
        <v>82</v>
      </c>
      <c r="W844" s="15"/>
      <c r="X844" s="15"/>
      <c r="Y844" s="16"/>
      <c r="Z844" s="17"/>
      <c r="AA844" s="16"/>
      <c r="AB844" s="24">
        <v>-665.69999999999993</v>
      </c>
      <c r="AC844" s="20">
        <v>60.565647058823387</v>
      </c>
      <c r="AD844" s="21">
        <v>46071</v>
      </c>
      <c r="AE844" s="22">
        <v>634184.81751914776</v>
      </c>
      <c r="AF844" s="23">
        <v>461724.61593333347</v>
      </c>
      <c r="AG844" s="24">
        <v>562390.31593333383</v>
      </c>
      <c r="AH844" s="15">
        <v>0.5</v>
      </c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</row>
    <row r="845" spans="1:68" ht="15" customHeight="1" x14ac:dyDescent="0.25">
      <c r="A845" s="1">
        <f t="shared" si="55"/>
        <v>424</v>
      </c>
      <c r="B845" s="1" t="str">
        <f t="shared" si="52"/>
        <v xml:space="preserve">Missouri </v>
      </c>
      <c r="C845" s="1">
        <f t="shared" si="53"/>
        <v>0</v>
      </c>
      <c r="D845" s="2" t="str">
        <f t="shared" si="54"/>
        <v>2026-02</v>
      </c>
      <c r="E845" s="3" t="s">
        <v>1218</v>
      </c>
      <c r="F845" s="4" t="s">
        <v>1197</v>
      </c>
      <c r="G845" s="5">
        <v>46071</v>
      </c>
      <c r="H845" s="40">
        <v>113</v>
      </c>
      <c r="I845" s="40">
        <v>-113</v>
      </c>
      <c r="J845" s="7">
        <v>135</v>
      </c>
      <c r="K845" s="8">
        <v>0.10328638497652583</v>
      </c>
      <c r="L845" s="9">
        <v>4.395165318150035E-2</v>
      </c>
      <c r="M845" s="10">
        <v>113</v>
      </c>
      <c r="N845" s="11">
        <v>2.35</v>
      </c>
      <c r="O845" s="12">
        <v>21470.191950153614</v>
      </c>
      <c r="P845" s="13" t="s">
        <v>506</v>
      </c>
      <c r="Q845" s="13" t="s">
        <v>76</v>
      </c>
      <c r="R845" s="14" t="s">
        <v>553</v>
      </c>
      <c r="S845" s="13">
        <v>2592</v>
      </c>
      <c r="T845" s="13">
        <v>1814.3999999999999</v>
      </c>
      <c r="U845" s="32">
        <v>1814.3999999999999</v>
      </c>
      <c r="V845" s="6" t="s">
        <v>82</v>
      </c>
      <c r="W845" s="15"/>
      <c r="X845" s="15"/>
      <c r="Y845" s="16"/>
      <c r="Z845" s="17"/>
      <c r="AA845" s="16"/>
      <c r="AB845" s="24">
        <v>-1814.3999999999999</v>
      </c>
      <c r="AC845" s="20">
        <v>187.40281690140844</v>
      </c>
      <c r="AD845" s="21">
        <v>46071</v>
      </c>
      <c r="AE845" s="22">
        <v>635410.35928531538</v>
      </c>
      <c r="AF845" s="23">
        <v>459435.93593333347</v>
      </c>
      <c r="AG845" s="24">
        <v>561250.33593333384</v>
      </c>
      <c r="AH845" s="15">
        <v>0.5</v>
      </c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</row>
    <row r="846" spans="1:68" ht="15" customHeight="1" x14ac:dyDescent="0.25">
      <c r="A846" s="1">
        <f t="shared" si="55"/>
        <v>425</v>
      </c>
      <c r="B846" s="1" t="str">
        <f t="shared" si="52"/>
        <v xml:space="preserve">ND </v>
      </c>
      <c r="C846" s="1">
        <f t="shared" si="53"/>
        <v>0</v>
      </c>
      <c r="D846" s="2" t="str">
        <f t="shared" si="54"/>
        <v>2026-02</v>
      </c>
      <c r="E846" s="3" t="s">
        <v>1219</v>
      </c>
      <c r="F846" s="4" t="s">
        <v>1197</v>
      </c>
      <c r="G846" s="5">
        <v>46071</v>
      </c>
      <c r="H846" s="40">
        <v>102</v>
      </c>
      <c r="I846" s="40">
        <v>-102</v>
      </c>
      <c r="J846" s="7">
        <v>102</v>
      </c>
      <c r="K846" s="8">
        <v>0</v>
      </c>
      <c r="L846" s="9">
        <v>0</v>
      </c>
      <c r="M846" s="10">
        <v>102</v>
      </c>
      <c r="N846" s="11">
        <v>2.02</v>
      </c>
      <c r="O846" s="12">
        <v>0</v>
      </c>
      <c r="P846" s="13" t="s">
        <v>506</v>
      </c>
      <c r="Q846" s="13"/>
      <c r="R846" s="14"/>
      <c r="S846" s="13">
        <v>1045</v>
      </c>
      <c r="T846" s="13">
        <v>731.5</v>
      </c>
      <c r="U846" s="32">
        <v>731.5</v>
      </c>
      <c r="V846" s="6" t="s">
        <v>82</v>
      </c>
      <c r="W846" s="15"/>
      <c r="X846" s="15"/>
      <c r="Y846" s="16"/>
      <c r="Z846" s="17"/>
      <c r="AA846" s="16"/>
      <c r="AB846" s="24">
        <v>-731.5</v>
      </c>
      <c r="AC846" s="20">
        <v>0</v>
      </c>
      <c r="AD846" s="21">
        <v>46071</v>
      </c>
      <c r="AE846" s="22">
        <v>634124.25187208899</v>
      </c>
      <c r="AF846" s="23">
        <v>462390.31593333348</v>
      </c>
      <c r="AG846" s="24">
        <v>563121.81593333383</v>
      </c>
      <c r="AH846" s="15">
        <v>0.5</v>
      </c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</row>
    <row r="847" spans="1:68" ht="15" customHeight="1" x14ac:dyDescent="0.25">
      <c r="A847" s="1">
        <f t="shared" si="55"/>
        <v>426</v>
      </c>
      <c r="B847" s="1" t="str">
        <f t="shared" si="52"/>
        <v xml:space="preserve">Oklahoma </v>
      </c>
      <c r="C847" s="1">
        <f t="shared" si="53"/>
        <v>0</v>
      </c>
      <c r="D847" s="2" t="str">
        <f t="shared" si="54"/>
        <v>2026-02</v>
      </c>
      <c r="E847" s="3" t="s">
        <v>1220</v>
      </c>
      <c r="F847" s="4" t="s">
        <v>1197</v>
      </c>
      <c r="G847" s="5">
        <v>46071</v>
      </c>
      <c r="H847" s="40">
        <v>101</v>
      </c>
      <c r="I847" s="40">
        <v>-101</v>
      </c>
      <c r="J847" s="7">
        <v>118</v>
      </c>
      <c r="K847" s="8">
        <v>8.4577114427860645E-2</v>
      </c>
      <c r="L847" s="9">
        <v>3.879684148067003E-2</v>
      </c>
      <c r="M847" s="10">
        <v>100.99999999999997</v>
      </c>
      <c r="N847" s="11">
        <v>2.1799999999999997</v>
      </c>
      <c r="O847" s="12">
        <v>20272.95320192822</v>
      </c>
      <c r="P847" s="13" t="s">
        <v>506</v>
      </c>
      <c r="Q847" s="13" t="s">
        <v>76</v>
      </c>
      <c r="R847" s="14" t="s">
        <v>619</v>
      </c>
      <c r="S847" s="13">
        <v>911</v>
      </c>
      <c r="T847" s="13">
        <v>637.69999999999993</v>
      </c>
      <c r="U847" s="32">
        <v>637.69999999999993</v>
      </c>
      <c r="V847" s="6" t="s">
        <v>77</v>
      </c>
      <c r="W847" s="15"/>
      <c r="X847" s="15"/>
      <c r="Y847" s="16"/>
      <c r="Z847" s="17"/>
      <c r="AA847" s="16"/>
      <c r="AB847" s="24">
        <v>752.49</v>
      </c>
      <c r="AC847" s="20">
        <v>53.934825870646726</v>
      </c>
      <c r="AD847" s="21">
        <v>46071</v>
      </c>
      <c r="AE847" s="22">
        <v>635087.999883048</v>
      </c>
      <c r="AF847" s="23">
        <v>466439.43593333347</v>
      </c>
      <c r="AG847" s="24">
        <v>565686.94593333383</v>
      </c>
      <c r="AH847" s="15">
        <v>0.5</v>
      </c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</row>
    <row r="848" spans="1:68" ht="15" customHeight="1" x14ac:dyDescent="0.25">
      <c r="A848" s="1">
        <f t="shared" si="55"/>
        <v>427</v>
      </c>
      <c r="B848" s="1" t="str">
        <f t="shared" si="52"/>
        <v xml:space="preserve">Oklahoma </v>
      </c>
      <c r="C848" s="1">
        <f t="shared" si="53"/>
        <v>1</v>
      </c>
      <c r="D848" s="2" t="str">
        <f t="shared" si="54"/>
        <v>2026-02</v>
      </c>
      <c r="E848" s="3" t="s">
        <v>1221</v>
      </c>
      <c r="F848" s="4" t="s">
        <v>1197</v>
      </c>
      <c r="G848" s="39">
        <v>46071</v>
      </c>
      <c r="H848" s="40">
        <v>-103</v>
      </c>
      <c r="I848" s="40">
        <v>103</v>
      </c>
      <c r="J848" s="7">
        <v>132</v>
      </c>
      <c r="K848" s="8">
        <v>0.17714285714285732</v>
      </c>
      <c r="L848" s="9">
        <v>7.6354679802955738E-2</v>
      </c>
      <c r="M848" s="10">
        <v>-103.00000000000001</v>
      </c>
      <c r="N848" s="11">
        <v>2.3200000000000003</v>
      </c>
      <c r="O848" s="12">
        <v>37765.371956565716</v>
      </c>
      <c r="P848" s="13" t="s">
        <v>506</v>
      </c>
      <c r="Q848" s="13" t="s">
        <v>92</v>
      </c>
      <c r="R848" s="14" t="s">
        <v>1222</v>
      </c>
      <c r="S848" s="13">
        <v>1640</v>
      </c>
      <c r="T848" s="13">
        <v>1148</v>
      </c>
      <c r="U848" s="32">
        <v>1148</v>
      </c>
      <c r="V848" s="6" t="s">
        <v>82</v>
      </c>
      <c r="W848" s="15"/>
      <c r="X848" s="15"/>
      <c r="Y848" s="16"/>
      <c r="Z848" s="17"/>
      <c r="AA848" s="16"/>
      <c r="AB848" s="24">
        <v>-1148</v>
      </c>
      <c r="AC848" s="20">
        <v>203.36000000000021</v>
      </c>
      <c r="AD848" s="21">
        <v>46071</v>
      </c>
      <c r="AE848" s="22">
        <v>633283.81424356706</v>
      </c>
      <c r="AF848" s="23">
        <v>461677.86593333347</v>
      </c>
      <c r="AG848" s="24">
        <v>562825.86593333376</v>
      </c>
      <c r="AH848" s="15">
        <v>0.5</v>
      </c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</row>
    <row r="849" spans="1:68" ht="15" customHeight="1" x14ac:dyDescent="0.25">
      <c r="A849" s="1">
        <f t="shared" si="55"/>
        <v>428</v>
      </c>
      <c r="B849" s="1" t="str">
        <f t="shared" si="52"/>
        <v xml:space="preserve">Ole </v>
      </c>
      <c r="C849" s="1">
        <f t="shared" si="53"/>
        <v>1</v>
      </c>
      <c r="D849" s="2" t="str">
        <f t="shared" si="54"/>
        <v>2026-02</v>
      </c>
      <c r="E849" s="28" t="s">
        <v>1223</v>
      </c>
      <c r="F849" s="29" t="s">
        <v>1197</v>
      </c>
      <c r="G849" s="102">
        <v>46071</v>
      </c>
      <c r="H849" s="6">
        <v>121</v>
      </c>
      <c r="I849" s="6">
        <v>-121</v>
      </c>
      <c r="J849" s="30">
        <v>160</v>
      </c>
      <c r="K849" s="8">
        <v>0.17647058823529424</v>
      </c>
      <c r="L849" s="9">
        <v>6.7873303167420851E-2</v>
      </c>
      <c r="M849" s="10">
        <v>121</v>
      </c>
      <c r="N849" s="11">
        <v>2.6</v>
      </c>
      <c r="O849" s="12">
        <v>31401.263930147099</v>
      </c>
      <c r="P849" s="13" t="s">
        <v>506</v>
      </c>
      <c r="Q849" s="13" t="s">
        <v>92</v>
      </c>
      <c r="R849" s="14" t="s">
        <v>987</v>
      </c>
      <c r="S849" s="13">
        <v>1332</v>
      </c>
      <c r="T849" s="13">
        <v>932.4</v>
      </c>
      <c r="U849" s="104">
        <v>932.4</v>
      </c>
      <c r="V849" s="6" t="s">
        <v>82</v>
      </c>
      <c r="W849" s="15"/>
      <c r="X849" s="15"/>
      <c r="Y849" s="16"/>
      <c r="Z849" s="17"/>
      <c r="AA849" s="16"/>
      <c r="AB849" s="24">
        <v>-932.4</v>
      </c>
      <c r="AC849" s="20">
        <v>164.54117647058834</v>
      </c>
      <c r="AD849" s="21">
        <v>46071</v>
      </c>
      <c r="AE849" s="22">
        <v>632616.53951963165</v>
      </c>
      <c r="AF849" s="23">
        <v>468477.18593333347</v>
      </c>
      <c r="AG849" s="24">
        <v>569409.58593333373</v>
      </c>
      <c r="AH849" s="15">
        <v>0.5</v>
      </c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</row>
    <row r="850" spans="1:68" ht="15" customHeight="1" x14ac:dyDescent="0.25">
      <c r="A850" s="1">
        <f t="shared" si="55"/>
        <v>429</v>
      </c>
      <c r="B850" s="1" t="str">
        <f t="shared" si="52"/>
        <v xml:space="preserve">San </v>
      </c>
      <c r="C850" s="1">
        <f t="shared" si="53"/>
        <v>0</v>
      </c>
      <c r="D850" s="2" t="str">
        <f t="shared" si="54"/>
        <v>2026-02</v>
      </c>
      <c r="E850" s="3" t="s">
        <v>1224</v>
      </c>
      <c r="F850" s="4" t="s">
        <v>1197</v>
      </c>
      <c r="G850" s="39">
        <v>46071</v>
      </c>
      <c r="H850" s="40">
        <v>-139</v>
      </c>
      <c r="I850" s="40">
        <v>139</v>
      </c>
      <c r="J850" s="7">
        <v>-112</v>
      </c>
      <c r="K850" s="8">
        <v>0.10086670651524213</v>
      </c>
      <c r="L850" s="9">
        <v>5.3288071366543011E-2</v>
      </c>
      <c r="M850" s="10">
        <v>-139.00000000000003</v>
      </c>
      <c r="N850" s="11">
        <v>1.8928571428571428</v>
      </c>
      <c r="O850" s="12">
        <v>31513.42483305444</v>
      </c>
      <c r="P850" s="13" t="s">
        <v>506</v>
      </c>
      <c r="Q850" s="13" t="s">
        <v>76</v>
      </c>
      <c r="R850" s="14" t="s">
        <v>1225</v>
      </c>
      <c r="S850" s="13">
        <v>1211</v>
      </c>
      <c r="T850" s="13">
        <v>847.69999999999993</v>
      </c>
      <c r="U850" s="32">
        <v>847.69999999999993</v>
      </c>
      <c r="V850" s="6" t="s">
        <v>82</v>
      </c>
      <c r="W850" s="15"/>
      <c r="X850" s="15"/>
      <c r="Y850" s="16"/>
      <c r="Z850" s="17"/>
      <c r="AA850" s="16"/>
      <c r="AB850" s="24">
        <v>-847.69999999999993</v>
      </c>
      <c r="AC850" s="20">
        <v>85.504707112970749</v>
      </c>
      <c r="AD850" s="21">
        <v>46071</v>
      </c>
      <c r="AE850" s="22">
        <v>635675.25248023332</v>
      </c>
      <c r="AF850" s="23">
        <v>457056.63593333348</v>
      </c>
      <c r="AG850" s="24">
        <v>557904.33593333384</v>
      </c>
      <c r="AH850" s="15">
        <v>0.5</v>
      </c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</row>
    <row r="851" spans="1:68" ht="15" customHeight="1" x14ac:dyDescent="0.25">
      <c r="A851" s="1">
        <f t="shared" si="55"/>
        <v>430</v>
      </c>
      <c r="B851" s="1" t="str">
        <f t="shared" si="52"/>
        <v xml:space="preserve">St. </v>
      </c>
      <c r="C851" s="1">
        <f t="shared" si="53"/>
        <v>0</v>
      </c>
      <c r="D851" s="2" t="str">
        <f t="shared" si="54"/>
        <v>2026-02</v>
      </c>
      <c r="E851" s="3" t="s">
        <v>1226</v>
      </c>
      <c r="F851" s="4" t="s">
        <v>1197</v>
      </c>
      <c r="G851" s="5">
        <v>46071</v>
      </c>
      <c r="H851" s="40">
        <v>102</v>
      </c>
      <c r="I851" s="40">
        <v>-102</v>
      </c>
      <c r="J851" s="7">
        <v>118</v>
      </c>
      <c r="K851" s="8">
        <v>7.9207920792079015E-2</v>
      </c>
      <c r="L851" s="9">
        <v>3.6333908620219735E-2</v>
      </c>
      <c r="M851" s="10">
        <v>102</v>
      </c>
      <c r="N851" s="11">
        <v>2.1799999999999997</v>
      </c>
      <c r="O851" s="12">
        <v>18918.765428203813</v>
      </c>
      <c r="P851" s="13" t="s">
        <v>506</v>
      </c>
      <c r="Q851" s="13" t="s">
        <v>76</v>
      </c>
      <c r="R851" s="14" t="s">
        <v>657</v>
      </c>
      <c r="S851" s="13">
        <v>919</v>
      </c>
      <c r="T851" s="13">
        <v>643.29999999999995</v>
      </c>
      <c r="U851" s="32">
        <v>643.29999999999995</v>
      </c>
      <c r="V851" s="6" t="s">
        <v>77</v>
      </c>
      <c r="W851" s="15"/>
      <c r="X851" s="15"/>
      <c r="Y851" s="16"/>
      <c r="Z851" s="17"/>
      <c r="AA851" s="16"/>
      <c r="AB851" s="24">
        <v>759.09</v>
      </c>
      <c r="AC851" s="20">
        <v>50.954455445544426</v>
      </c>
      <c r="AD851" s="21">
        <v>46071</v>
      </c>
      <c r="AE851" s="22">
        <v>634947.51845084247</v>
      </c>
      <c r="AF851" s="23">
        <v>464443.70593333349</v>
      </c>
      <c r="AG851" s="24">
        <v>563684.61593333387</v>
      </c>
      <c r="AH851" s="15">
        <v>0.5</v>
      </c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</row>
    <row r="852" spans="1:68" ht="15" customHeight="1" x14ac:dyDescent="0.25">
      <c r="A852" s="1">
        <f t="shared" si="55"/>
        <v>430</v>
      </c>
      <c r="B852" s="1" t="str">
        <f t="shared" si="52"/>
        <v xml:space="preserve">St. </v>
      </c>
      <c r="C852" s="1">
        <f t="shared" si="53"/>
        <v>0</v>
      </c>
      <c r="D852" s="2" t="str">
        <f t="shared" si="54"/>
        <v>2026-02</v>
      </c>
      <c r="E852" s="3" t="s">
        <v>1227</v>
      </c>
      <c r="F852" s="4" t="s">
        <v>1197</v>
      </c>
      <c r="G852" s="5">
        <v>46071</v>
      </c>
      <c r="H852" s="40">
        <v>121</v>
      </c>
      <c r="I852" s="40">
        <v>-121</v>
      </c>
      <c r="J852" s="7">
        <v>143</v>
      </c>
      <c r="K852" s="8">
        <v>9.9547511312217007E-2</v>
      </c>
      <c r="L852" s="9">
        <v>4.0966054037949395E-2</v>
      </c>
      <c r="M852" s="10">
        <v>121</v>
      </c>
      <c r="N852" s="11">
        <v>2.4299999999999997</v>
      </c>
      <c r="O852" s="12">
        <v>19646.491678849041</v>
      </c>
      <c r="P852" s="13" t="s">
        <v>506</v>
      </c>
      <c r="Q852" s="13" t="s">
        <v>81</v>
      </c>
      <c r="R852" s="14" t="s">
        <v>657</v>
      </c>
      <c r="S852" s="13">
        <v>1242</v>
      </c>
      <c r="T852" s="13">
        <v>869.4</v>
      </c>
      <c r="U852" s="32">
        <v>869.4</v>
      </c>
      <c r="V852" s="6" t="s">
        <v>77</v>
      </c>
      <c r="W852" s="15"/>
      <c r="X852" s="15"/>
      <c r="Y852" s="16"/>
      <c r="Z852" s="17"/>
      <c r="AA852" s="16"/>
      <c r="AB852" s="24">
        <v>1243.24</v>
      </c>
      <c r="AC852" s="20">
        <v>86.546606334841471</v>
      </c>
      <c r="AD852" s="21">
        <v>46071</v>
      </c>
      <c r="AE852" s="22">
        <v>635034.06505717733</v>
      </c>
      <c r="AF852" s="23">
        <v>465686.94593333348</v>
      </c>
      <c r="AG852" s="24">
        <v>564443.70593333384</v>
      </c>
      <c r="AH852" s="15">
        <v>0.5</v>
      </c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</row>
    <row r="853" spans="1:68" ht="15" customHeight="1" x14ac:dyDescent="0.25">
      <c r="A853" s="1">
        <f t="shared" si="55"/>
        <v>431</v>
      </c>
      <c r="B853" s="1" t="str">
        <f t="shared" si="52"/>
        <v xml:space="preserve">Tennessee </v>
      </c>
      <c r="C853" s="1">
        <f t="shared" si="53"/>
        <v>0</v>
      </c>
      <c r="D853" s="2" t="str">
        <f t="shared" si="54"/>
        <v>2026-02</v>
      </c>
      <c r="E853" s="3" t="s">
        <v>1228</v>
      </c>
      <c r="F853" s="4" t="s">
        <v>1197</v>
      </c>
      <c r="G853" s="39">
        <v>46071</v>
      </c>
      <c r="H853" s="40">
        <v>150</v>
      </c>
      <c r="I853" s="40">
        <v>-150</v>
      </c>
      <c r="J853" s="7">
        <v>133</v>
      </c>
      <c r="K853" s="8">
        <v>-6.7999999999999977E-2</v>
      </c>
      <c r="L853" s="9">
        <v>-2.9184549356223166E-2</v>
      </c>
      <c r="M853" s="10">
        <v>150</v>
      </c>
      <c r="N853" s="11">
        <v>2.33</v>
      </c>
      <c r="O853" s="12">
        <v>-14377.55918927319</v>
      </c>
      <c r="P853" s="13" t="s">
        <v>506</v>
      </c>
      <c r="Q853" s="13" t="s">
        <v>76</v>
      </c>
      <c r="R853" s="14" t="s">
        <v>629</v>
      </c>
      <c r="S853" s="13">
        <v>1750</v>
      </c>
      <c r="T853" s="13">
        <v>1225</v>
      </c>
      <c r="U853" s="32">
        <v>1225</v>
      </c>
      <c r="V853" s="6" t="s">
        <v>77</v>
      </c>
      <c r="W853" s="15"/>
      <c r="X853" s="15"/>
      <c r="Y853" s="16"/>
      <c r="Z853" s="17"/>
      <c r="AA853" s="16"/>
      <c r="AB853" s="24">
        <v>1629.25</v>
      </c>
      <c r="AC853" s="20">
        <v>-83.299999999999969</v>
      </c>
      <c r="AD853" s="21">
        <v>46071</v>
      </c>
      <c r="AE853" s="22">
        <v>633399.70830340974</v>
      </c>
      <c r="AF853" s="23">
        <v>464045.53593333345</v>
      </c>
      <c r="AG853" s="24">
        <v>562416.2859333338</v>
      </c>
      <c r="AH853" s="15">
        <v>0.5</v>
      </c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</row>
    <row r="854" spans="1:68" ht="15" customHeight="1" x14ac:dyDescent="0.25">
      <c r="A854" s="1">
        <f t="shared" si="55"/>
        <v>431</v>
      </c>
      <c r="B854" s="1" t="str">
        <f t="shared" si="52"/>
        <v xml:space="preserve">Tennessee </v>
      </c>
      <c r="C854" s="1">
        <f t="shared" si="53"/>
        <v>0</v>
      </c>
      <c r="D854" s="2" t="str">
        <f t="shared" si="54"/>
        <v>2026-02</v>
      </c>
      <c r="E854" s="3" t="s">
        <v>1229</v>
      </c>
      <c r="F854" s="4" t="s">
        <v>1197</v>
      </c>
      <c r="G854" s="39">
        <v>46071</v>
      </c>
      <c r="H854" s="40">
        <v>103</v>
      </c>
      <c r="I854" s="40">
        <v>-103</v>
      </c>
      <c r="J854" s="7">
        <v>125</v>
      </c>
      <c r="K854" s="8">
        <v>0.10837438423645315</v>
      </c>
      <c r="L854" s="9">
        <v>4.8166392993979179E-2</v>
      </c>
      <c r="M854" s="10">
        <v>103.00000000000001</v>
      </c>
      <c r="N854" s="11">
        <v>2.25</v>
      </c>
      <c r="O854" s="12">
        <v>24451.235055238103</v>
      </c>
      <c r="P854" s="13" t="s">
        <v>506</v>
      </c>
      <c r="Q854" s="13" t="s">
        <v>76</v>
      </c>
      <c r="R854" s="14" t="s">
        <v>629</v>
      </c>
      <c r="S854" s="13">
        <v>2258</v>
      </c>
      <c r="T854" s="13">
        <v>1580.6</v>
      </c>
      <c r="U854" s="32">
        <v>1580.6</v>
      </c>
      <c r="V854" s="6" t="s">
        <v>77</v>
      </c>
      <c r="W854" s="15"/>
      <c r="X854" s="15"/>
      <c r="Y854" s="16"/>
      <c r="Z854" s="17"/>
      <c r="AA854" s="16"/>
      <c r="AB854" s="24">
        <v>1975.75</v>
      </c>
      <c r="AC854" s="20">
        <v>171.29655172413786</v>
      </c>
      <c r="AD854" s="21">
        <v>46071</v>
      </c>
      <c r="AE854" s="22">
        <v>633571.00485513383</v>
      </c>
      <c r="AF854" s="23">
        <v>466021.28593333345</v>
      </c>
      <c r="AG854" s="24">
        <v>564045.5359333338</v>
      </c>
      <c r="AH854" s="15">
        <v>0.5</v>
      </c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</row>
    <row r="855" spans="1:68" ht="15" customHeight="1" x14ac:dyDescent="0.25">
      <c r="A855" s="1">
        <f t="shared" si="55"/>
        <v>432</v>
      </c>
      <c r="B855" s="1" t="str">
        <f t="shared" si="52"/>
        <v xml:space="preserve">Virginia </v>
      </c>
      <c r="C855" s="1">
        <f t="shared" si="53"/>
        <v>0</v>
      </c>
      <c r="D855" s="2" t="str">
        <f t="shared" si="54"/>
        <v>2026-02</v>
      </c>
      <c r="E855" s="3" t="s">
        <v>1230</v>
      </c>
      <c r="F855" s="4" t="s">
        <v>1197</v>
      </c>
      <c r="G855" s="5">
        <v>46071</v>
      </c>
      <c r="H855" s="40">
        <v>-101</v>
      </c>
      <c r="I855" s="40">
        <v>101</v>
      </c>
      <c r="J855" s="7">
        <v>120</v>
      </c>
      <c r="K855" s="8">
        <v>0.10547263681592053</v>
      </c>
      <c r="L855" s="9">
        <v>4.794210764360024E-2</v>
      </c>
      <c r="M855" s="10">
        <v>-101.00000000000001</v>
      </c>
      <c r="N855" s="11">
        <v>2.2000000000000002</v>
      </c>
      <c r="O855" s="12">
        <v>24821.245476340569</v>
      </c>
      <c r="P855" s="13" t="s">
        <v>506</v>
      </c>
      <c r="Q855" s="13" t="s">
        <v>76</v>
      </c>
      <c r="R855" s="14" t="s">
        <v>491</v>
      </c>
      <c r="S855" s="13">
        <v>903</v>
      </c>
      <c r="T855" s="13">
        <v>632.09999999999991</v>
      </c>
      <c r="U855" s="32">
        <v>632.09999999999991</v>
      </c>
      <c r="V855" s="6" t="s">
        <v>82</v>
      </c>
      <c r="W855" s="15"/>
      <c r="X855" s="15"/>
      <c r="Y855" s="16"/>
      <c r="Z855" s="17"/>
      <c r="AA855" s="16"/>
      <c r="AB855" s="24">
        <v>-632.09999999999991</v>
      </c>
      <c r="AC855" s="20">
        <v>66.66925373134336</v>
      </c>
      <c r="AD855" s="21">
        <v>46071</v>
      </c>
      <c r="AE855" s="22">
        <v>634008.76573385636</v>
      </c>
      <c r="AF855" s="23">
        <v>464168.31593333348</v>
      </c>
      <c r="AG855" s="24">
        <v>564800.4159333338</v>
      </c>
      <c r="AH855" s="15">
        <v>0.5</v>
      </c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</row>
    <row r="856" spans="1:68" ht="15" customHeight="1" x14ac:dyDescent="0.25">
      <c r="A856" s="1">
        <f t="shared" si="55"/>
        <v>433</v>
      </c>
      <c r="B856" s="1" t="str">
        <f t="shared" si="52"/>
        <v xml:space="preserve">Wake </v>
      </c>
      <c r="C856" s="1">
        <f t="shared" si="53"/>
        <v>0</v>
      </c>
      <c r="D856" s="2" t="str">
        <f t="shared" si="54"/>
        <v>2026-02</v>
      </c>
      <c r="E856" s="3" t="s">
        <v>1231</v>
      </c>
      <c r="F856" s="4" t="s">
        <v>1197</v>
      </c>
      <c r="G856" s="39">
        <v>46071</v>
      </c>
      <c r="H856" s="40">
        <v>125</v>
      </c>
      <c r="I856" s="40">
        <v>-160</v>
      </c>
      <c r="J856" s="7">
        <v>145</v>
      </c>
      <c r="K856" s="8">
        <v>2.741935483870956E-2</v>
      </c>
      <c r="L856" s="9">
        <v>1.1191573403554922E-2</v>
      </c>
      <c r="M856" s="10">
        <v>138.46153846153848</v>
      </c>
      <c r="N856" s="11">
        <v>2.4500000000000002</v>
      </c>
      <c r="O856" s="12">
        <v>5351.7029259547453</v>
      </c>
      <c r="P856" s="13" t="s">
        <v>506</v>
      </c>
      <c r="Q856" s="13" t="s">
        <v>76</v>
      </c>
      <c r="R856" s="14" t="s">
        <v>605</v>
      </c>
      <c r="S856" s="13">
        <v>2244</v>
      </c>
      <c r="T856" s="13">
        <v>1570.8</v>
      </c>
      <c r="U856" s="32">
        <v>1570.8</v>
      </c>
      <c r="V856" s="31" t="s">
        <v>82</v>
      </c>
      <c r="W856" s="15"/>
      <c r="X856" s="15"/>
      <c r="Y856" s="16"/>
      <c r="Z856" s="17"/>
      <c r="AA856" s="16"/>
      <c r="AB856" s="24">
        <v>-1570.8</v>
      </c>
      <c r="AC856" s="20">
        <v>43.070322580644977</v>
      </c>
      <c r="AD856" s="21">
        <v>46071</v>
      </c>
      <c r="AE856" s="22">
        <v>633614.07517771446</v>
      </c>
      <c r="AF856" s="23">
        <v>464450.48593333346</v>
      </c>
      <c r="AG856" s="24">
        <v>566021.2859333338</v>
      </c>
      <c r="AH856" s="15">
        <v>0.5</v>
      </c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</row>
    <row r="857" spans="1:68" ht="15" customHeight="1" x14ac:dyDescent="0.25">
      <c r="A857" s="1">
        <f t="shared" si="55"/>
        <v>434</v>
      </c>
      <c r="B857" s="1" t="str">
        <f t="shared" si="52"/>
        <v xml:space="preserve">Appalachian </v>
      </c>
      <c r="C857" s="1">
        <f t="shared" si="53"/>
        <v>0</v>
      </c>
      <c r="D857" s="2" t="str">
        <f t="shared" si="54"/>
        <v>2026-02</v>
      </c>
      <c r="E857" s="3" t="s">
        <v>1232</v>
      </c>
      <c r="F857" s="4" t="s">
        <v>1197</v>
      </c>
      <c r="G857" s="5">
        <v>46072</v>
      </c>
      <c r="H857" s="40">
        <v>-146</v>
      </c>
      <c r="I857" s="40">
        <v>146</v>
      </c>
      <c r="J857" s="7">
        <v>-118</v>
      </c>
      <c r="K857" s="8">
        <v>9.6458591704561183E-2</v>
      </c>
      <c r="L857" s="9">
        <v>5.2211531289624857E-2</v>
      </c>
      <c r="M857" s="10">
        <v>-146</v>
      </c>
      <c r="N857" s="11">
        <v>1.847457627118644</v>
      </c>
      <c r="O857" s="12">
        <v>31773.107329539347</v>
      </c>
      <c r="P857" s="13" t="s">
        <v>506</v>
      </c>
      <c r="Q857" s="13" t="s">
        <v>76</v>
      </c>
      <c r="R857" s="14" t="s">
        <v>1233</v>
      </c>
      <c r="S857" s="13">
        <v>1259</v>
      </c>
      <c r="T857" s="13">
        <v>881.3</v>
      </c>
      <c r="U857" s="32">
        <v>881.3</v>
      </c>
      <c r="V857" s="6" t="s">
        <v>82</v>
      </c>
      <c r="W857" s="15"/>
      <c r="X857" s="15"/>
      <c r="Y857" s="16"/>
      <c r="Z857" s="17"/>
      <c r="AA857" s="16"/>
      <c r="AB857" s="24">
        <v>-881.3</v>
      </c>
      <c r="AC857" s="20">
        <v>85.008956869229763</v>
      </c>
      <c r="AD857" s="21">
        <v>46072</v>
      </c>
      <c r="AE857" s="22">
        <v>636313.67344220262</v>
      </c>
      <c r="AF857" s="23">
        <v>457417.58593333355</v>
      </c>
      <c r="AG857" s="24">
        <v>558298.88593333378</v>
      </c>
      <c r="AH857" s="15">
        <v>0.5</v>
      </c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</row>
    <row r="858" spans="1:68" ht="15" customHeight="1" x14ac:dyDescent="0.25">
      <c r="A858" s="1">
        <f t="shared" si="55"/>
        <v>434</v>
      </c>
      <c r="B858" s="1" t="str">
        <f t="shared" si="52"/>
        <v xml:space="preserve">Appalachian </v>
      </c>
      <c r="C858" s="1">
        <f t="shared" si="53"/>
        <v>0</v>
      </c>
      <c r="D858" s="2" t="str">
        <f t="shared" si="54"/>
        <v>2026-02</v>
      </c>
      <c r="E858" s="3" t="s">
        <v>1234</v>
      </c>
      <c r="F858" s="4" t="s">
        <v>1197</v>
      </c>
      <c r="G858" s="5">
        <v>46072</v>
      </c>
      <c r="H858" s="40">
        <v>-147</v>
      </c>
      <c r="I858" s="40">
        <v>147</v>
      </c>
      <c r="J858" s="7">
        <v>-111</v>
      </c>
      <c r="K858" s="8">
        <v>0.13130539446328934</v>
      </c>
      <c r="L858" s="9">
        <v>6.9075349693957899E-2</v>
      </c>
      <c r="M858" s="10">
        <v>-147.00000000000003</v>
      </c>
      <c r="N858" s="11">
        <v>1.900900900900901</v>
      </c>
      <c r="O858" s="12">
        <v>40801.703023481845</v>
      </c>
      <c r="P858" s="13" t="s">
        <v>506</v>
      </c>
      <c r="Q858" s="13" t="s">
        <v>76</v>
      </c>
      <c r="R858" s="14" t="s">
        <v>1233</v>
      </c>
      <c r="S858" s="13">
        <v>1188</v>
      </c>
      <c r="T858" s="13">
        <v>831.59999999999991</v>
      </c>
      <c r="U858" s="32">
        <v>831.59999999999991</v>
      </c>
      <c r="V858" s="6" t="s">
        <v>82</v>
      </c>
      <c r="W858" s="15"/>
      <c r="X858" s="15"/>
      <c r="Y858" s="16"/>
      <c r="Z858" s="17"/>
      <c r="AA858" s="16"/>
      <c r="AB858" s="24">
        <v>-831.59999999999991</v>
      </c>
      <c r="AC858" s="20">
        <v>109.19356603567141</v>
      </c>
      <c r="AD858" s="21">
        <v>46072</v>
      </c>
      <c r="AE858" s="22">
        <v>636606.72796996078</v>
      </c>
      <c r="AF858" s="23">
        <v>459058.43593333359</v>
      </c>
      <c r="AG858" s="24">
        <v>559890.03593333368</v>
      </c>
      <c r="AH858" s="15">
        <v>0.5</v>
      </c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</row>
    <row r="859" spans="1:68" ht="15" customHeight="1" x14ac:dyDescent="0.25">
      <c r="A859" s="1">
        <f t="shared" si="55"/>
        <v>434</v>
      </c>
      <c r="B859" s="1" t="str">
        <f t="shared" si="52"/>
        <v xml:space="preserve">Appalachian </v>
      </c>
      <c r="C859" s="1">
        <f t="shared" si="53"/>
        <v>0</v>
      </c>
      <c r="D859" s="2" t="str">
        <f t="shared" si="54"/>
        <v>2026-02</v>
      </c>
      <c r="E859" s="3" t="s">
        <v>1235</v>
      </c>
      <c r="F859" s="4" t="s">
        <v>1197</v>
      </c>
      <c r="G859" s="5">
        <v>46072</v>
      </c>
      <c r="H859" s="40">
        <v>-234</v>
      </c>
      <c r="I859" s="40">
        <v>234</v>
      </c>
      <c r="J859" s="7">
        <v>-177</v>
      </c>
      <c r="K859" s="8">
        <v>9.6417334821881653E-2</v>
      </c>
      <c r="L859" s="9">
        <v>6.1609632720119323E-2</v>
      </c>
      <c r="M859" s="10">
        <v>-233.99999999999994</v>
      </c>
      <c r="N859" s="11">
        <v>1.5649717514124295</v>
      </c>
      <c r="O859" s="12">
        <v>47704.088096107807</v>
      </c>
      <c r="P859" s="13" t="s">
        <v>506</v>
      </c>
      <c r="Q859" s="13" t="s">
        <v>76</v>
      </c>
      <c r="R859" s="14" t="s">
        <v>1233</v>
      </c>
      <c r="S859" s="13">
        <v>1855</v>
      </c>
      <c r="T859" s="13">
        <v>1298.5</v>
      </c>
      <c r="U859" s="32">
        <v>1298.5</v>
      </c>
      <c r="V859" s="31" t="s">
        <v>82</v>
      </c>
      <c r="W859" s="15"/>
      <c r="X859" s="15"/>
      <c r="Y859" s="16"/>
      <c r="Z859" s="17"/>
      <c r="AA859" s="16"/>
      <c r="AB859" s="24">
        <v>-1298.5</v>
      </c>
      <c r="AC859" s="20">
        <v>125.19790926621333</v>
      </c>
      <c r="AD859" s="21">
        <v>46072</v>
      </c>
      <c r="AE859" s="22">
        <v>636731.925879227</v>
      </c>
      <c r="AF859" s="23">
        <v>457759.93593333359</v>
      </c>
      <c r="AG859" s="24">
        <v>559058.43593333371</v>
      </c>
      <c r="AH859" s="15">
        <v>0.5</v>
      </c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</row>
    <row r="860" spans="1:68" ht="15" customHeight="1" x14ac:dyDescent="0.25">
      <c r="A860" s="1">
        <f t="shared" si="55"/>
        <v>434</v>
      </c>
      <c r="B860" s="1" t="str">
        <f t="shared" si="52"/>
        <v xml:space="preserve">Appalachian </v>
      </c>
      <c r="C860" s="1">
        <f t="shared" si="53"/>
        <v>0</v>
      </c>
      <c r="D860" s="2" t="str">
        <f t="shared" si="54"/>
        <v>2026-02</v>
      </c>
      <c r="E860" s="3" t="s">
        <v>1236</v>
      </c>
      <c r="F860" s="4" t="s">
        <v>1197</v>
      </c>
      <c r="G860" s="5">
        <v>46072</v>
      </c>
      <c r="H860" s="40">
        <v>-156</v>
      </c>
      <c r="I860" s="40">
        <v>156</v>
      </c>
      <c r="J860" s="7">
        <v>-127</v>
      </c>
      <c r="K860" s="8">
        <v>8.9197834645669258E-2</v>
      </c>
      <c r="L860" s="9">
        <v>4.9903634361233462E-2</v>
      </c>
      <c r="M860" s="10">
        <v>-156</v>
      </c>
      <c r="N860" s="11">
        <v>1.7874015748031495</v>
      </c>
      <c r="O860" s="12">
        <v>31591.871371223973</v>
      </c>
      <c r="P860" s="13" t="s">
        <v>506</v>
      </c>
      <c r="Q860" s="13" t="s">
        <v>76</v>
      </c>
      <c r="R860" s="14" t="s">
        <v>1233</v>
      </c>
      <c r="S860" s="13">
        <v>1356</v>
      </c>
      <c r="T860" s="13">
        <v>949.19999999999993</v>
      </c>
      <c r="U860" s="32">
        <v>949.19999999999993</v>
      </c>
      <c r="V860" s="31" t="s">
        <v>82</v>
      </c>
      <c r="W860" s="15"/>
      <c r="X860" s="15"/>
      <c r="Y860" s="16"/>
      <c r="Z860" s="17"/>
      <c r="AA860" s="16"/>
      <c r="AB860" s="24">
        <v>-949.19999999999993</v>
      </c>
      <c r="AC860" s="20">
        <v>84.666584645669246</v>
      </c>
      <c r="AD860" s="21">
        <v>46072</v>
      </c>
      <c r="AE860" s="22">
        <v>636816.59246387263</v>
      </c>
      <c r="AF860" s="23">
        <v>456810.73593333358</v>
      </c>
      <c r="AG860" s="24">
        <v>557759.93593333371</v>
      </c>
      <c r="AH860" s="15">
        <v>0.5</v>
      </c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</row>
    <row r="861" spans="1:68" ht="15" customHeight="1" x14ac:dyDescent="0.25">
      <c r="A861" s="1">
        <f t="shared" si="55"/>
        <v>434</v>
      </c>
      <c r="B861" s="1" t="str">
        <f t="shared" si="52"/>
        <v xml:space="preserve">Appalachian </v>
      </c>
      <c r="C861" s="1">
        <f t="shared" si="53"/>
        <v>0</v>
      </c>
      <c r="D861" s="2" t="str">
        <f t="shared" si="54"/>
        <v>2026-02</v>
      </c>
      <c r="E861" s="3" t="s">
        <v>1237</v>
      </c>
      <c r="F861" s="4" t="s">
        <v>1197</v>
      </c>
      <c r="G861" s="39">
        <v>46072</v>
      </c>
      <c r="H861" s="40">
        <v>188</v>
      </c>
      <c r="I861" s="40">
        <v>-188</v>
      </c>
      <c r="J861" s="7">
        <v>225</v>
      </c>
      <c r="K861" s="8">
        <v>0.12847222222222213</v>
      </c>
      <c r="L861" s="9">
        <v>3.95299145299145E-2</v>
      </c>
      <c r="M861" s="10">
        <v>188</v>
      </c>
      <c r="N861" s="11">
        <v>3.25</v>
      </c>
      <c r="O861" s="12">
        <v>16034.279343775721</v>
      </c>
      <c r="P861" s="32" t="s">
        <v>506</v>
      </c>
      <c r="Q861" s="81" t="s">
        <v>81</v>
      </c>
      <c r="R861" s="82" t="s">
        <v>1233</v>
      </c>
      <c r="S861" s="80">
        <v>783</v>
      </c>
      <c r="T861" s="32">
        <v>548.09999999999991</v>
      </c>
      <c r="U861" s="32">
        <v>548.09999999999991</v>
      </c>
      <c r="V861" s="74" t="s">
        <v>82</v>
      </c>
      <c r="W861" s="15"/>
      <c r="X861" s="15"/>
      <c r="Y861" s="16"/>
      <c r="Z861" s="17"/>
      <c r="AA861" s="16"/>
      <c r="AB861" s="99">
        <v>-548.09999999999991</v>
      </c>
      <c r="AC861" s="20">
        <v>70.415624999999935</v>
      </c>
      <c r="AD861" s="21">
        <v>46072</v>
      </c>
      <c r="AE861" s="22">
        <v>639226.38297108188</v>
      </c>
      <c r="AF861" s="23">
        <v>461085.03593333362</v>
      </c>
      <c r="AG861" s="24">
        <v>561633.13593333378</v>
      </c>
      <c r="AH861" s="15">
        <v>0.5</v>
      </c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</row>
    <row r="862" spans="1:68" ht="15" customHeight="1" x14ac:dyDescent="0.25">
      <c r="A862" s="1">
        <f t="shared" si="55"/>
        <v>435</v>
      </c>
      <c r="B862" s="1" t="str">
        <f t="shared" si="52"/>
        <v xml:space="preserve">Arkansas </v>
      </c>
      <c r="C862" s="1">
        <f t="shared" si="53"/>
        <v>0</v>
      </c>
      <c r="D862" s="2" t="str">
        <f t="shared" si="54"/>
        <v>2026-02</v>
      </c>
      <c r="E862" s="3" t="s">
        <v>1238</v>
      </c>
      <c r="F862" s="4" t="s">
        <v>1197</v>
      </c>
      <c r="G862" s="5">
        <v>46072</v>
      </c>
      <c r="H862" s="40">
        <v>-125</v>
      </c>
      <c r="I862" s="40">
        <v>125</v>
      </c>
      <c r="J862" s="7">
        <v>-103</v>
      </c>
      <c r="K862" s="8">
        <v>9.4929881337648278E-2</v>
      </c>
      <c r="L862" s="9">
        <v>4.8166392993979179E-2</v>
      </c>
      <c r="M862" s="10">
        <v>-125.00000000000001</v>
      </c>
      <c r="N862" s="11">
        <v>1.970873786407767</v>
      </c>
      <c r="O862" s="12">
        <v>27403.395845629639</v>
      </c>
      <c r="P862" s="13" t="s">
        <v>506</v>
      </c>
      <c r="Q862" s="13" t="s">
        <v>81</v>
      </c>
      <c r="R862" s="14" t="s">
        <v>1239</v>
      </c>
      <c r="S862" s="13">
        <v>1632</v>
      </c>
      <c r="T862" s="13">
        <v>1142.3999999999999</v>
      </c>
      <c r="U862" s="32">
        <v>1142.3999999999999</v>
      </c>
      <c r="V862" s="31" t="s">
        <v>77</v>
      </c>
      <c r="W862" s="15"/>
      <c r="X862" s="15"/>
      <c r="Y862" s="16"/>
      <c r="Z862" s="17"/>
      <c r="AA862" s="16"/>
      <c r="AB862" s="24">
        <v>1109.1300000000001</v>
      </c>
      <c r="AC862" s="20">
        <v>108.44789644012938</v>
      </c>
      <c r="AD862" s="21">
        <v>46072</v>
      </c>
      <c r="AE862" s="22">
        <v>639155.96734608186</v>
      </c>
      <c r="AF862" s="23">
        <v>461633.1359333336</v>
      </c>
      <c r="AG862" s="24">
        <v>560524.00593333377</v>
      </c>
      <c r="AH862" s="15">
        <v>0.5</v>
      </c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</row>
    <row r="863" spans="1:68" ht="15" customHeight="1" x14ac:dyDescent="0.25">
      <c r="A863" s="1">
        <f t="shared" si="55"/>
        <v>435</v>
      </c>
      <c r="B863" s="1" t="str">
        <f t="shared" si="52"/>
        <v xml:space="preserve">Arkansas </v>
      </c>
      <c r="C863" s="1">
        <f t="shared" si="53"/>
        <v>0</v>
      </c>
      <c r="D863" s="2" t="str">
        <f t="shared" si="54"/>
        <v>2026-02</v>
      </c>
      <c r="E863" s="3" t="s">
        <v>1240</v>
      </c>
      <c r="F863" s="4" t="s">
        <v>1197</v>
      </c>
      <c r="G863" s="39">
        <v>46072</v>
      </c>
      <c r="H863" s="40">
        <v>-106</v>
      </c>
      <c r="I863" s="40">
        <v>106</v>
      </c>
      <c r="J863" s="7">
        <v>114</v>
      </c>
      <c r="K863" s="8">
        <v>0.10116504854368895</v>
      </c>
      <c r="L863" s="9">
        <v>4.7273387169948111E-2</v>
      </c>
      <c r="M863" s="10">
        <v>-105.99999999999999</v>
      </c>
      <c r="N863" s="11">
        <v>2.1399999999999997</v>
      </c>
      <c r="O863" s="12">
        <v>24249.868058360244</v>
      </c>
      <c r="P863" s="32" t="s">
        <v>506</v>
      </c>
      <c r="Q863" s="81" t="s">
        <v>81</v>
      </c>
      <c r="R863" s="82" t="s">
        <v>1241</v>
      </c>
      <c r="S863" s="80">
        <v>1574</v>
      </c>
      <c r="T863" s="32">
        <v>1101.8</v>
      </c>
      <c r="U863" s="32">
        <v>1101.8</v>
      </c>
      <c r="V863" s="74" t="s">
        <v>82</v>
      </c>
      <c r="W863" s="15"/>
      <c r="X863" s="15"/>
      <c r="Y863" s="16"/>
      <c r="Z863" s="17"/>
      <c r="AA863" s="16"/>
      <c r="AB863" s="99">
        <v>-1101.8</v>
      </c>
      <c r="AC863" s="20">
        <v>111.46365048543647</v>
      </c>
      <c r="AD863" s="21">
        <v>46072</v>
      </c>
      <c r="AE863" s="22">
        <v>640687.9779032201</v>
      </c>
      <c r="AF863" s="23">
        <v>445427.85593333357</v>
      </c>
      <c r="AG863" s="24">
        <v>546529.65593333391</v>
      </c>
      <c r="AH863" s="15">
        <v>0.5</v>
      </c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</row>
    <row r="864" spans="1:68" ht="15" customHeight="1" x14ac:dyDescent="0.25">
      <c r="A864" s="1">
        <f t="shared" si="55"/>
        <v>436</v>
      </c>
      <c r="B864" s="1" t="str">
        <f t="shared" si="52"/>
        <v xml:space="preserve">Atlanta </v>
      </c>
      <c r="C864" s="1">
        <f t="shared" si="53"/>
        <v>0</v>
      </c>
      <c r="D864" s="2" t="str">
        <f t="shared" si="54"/>
        <v>2026-02</v>
      </c>
      <c r="E864" s="3" t="s">
        <v>1242</v>
      </c>
      <c r="F864" s="4" t="s">
        <v>1197</v>
      </c>
      <c r="G864" s="5">
        <v>46072</v>
      </c>
      <c r="H864" s="40">
        <v>-109</v>
      </c>
      <c r="I864" s="40">
        <v>109</v>
      </c>
      <c r="J864" s="7">
        <v>107</v>
      </c>
      <c r="K864" s="8">
        <v>7.9569377990430679E-2</v>
      </c>
      <c r="L864" s="9">
        <v>3.8439313038855394E-2</v>
      </c>
      <c r="M864" s="10">
        <v>-108.99999999999999</v>
      </c>
      <c r="N864" s="11">
        <v>2.0700000000000003</v>
      </c>
      <c r="O864" s="12">
        <v>20725.874109178876</v>
      </c>
      <c r="P864" s="13" t="s">
        <v>506</v>
      </c>
      <c r="Q864" s="13" t="s">
        <v>81</v>
      </c>
      <c r="R864" s="14" t="s">
        <v>1243</v>
      </c>
      <c r="S864" s="13">
        <v>3301</v>
      </c>
      <c r="T864" s="13">
        <v>2310.6999999999998</v>
      </c>
      <c r="U864" s="32">
        <v>2310.6999999999998</v>
      </c>
      <c r="V864" s="31" t="s">
        <v>77</v>
      </c>
      <c r="W864" s="15"/>
      <c r="X864" s="15"/>
      <c r="Y864" s="16"/>
      <c r="Z864" s="17"/>
      <c r="AA864" s="16"/>
      <c r="AB864" s="24">
        <v>2472.4499999999998</v>
      </c>
      <c r="AC864" s="20">
        <v>183.86096172248816</v>
      </c>
      <c r="AD864" s="21">
        <v>46072</v>
      </c>
      <c r="AE864" s="22">
        <v>636497.53440392506</v>
      </c>
      <c r="AF864" s="23">
        <v>459890.03593333357</v>
      </c>
      <c r="AG864" s="24">
        <v>557417.58593333373</v>
      </c>
      <c r="AH864" s="15">
        <v>0.5</v>
      </c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</row>
    <row r="865" spans="1:68" ht="15" customHeight="1" x14ac:dyDescent="0.25">
      <c r="A865" s="1">
        <f t="shared" si="55"/>
        <v>436</v>
      </c>
      <c r="B865" s="1" t="str">
        <f t="shared" si="52"/>
        <v xml:space="preserve">Atlanta </v>
      </c>
      <c r="C865" s="1">
        <f t="shared" si="53"/>
        <v>0</v>
      </c>
      <c r="D865" s="2" t="str">
        <f t="shared" si="54"/>
        <v>2026-02</v>
      </c>
      <c r="E865" s="3" t="s">
        <v>1242</v>
      </c>
      <c r="F865" s="4" t="s">
        <v>1197</v>
      </c>
      <c r="G865" s="5">
        <v>46072</v>
      </c>
      <c r="H865" s="40">
        <v>-112</v>
      </c>
      <c r="I865" s="40">
        <v>112</v>
      </c>
      <c r="J865" s="7">
        <v>104</v>
      </c>
      <c r="K865" s="8">
        <v>7.7735849056603801E-2</v>
      </c>
      <c r="L865" s="9">
        <v>3.8105808361080296E-2</v>
      </c>
      <c r="M865" s="10">
        <v>-112</v>
      </c>
      <c r="N865" s="11">
        <v>2.04</v>
      </c>
      <c r="O865" s="12">
        <v>20809.6900584664</v>
      </c>
      <c r="P865" s="13" t="s">
        <v>506</v>
      </c>
      <c r="Q865" s="13" t="s">
        <v>81</v>
      </c>
      <c r="R865" s="14" t="s">
        <v>1243</v>
      </c>
      <c r="S865" s="13">
        <v>3240</v>
      </c>
      <c r="T865" s="13">
        <v>2268</v>
      </c>
      <c r="U865" s="32">
        <v>2268</v>
      </c>
      <c r="V865" s="31" t="s">
        <v>77</v>
      </c>
      <c r="W865" s="15"/>
      <c r="X865" s="15"/>
      <c r="Y865" s="16"/>
      <c r="Z865" s="17"/>
      <c r="AA865" s="16"/>
      <c r="AB865" s="24">
        <v>2358.7199999999998</v>
      </c>
      <c r="AC865" s="20">
        <v>176.30490566037741</v>
      </c>
      <c r="AD865" s="21">
        <v>46072</v>
      </c>
      <c r="AE865" s="22">
        <v>636992.89736953296</v>
      </c>
      <c r="AF865" s="23">
        <v>459169.45593333355</v>
      </c>
      <c r="AG865" s="24">
        <v>556810.73593333375</v>
      </c>
      <c r="AH865" s="15">
        <v>0.5</v>
      </c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</row>
    <row r="866" spans="1:68" ht="15" customHeight="1" x14ac:dyDescent="0.25">
      <c r="A866" s="1">
        <f t="shared" si="55"/>
        <v>437</v>
      </c>
      <c r="B866" s="1" t="str">
        <f t="shared" si="52"/>
        <v xml:space="preserve">Atlanta </v>
      </c>
      <c r="C866" s="1">
        <f t="shared" si="53"/>
        <v>1</v>
      </c>
      <c r="D866" s="2" t="str">
        <f t="shared" si="54"/>
        <v>2026-02</v>
      </c>
      <c r="E866" s="3" t="s">
        <v>1244</v>
      </c>
      <c r="F866" s="4" t="s">
        <v>1197</v>
      </c>
      <c r="G866" s="39">
        <v>46072</v>
      </c>
      <c r="H866" s="40">
        <v>182</v>
      </c>
      <c r="I866" s="40">
        <v>-182</v>
      </c>
      <c r="J866" s="7">
        <v>205</v>
      </c>
      <c r="K866" s="8">
        <v>8.1560283687943366E-2</v>
      </c>
      <c r="L866" s="9">
        <v>2.6741076618997828E-2</v>
      </c>
      <c r="M866" s="10">
        <v>181.99999999999997</v>
      </c>
      <c r="N866" s="11">
        <v>3.05</v>
      </c>
      <c r="O866" s="12">
        <v>11116.032802686987</v>
      </c>
      <c r="P866" s="32" t="s">
        <v>506</v>
      </c>
      <c r="Q866" s="81" t="s">
        <v>92</v>
      </c>
      <c r="R866" s="82" t="s">
        <v>1243</v>
      </c>
      <c r="S866" s="80">
        <v>1121</v>
      </c>
      <c r="T866" s="32">
        <v>784.69999999999993</v>
      </c>
      <c r="U866" s="32">
        <v>784.69999999999993</v>
      </c>
      <c r="V866" s="74" t="s">
        <v>82</v>
      </c>
      <c r="W866" s="15"/>
      <c r="X866" s="15"/>
      <c r="Y866" s="16"/>
      <c r="Z866" s="17"/>
      <c r="AA866" s="16"/>
      <c r="AB866" s="99">
        <v>-784.69999999999993</v>
      </c>
      <c r="AC866" s="20">
        <v>64.000354609929147</v>
      </c>
      <c r="AD866" s="21">
        <v>46072</v>
      </c>
      <c r="AE866" s="22">
        <v>639812.97284114838</v>
      </c>
      <c r="AF866" s="23">
        <v>458013.43593333359</v>
      </c>
      <c r="AG866" s="24">
        <v>558798.13593333378</v>
      </c>
      <c r="AH866" s="15">
        <v>0.5</v>
      </c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</row>
    <row r="867" spans="1:68" ht="15" customHeight="1" x14ac:dyDescent="0.25">
      <c r="A867" s="1">
        <f t="shared" si="55"/>
        <v>437</v>
      </c>
      <c r="B867" s="1" t="str">
        <f t="shared" si="52"/>
        <v xml:space="preserve">Atlanta </v>
      </c>
      <c r="C867" s="1">
        <f t="shared" si="53"/>
        <v>1</v>
      </c>
      <c r="D867" s="2" t="str">
        <f t="shared" si="54"/>
        <v>2026-02</v>
      </c>
      <c r="E867" s="3" t="s">
        <v>1245</v>
      </c>
      <c r="F867" s="4" t="s">
        <v>1197</v>
      </c>
      <c r="G867" s="39">
        <v>46072</v>
      </c>
      <c r="H867" s="40">
        <v>141</v>
      </c>
      <c r="I867" s="40">
        <v>-141</v>
      </c>
      <c r="J867" s="7">
        <v>160</v>
      </c>
      <c r="K867" s="8">
        <v>7.8838174273858933E-2</v>
      </c>
      <c r="L867" s="9">
        <v>3.0322374720714973E-2</v>
      </c>
      <c r="M867" s="10">
        <v>141</v>
      </c>
      <c r="N867" s="11">
        <v>2.6</v>
      </c>
      <c r="O867" s="12">
        <v>13747.737659145932</v>
      </c>
      <c r="P867" s="32" t="s">
        <v>506</v>
      </c>
      <c r="Q867" s="81" t="s">
        <v>92</v>
      </c>
      <c r="R867" s="82" t="s">
        <v>1243</v>
      </c>
      <c r="S867" s="80">
        <v>3181</v>
      </c>
      <c r="T867" s="32">
        <v>2226.6999999999998</v>
      </c>
      <c r="U867" s="32">
        <v>2226.6999999999998</v>
      </c>
      <c r="V867" s="74" t="s">
        <v>82</v>
      </c>
      <c r="W867" s="15"/>
      <c r="X867" s="15"/>
      <c r="Y867" s="16"/>
      <c r="Z867" s="17"/>
      <c r="AA867" s="16"/>
      <c r="AB867" s="99">
        <v>-2226.6999999999998</v>
      </c>
      <c r="AC867" s="20">
        <v>175.54896265560168</v>
      </c>
      <c r="AD867" s="21">
        <v>46072</v>
      </c>
      <c r="AE867" s="22">
        <v>639988.52180380397</v>
      </c>
      <c r="AF867" s="23">
        <v>455786.73593333358</v>
      </c>
      <c r="AG867" s="24">
        <v>558013.43593333382</v>
      </c>
      <c r="AH867" s="15">
        <v>0.5</v>
      </c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</row>
    <row r="868" spans="1:68" ht="15" customHeight="1" x14ac:dyDescent="0.25">
      <c r="A868" s="1">
        <f t="shared" si="55"/>
        <v>438</v>
      </c>
      <c r="B868" s="1" t="str">
        <f t="shared" si="52"/>
        <v xml:space="preserve">Bryant </v>
      </c>
      <c r="C868" s="1">
        <f t="shared" si="53"/>
        <v>0</v>
      </c>
      <c r="D868" s="2" t="str">
        <f t="shared" si="54"/>
        <v>2026-02</v>
      </c>
      <c r="E868" s="3" t="s">
        <v>1246</v>
      </c>
      <c r="F868" s="4" t="s">
        <v>1197</v>
      </c>
      <c r="G868" s="39">
        <v>46072</v>
      </c>
      <c r="H868" s="40">
        <v>-109</v>
      </c>
      <c r="I868" s="40">
        <v>109</v>
      </c>
      <c r="J868" s="7">
        <v>123</v>
      </c>
      <c r="K868" s="8">
        <v>0.16301435406698547</v>
      </c>
      <c r="L868" s="9">
        <v>7.3100607204926227E-2</v>
      </c>
      <c r="M868" s="10">
        <v>-108.99999999999999</v>
      </c>
      <c r="N868" s="11">
        <v>2.23</v>
      </c>
      <c r="O868" s="12">
        <v>37074.978501670099</v>
      </c>
      <c r="P868" s="13" t="s">
        <v>506</v>
      </c>
      <c r="Q868" s="13" t="s">
        <v>81</v>
      </c>
      <c r="R868" s="14" t="s">
        <v>1247</v>
      </c>
      <c r="S868" s="13">
        <v>1433</v>
      </c>
      <c r="T868" s="13">
        <v>1003.0999999999999</v>
      </c>
      <c r="U868" s="32">
        <v>1003.0999999999999</v>
      </c>
      <c r="V868" s="31" t="s">
        <v>82</v>
      </c>
      <c r="W868" s="15"/>
      <c r="X868" s="15"/>
      <c r="Y868" s="16"/>
      <c r="Z868" s="17"/>
      <c r="AA868" s="16"/>
      <c r="AB868" s="24">
        <v>-1003.0999999999999</v>
      </c>
      <c r="AC868" s="20">
        <v>163.51969856459311</v>
      </c>
      <c r="AD868" s="21">
        <v>46072</v>
      </c>
      <c r="AE868" s="22">
        <v>636213.2544007845</v>
      </c>
      <c r="AF868" s="23">
        <v>458484.11593333352</v>
      </c>
      <c r="AG868" s="24">
        <v>559487.21593333385</v>
      </c>
      <c r="AH868" s="15">
        <v>0.5</v>
      </c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</row>
    <row r="869" spans="1:68" ht="15" customHeight="1" x14ac:dyDescent="0.25">
      <c r="A869" s="1">
        <f t="shared" si="55"/>
        <v>439</v>
      </c>
      <c r="B869" s="1" t="str">
        <f t="shared" si="52"/>
        <v xml:space="preserve">Cal </v>
      </c>
      <c r="C869" s="1">
        <f t="shared" si="53"/>
        <v>0</v>
      </c>
      <c r="D869" s="2" t="str">
        <f t="shared" si="54"/>
        <v>2026-02</v>
      </c>
      <c r="E869" s="3" t="s">
        <v>1248</v>
      </c>
      <c r="F869" s="4" t="s">
        <v>1197</v>
      </c>
      <c r="G869" s="39">
        <v>46072</v>
      </c>
      <c r="H869" s="40">
        <v>115</v>
      </c>
      <c r="I869" s="40">
        <v>-115</v>
      </c>
      <c r="J869" s="7">
        <v>160</v>
      </c>
      <c r="K869" s="8">
        <v>0.2093023255813953</v>
      </c>
      <c r="L869" s="9">
        <v>8.0500894454382799E-2</v>
      </c>
      <c r="M869" s="10">
        <v>115.00000000000001</v>
      </c>
      <c r="N869" s="11">
        <v>2.6</v>
      </c>
      <c r="O869" s="12">
        <v>35666.197844476766</v>
      </c>
      <c r="P869" s="32" t="s">
        <v>506</v>
      </c>
      <c r="Q869" s="81" t="s">
        <v>81</v>
      </c>
      <c r="R869" s="82" t="s">
        <v>698</v>
      </c>
      <c r="S869" s="80">
        <v>1101</v>
      </c>
      <c r="T869" s="32">
        <v>770.69999999999993</v>
      </c>
      <c r="U869" s="32">
        <v>770.69999999999993</v>
      </c>
      <c r="V869" s="74" t="s">
        <v>77</v>
      </c>
      <c r="W869" s="15"/>
      <c r="X869" s="15"/>
      <c r="Y869" s="16"/>
      <c r="Z869" s="17"/>
      <c r="AA869" s="16"/>
      <c r="AB869" s="99">
        <v>1233.1199999999999</v>
      </c>
      <c r="AC869" s="20">
        <v>161.30930232558134</v>
      </c>
      <c r="AD869" s="21">
        <v>46072</v>
      </c>
      <c r="AE869" s="22">
        <v>640576.51425273472</v>
      </c>
      <c r="AF869" s="23">
        <v>446529.65593333356</v>
      </c>
      <c r="AG869" s="24">
        <v>545296.53593333391</v>
      </c>
      <c r="AH869" s="15">
        <v>0.5</v>
      </c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</row>
    <row r="870" spans="1:68" ht="15" customHeight="1" x14ac:dyDescent="0.25">
      <c r="A870" s="1">
        <f t="shared" si="55"/>
        <v>439</v>
      </c>
      <c r="B870" s="1" t="str">
        <f t="shared" si="52"/>
        <v xml:space="preserve">Cal </v>
      </c>
      <c r="C870" s="1">
        <f t="shared" si="53"/>
        <v>0</v>
      </c>
      <c r="D870" s="2" t="str">
        <f t="shared" si="54"/>
        <v>2026-02</v>
      </c>
      <c r="E870" s="3" t="s">
        <v>1249</v>
      </c>
      <c r="F870" s="4" t="s">
        <v>1197</v>
      </c>
      <c r="G870" s="39">
        <v>46072</v>
      </c>
      <c r="H870" s="40">
        <v>100</v>
      </c>
      <c r="I870" s="40">
        <v>-133</v>
      </c>
      <c r="J870" s="7">
        <v>116</v>
      </c>
      <c r="K870" s="8">
        <v>8.577154308617399E-3</v>
      </c>
      <c r="L870" s="9">
        <v>3.9709047725080548E-3</v>
      </c>
      <c r="M870" s="10">
        <v>114.16309012875536</v>
      </c>
      <c r="N870" s="11">
        <v>2.16</v>
      </c>
      <c r="O870" s="12">
        <v>1996.0477926497072</v>
      </c>
      <c r="P870" s="32" t="s">
        <v>506</v>
      </c>
      <c r="Q870" s="81" t="s">
        <v>76</v>
      </c>
      <c r="R870" s="82" t="s">
        <v>1250</v>
      </c>
      <c r="S870" s="80">
        <v>919</v>
      </c>
      <c r="T870" s="32">
        <v>643.29999999999995</v>
      </c>
      <c r="U870" s="32">
        <v>643.29999999999995</v>
      </c>
      <c r="V870" s="74" t="s">
        <v>82</v>
      </c>
      <c r="W870" s="15"/>
      <c r="X870" s="15"/>
      <c r="Y870" s="16"/>
      <c r="Z870" s="17"/>
      <c r="AA870" s="16"/>
      <c r="AB870" s="99">
        <v>-643.29999999999995</v>
      </c>
      <c r="AC870" s="20">
        <v>5.5176833667335723</v>
      </c>
      <c r="AD870" s="21">
        <v>46072</v>
      </c>
      <c r="AE870" s="22">
        <v>643030.99698798172</v>
      </c>
      <c r="AF870" s="23">
        <v>439259.64593333367</v>
      </c>
      <c r="AG870" s="24">
        <v>539902.94593333383</v>
      </c>
      <c r="AH870" s="15">
        <v>0.5</v>
      </c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</row>
    <row r="871" spans="1:68" ht="15" customHeight="1" x14ac:dyDescent="0.25">
      <c r="A871" s="1">
        <f t="shared" si="55"/>
        <v>440</v>
      </c>
      <c r="B871" s="1" t="str">
        <f t="shared" si="52"/>
        <v xml:space="preserve">Cal </v>
      </c>
      <c r="C871" s="1">
        <f t="shared" si="53"/>
        <v>1</v>
      </c>
      <c r="D871" s="2" t="str">
        <f t="shared" si="54"/>
        <v>2026-02</v>
      </c>
      <c r="E871" s="3" t="s">
        <v>1251</v>
      </c>
      <c r="F871" s="4" t="s">
        <v>1197</v>
      </c>
      <c r="G871" s="39">
        <v>46072</v>
      </c>
      <c r="H871" s="40">
        <v>-120</v>
      </c>
      <c r="I871" s="40">
        <v>120</v>
      </c>
      <c r="J871" s="7">
        <v>-152</v>
      </c>
      <c r="K871" s="8">
        <v>-9.5693779904306234E-2</v>
      </c>
      <c r="L871" s="9">
        <v>-5.7720057720057727E-2</v>
      </c>
      <c r="M871" s="10">
        <v>-119.99999999999997</v>
      </c>
      <c r="N871" s="11">
        <v>1.6578947368421053</v>
      </c>
      <c r="O871" s="12">
        <v>-39327.480431515192</v>
      </c>
      <c r="P871" s="32" t="s">
        <v>506</v>
      </c>
      <c r="Q871" s="81" t="s">
        <v>92</v>
      </c>
      <c r="R871" s="82" t="s">
        <v>698</v>
      </c>
      <c r="S871" s="80">
        <v>1602</v>
      </c>
      <c r="T871" s="32">
        <v>1121.3999999999999</v>
      </c>
      <c r="U871" s="32">
        <v>1121.3999999999999</v>
      </c>
      <c r="V871" s="40" t="s">
        <v>77</v>
      </c>
      <c r="W871" s="15"/>
      <c r="X871" s="15"/>
      <c r="Y871" s="16"/>
      <c r="Z871" s="17"/>
      <c r="AA871" s="16"/>
      <c r="AB871" s="99">
        <v>737.76</v>
      </c>
      <c r="AC871" s="20">
        <v>-107.311004784689</v>
      </c>
      <c r="AD871" s="21">
        <v>46072</v>
      </c>
      <c r="AE871" s="22">
        <v>640733.31995965994</v>
      </c>
      <c r="AF871" s="23">
        <v>441490.61593333358</v>
      </c>
      <c r="AG871" s="24">
        <v>540752.85593333386</v>
      </c>
      <c r="AH871" s="15">
        <v>0.5</v>
      </c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</row>
    <row r="872" spans="1:68" ht="15" customHeight="1" x14ac:dyDescent="0.25">
      <c r="A872" s="1">
        <f t="shared" si="55"/>
        <v>441</v>
      </c>
      <c r="B872" s="1" t="str">
        <f t="shared" si="52"/>
        <v xml:space="preserve">Detroit </v>
      </c>
      <c r="C872" s="1">
        <f t="shared" si="53"/>
        <v>0</v>
      </c>
      <c r="D872" s="2" t="str">
        <f t="shared" si="54"/>
        <v>2026-02</v>
      </c>
      <c r="E872" s="3" t="s">
        <v>1252</v>
      </c>
      <c r="F872" s="4" t="s">
        <v>1197</v>
      </c>
      <c r="G872" s="5">
        <v>46072</v>
      </c>
      <c r="H872" s="40">
        <v>142</v>
      </c>
      <c r="I872" s="40">
        <v>-142</v>
      </c>
      <c r="J872" s="7">
        <v>163</v>
      </c>
      <c r="K872" s="8">
        <v>8.6776859504132178E-2</v>
      </c>
      <c r="L872" s="9">
        <v>3.2995003613738472E-2</v>
      </c>
      <c r="M872" s="10">
        <v>142</v>
      </c>
      <c r="N872" s="11">
        <v>2.63</v>
      </c>
      <c r="O872" s="12">
        <v>14880.251133955282</v>
      </c>
      <c r="P872" s="13" t="s">
        <v>506</v>
      </c>
      <c r="Q872" s="13" t="s">
        <v>81</v>
      </c>
      <c r="R872" s="14" t="s">
        <v>738</v>
      </c>
      <c r="S872" s="13">
        <v>1322</v>
      </c>
      <c r="T872" s="13">
        <v>925.4</v>
      </c>
      <c r="U872" s="32">
        <v>925.4</v>
      </c>
      <c r="V872" s="31" t="s">
        <v>77</v>
      </c>
      <c r="W872" s="15"/>
      <c r="X872" s="15"/>
      <c r="Y872" s="16"/>
      <c r="Z872" s="17"/>
      <c r="AA872" s="16"/>
      <c r="AB872" s="24">
        <v>1508.4</v>
      </c>
      <c r="AC872" s="20">
        <v>80.303305785123911</v>
      </c>
      <c r="AD872" s="21">
        <v>46072</v>
      </c>
      <c r="AE872" s="22">
        <v>639047.5194496417</v>
      </c>
      <c r="AF872" s="23">
        <v>460524.0059333336</v>
      </c>
      <c r="AG872" s="24">
        <v>559015.60593333375</v>
      </c>
      <c r="AH872" s="15">
        <v>0.5</v>
      </c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</row>
    <row r="873" spans="1:68" ht="15" customHeight="1" x14ac:dyDescent="0.25">
      <c r="A873" s="1">
        <f t="shared" si="55"/>
        <v>442</v>
      </c>
      <c r="B873" s="1" t="str">
        <f t="shared" si="52"/>
        <v xml:space="preserve">Detroit </v>
      </c>
      <c r="C873" s="1">
        <f t="shared" si="53"/>
        <v>1</v>
      </c>
      <c r="D873" s="2" t="str">
        <f t="shared" si="54"/>
        <v>2026-02</v>
      </c>
      <c r="E873" s="3" t="s">
        <v>1253</v>
      </c>
      <c r="F873" s="4" t="s">
        <v>1197</v>
      </c>
      <c r="G873" s="5">
        <v>46072</v>
      </c>
      <c r="H873" s="40">
        <v>214</v>
      </c>
      <c r="I873" s="40">
        <v>-214</v>
      </c>
      <c r="J873" s="7">
        <v>300</v>
      </c>
      <c r="K873" s="8">
        <v>0.27388535031847128</v>
      </c>
      <c r="L873" s="9">
        <v>6.8471337579617819E-2</v>
      </c>
      <c r="M873" s="10">
        <v>214</v>
      </c>
      <c r="N873" s="11">
        <v>4</v>
      </c>
      <c r="O873" s="12">
        <v>25239.237818612892</v>
      </c>
      <c r="P873" s="13" t="s">
        <v>506</v>
      </c>
      <c r="Q873" s="13" t="s">
        <v>92</v>
      </c>
      <c r="R873" s="14" t="s">
        <v>738</v>
      </c>
      <c r="S873" s="13">
        <v>603</v>
      </c>
      <c r="T873" s="13">
        <v>422.09999999999997</v>
      </c>
      <c r="U873" s="32">
        <v>422.09999999999997</v>
      </c>
      <c r="V873" s="31" t="s">
        <v>77</v>
      </c>
      <c r="W873" s="15"/>
      <c r="X873" s="15"/>
      <c r="Y873" s="16"/>
      <c r="Z873" s="17"/>
      <c r="AA873" s="16"/>
      <c r="AB873" s="24">
        <v>1266.3</v>
      </c>
      <c r="AC873" s="20">
        <v>115.60700636942671</v>
      </c>
      <c r="AD873" s="21">
        <v>46072</v>
      </c>
      <c r="AE873" s="22">
        <v>638237.01771461568</v>
      </c>
      <c r="AF873" s="23">
        <v>454181.69593333354</v>
      </c>
      <c r="AG873" s="24">
        <v>552915.39593333367</v>
      </c>
      <c r="AH873" s="15">
        <v>0.5</v>
      </c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</row>
    <row r="874" spans="1:68" ht="15" customHeight="1" x14ac:dyDescent="0.25">
      <c r="A874" s="1">
        <f t="shared" si="55"/>
        <v>442</v>
      </c>
      <c r="B874" s="1" t="str">
        <f t="shared" si="52"/>
        <v xml:space="preserve">Detroit </v>
      </c>
      <c r="C874" s="1">
        <f t="shared" si="53"/>
        <v>1</v>
      </c>
      <c r="D874" s="2" t="str">
        <f t="shared" si="54"/>
        <v>2026-02</v>
      </c>
      <c r="E874" s="3" t="s">
        <v>1254</v>
      </c>
      <c r="F874" s="4" t="s">
        <v>1197</v>
      </c>
      <c r="G874" s="39">
        <v>46072</v>
      </c>
      <c r="H874" s="40">
        <v>204</v>
      </c>
      <c r="I874" s="40">
        <v>-204</v>
      </c>
      <c r="J874" s="7">
        <v>270</v>
      </c>
      <c r="K874" s="8">
        <v>0.217105263157895</v>
      </c>
      <c r="L874" s="9">
        <v>5.8677098150782425E-2</v>
      </c>
      <c r="M874" s="10">
        <v>204</v>
      </c>
      <c r="N874" s="11">
        <v>3.7</v>
      </c>
      <c r="O874" s="12">
        <v>22280.696839424993</v>
      </c>
      <c r="P874" s="13" t="s">
        <v>506</v>
      </c>
      <c r="Q874" s="13" t="s">
        <v>92</v>
      </c>
      <c r="R874" s="14" t="s">
        <v>738</v>
      </c>
      <c r="S874" s="13">
        <v>660</v>
      </c>
      <c r="T874" s="13">
        <v>461.99999999999994</v>
      </c>
      <c r="U874" s="32">
        <v>461.99999999999994</v>
      </c>
      <c r="V874" s="31" t="s">
        <v>77</v>
      </c>
      <c r="W874" s="15"/>
      <c r="X874" s="15"/>
      <c r="Y874" s="16"/>
      <c r="Z874" s="17"/>
      <c r="AA874" s="16"/>
      <c r="AB874" s="24">
        <v>1247.4000000000001</v>
      </c>
      <c r="AC874" s="20">
        <v>100.30263157894747</v>
      </c>
      <c r="AD874" s="21">
        <v>46072</v>
      </c>
      <c r="AE874" s="22">
        <v>638337.32034619467</v>
      </c>
      <c r="AF874" s="23">
        <v>455429.09593333356</v>
      </c>
      <c r="AG874" s="24">
        <v>554181.69593333371</v>
      </c>
      <c r="AH874" s="15">
        <v>0.5</v>
      </c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</row>
    <row r="875" spans="1:68" ht="15" customHeight="1" x14ac:dyDescent="0.25">
      <c r="A875" s="1">
        <f t="shared" si="55"/>
        <v>443</v>
      </c>
      <c r="B875" s="1" t="str">
        <f t="shared" si="52"/>
        <v xml:space="preserve">Gardner </v>
      </c>
      <c r="C875" s="1">
        <f t="shared" si="53"/>
        <v>1</v>
      </c>
      <c r="D875" s="2" t="str">
        <f t="shared" si="54"/>
        <v>2026-02</v>
      </c>
      <c r="E875" s="3" t="s">
        <v>1255</v>
      </c>
      <c r="F875" s="4" t="s">
        <v>1197</v>
      </c>
      <c r="G875" s="39">
        <v>46072</v>
      </c>
      <c r="H875" s="40">
        <v>-108</v>
      </c>
      <c r="I875" s="40">
        <v>108</v>
      </c>
      <c r="J875" s="7">
        <v>120</v>
      </c>
      <c r="K875" s="8">
        <v>0.14230769230769244</v>
      </c>
      <c r="L875" s="9">
        <v>6.4685314685314743E-2</v>
      </c>
      <c r="M875" s="10">
        <v>-108.00000000000001</v>
      </c>
      <c r="N875" s="11">
        <v>2.2000000000000002</v>
      </c>
      <c r="O875" s="12">
        <v>33269.465271688088</v>
      </c>
      <c r="P875" s="32" t="s">
        <v>506</v>
      </c>
      <c r="Q875" s="81" t="s">
        <v>92</v>
      </c>
      <c r="R875" s="82" t="s">
        <v>1256</v>
      </c>
      <c r="S875" s="80">
        <v>896</v>
      </c>
      <c r="T875" s="32">
        <v>627.19999999999993</v>
      </c>
      <c r="U875" s="32">
        <v>627.19999999999993</v>
      </c>
      <c r="V875" s="74" t="s">
        <v>82</v>
      </c>
      <c r="W875" s="15"/>
      <c r="X875" s="15"/>
      <c r="Y875" s="16"/>
      <c r="Z875" s="17"/>
      <c r="AA875" s="16"/>
      <c r="AB875" s="99">
        <v>-627.19999999999993</v>
      </c>
      <c r="AC875" s="20">
        <v>89.255384615384685</v>
      </c>
      <c r="AD875" s="21">
        <v>46072</v>
      </c>
      <c r="AE875" s="22">
        <v>639315.63835569727</v>
      </c>
      <c r="AF875" s="23">
        <v>460457.83593333361</v>
      </c>
      <c r="AG875" s="24">
        <v>561085.0359333338</v>
      </c>
      <c r="AH875" s="15">
        <v>0.5</v>
      </c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</row>
    <row r="876" spans="1:68" ht="15" customHeight="1" x14ac:dyDescent="0.25">
      <c r="A876" s="1">
        <f t="shared" si="55"/>
        <v>444</v>
      </c>
      <c r="B876" s="1" t="str">
        <f t="shared" si="52"/>
        <v xml:space="preserve">Hawaii </v>
      </c>
      <c r="C876" s="1">
        <f t="shared" si="53"/>
        <v>0</v>
      </c>
      <c r="D876" s="2" t="str">
        <f t="shared" si="54"/>
        <v>2026-02</v>
      </c>
      <c r="E876" s="3" t="s">
        <v>1257</v>
      </c>
      <c r="F876" s="4" t="s">
        <v>1197</v>
      </c>
      <c r="G876" s="39">
        <v>46072</v>
      </c>
      <c r="H876" s="40">
        <v>-133</v>
      </c>
      <c r="I876" s="40">
        <v>133</v>
      </c>
      <c r="J876" s="7">
        <v>-112</v>
      </c>
      <c r="K876" s="8">
        <v>8.0472103004291834E-2</v>
      </c>
      <c r="L876" s="9">
        <v>4.2513563851323988E-2</v>
      </c>
      <c r="M876" s="10">
        <v>-133</v>
      </c>
      <c r="N876" s="11">
        <v>1.8928571428571428</v>
      </c>
      <c r="O876" s="12">
        <v>25401.182971244649</v>
      </c>
      <c r="P876" s="32" t="s">
        <v>506</v>
      </c>
      <c r="Q876" s="81" t="s">
        <v>81</v>
      </c>
      <c r="R876" s="82" t="s">
        <v>1258</v>
      </c>
      <c r="S876" s="80">
        <v>2003</v>
      </c>
      <c r="T876" s="32">
        <v>1402.1</v>
      </c>
      <c r="U876" s="32">
        <v>1402.1</v>
      </c>
      <c r="V876" s="74" t="s">
        <v>82</v>
      </c>
      <c r="W876" s="15"/>
      <c r="X876" s="15"/>
      <c r="Y876" s="16"/>
      <c r="Z876" s="17"/>
      <c r="AA876" s="16"/>
      <c r="AB876" s="99">
        <v>-1402.1</v>
      </c>
      <c r="AC876" s="20">
        <v>112.82993562231758</v>
      </c>
      <c r="AD876" s="21">
        <v>46072</v>
      </c>
      <c r="AE876" s="22">
        <v>645250.33834823314</v>
      </c>
      <c r="AF876" s="23">
        <v>462262.24593333364</v>
      </c>
      <c r="AG876" s="24">
        <v>563664.34593333374</v>
      </c>
      <c r="AH876" s="15">
        <v>0.5</v>
      </c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</row>
    <row r="877" spans="1:68" ht="15" customHeight="1" x14ac:dyDescent="0.25">
      <c r="A877" s="1">
        <f t="shared" si="55"/>
        <v>445</v>
      </c>
      <c r="B877" s="1" t="str">
        <f t="shared" si="52"/>
        <v xml:space="preserve">Houston </v>
      </c>
      <c r="C877" s="1">
        <f t="shared" si="53"/>
        <v>1</v>
      </c>
      <c r="D877" s="2" t="str">
        <f t="shared" si="54"/>
        <v>2026-02</v>
      </c>
      <c r="E877" s="3" t="s">
        <v>1259</v>
      </c>
      <c r="F877" s="4" t="s">
        <v>1197</v>
      </c>
      <c r="G877" s="39">
        <v>46072</v>
      </c>
      <c r="H877" s="40">
        <v>152</v>
      </c>
      <c r="I877" s="40">
        <v>-190</v>
      </c>
      <c r="J877" s="7">
        <v>145</v>
      </c>
      <c r="K877" s="8">
        <v>-7.5832466181061292E-2</v>
      </c>
      <c r="L877" s="9">
        <v>-3.0952027012678074E-2</v>
      </c>
      <c r="M877" s="10">
        <v>165.10344827586209</v>
      </c>
      <c r="N877" s="11">
        <v>2.4500000000000002</v>
      </c>
      <c r="O877" s="12">
        <v>-14284.654116093741</v>
      </c>
      <c r="P877" s="32" t="s">
        <v>506</v>
      </c>
      <c r="Q877" s="81" t="s">
        <v>92</v>
      </c>
      <c r="R877" s="82" t="s">
        <v>1060</v>
      </c>
      <c r="S877" s="80">
        <v>1400</v>
      </c>
      <c r="T877" s="32">
        <v>979.99999999999989</v>
      </c>
      <c r="U877" s="32">
        <v>979.99999999999989</v>
      </c>
      <c r="V877" s="74" t="s">
        <v>82</v>
      </c>
      <c r="W877" s="15"/>
      <c r="X877" s="15"/>
      <c r="Y877" s="16"/>
      <c r="Z877" s="17"/>
      <c r="AA877" s="16"/>
      <c r="AB877" s="99">
        <v>-979.99999999999989</v>
      </c>
      <c r="AC877" s="20">
        <v>-74.315816857440055</v>
      </c>
      <c r="AD877" s="21">
        <v>46072</v>
      </c>
      <c r="AE877" s="22">
        <v>640415.20495040913</v>
      </c>
      <c r="AF877" s="23">
        <v>445296.53593333357</v>
      </c>
      <c r="AG877" s="24">
        <v>546276.53593333391</v>
      </c>
      <c r="AH877" s="15">
        <v>0.5</v>
      </c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</row>
    <row r="878" spans="1:68" ht="15" customHeight="1" x14ac:dyDescent="0.25">
      <c r="A878" s="1">
        <f t="shared" si="55"/>
        <v>446</v>
      </c>
      <c r="B878" s="1" t="str">
        <f t="shared" si="52"/>
        <v xml:space="preserve">Liberty </v>
      </c>
      <c r="C878" s="1">
        <f t="shared" si="53"/>
        <v>0</v>
      </c>
      <c r="D878" s="2" t="str">
        <f t="shared" si="54"/>
        <v>2026-02</v>
      </c>
      <c r="E878" s="3" t="s">
        <v>1260</v>
      </c>
      <c r="F878" s="4" t="s">
        <v>1197</v>
      </c>
      <c r="G878" s="5">
        <v>46072</v>
      </c>
      <c r="H878" s="40">
        <v>-166</v>
      </c>
      <c r="I878" s="40">
        <v>166</v>
      </c>
      <c r="J878" s="7">
        <v>-106</v>
      </c>
      <c r="K878" s="8">
        <v>0.21279614129663788</v>
      </c>
      <c r="L878" s="9">
        <v>0.10949704357982337</v>
      </c>
      <c r="M878" s="10">
        <v>-166.00000000000003</v>
      </c>
      <c r="N878" s="11">
        <v>1.9433962264150944</v>
      </c>
      <c r="O878" s="12">
        <v>62684.194278195544</v>
      </c>
      <c r="P878" s="13" t="s">
        <v>506</v>
      </c>
      <c r="Q878" s="13" t="s">
        <v>81</v>
      </c>
      <c r="R878" s="14" t="s">
        <v>1261</v>
      </c>
      <c r="S878" s="13">
        <v>1875</v>
      </c>
      <c r="T878" s="13">
        <v>1312.5</v>
      </c>
      <c r="U878" s="32">
        <v>1312.5</v>
      </c>
      <c r="V878" s="6" t="s">
        <v>77</v>
      </c>
      <c r="W878" s="15"/>
      <c r="X878" s="15"/>
      <c r="Y878" s="16"/>
      <c r="Z878" s="17"/>
      <c r="AA878" s="16"/>
      <c r="AB878" s="24">
        <v>1238.21</v>
      </c>
      <c r="AC878" s="20">
        <v>279.2949354518372</v>
      </c>
      <c r="AD878" s="21">
        <v>46072</v>
      </c>
      <c r="AE878" s="22">
        <v>638667.62571189424</v>
      </c>
      <c r="AF878" s="23">
        <v>457038.06593333359</v>
      </c>
      <c r="AG878" s="24">
        <v>555799.85593333375</v>
      </c>
      <c r="AH878" s="15">
        <v>0.5</v>
      </c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</row>
    <row r="879" spans="1:68" ht="15" customHeight="1" x14ac:dyDescent="0.25">
      <c r="A879" s="1">
        <f t="shared" si="55"/>
        <v>446</v>
      </c>
      <c r="B879" s="1" t="str">
        <f t="shared" si="52"/>
        <v xml:space="preserve">Liberty </v>
      </c>
      <c r="C879" s="1">
        <f t="shared" si="53"/>
        <v>0</v>
      </c>
      <c r="D879" s="2" t="str">
        <f t="shared" si="54"/>
        <v>2026-02</v>
      </c>
      <c r="E879" s="3" t="s">
        <v>1260</v>
      </c>
      <c r="F879" s="4" t="s">
        <v>1197</v>
      </c>
      <c r="G879" s="5">
        <v>46072</v>
      </c>
      <c r="H879" s="40">
        <v>-166</v>
      </c>
      <c r="I879" s="40">
        <v>166</v>
      </c>
      <c r="J879" s="7">
        <v>-112</v>
      </c>
      <c r="K879" s="8">
        <v>0.18125671321160047</v>
      </c>
      <c r="L879" s="9">
        <v>9.5758263583487047E-2</v>
      </c>
      <c r="M879" s="10">
        <v>-166.00000000000003</v>
      </c>
      <c r="N879" s="11">
        <v>1.8928571428571428</v>
      </c>
      <c r="O879" s="12">
        <v>56541.457820300813</v>
      </c>
      <c r="P879" s="13" t="s">
        <v>506</v>
      </c>
      <c r="Q879" s="13" t="s">
        <v>81</v>
      </c>
      <c r="R879" s="14" t="s">
        <v>1261</v>
      </c>
      <c r="S879" s="13">
        <v>1980</v>
      </c>
      <c r="T879" s="13">
        <v>1386</v>
      </c>
      <c r="U879" s="32">
        <v>1386</v>
      </c>
      <c r="V879" s="6" t="s">
        <v>77</v>
      </c>
      <c r="W879" s="15"/>
      <c r="X879" s="15"/>
      <c r="Y879" s="16"/>
      <c r="Z879" s="17"/>
      <c r="AA879" s="16"/>
      <c r="AB879" s="24">
        <v>1237.5</v>
      </c>
      <c r="AC879" s="20">
        <v>251.22180451127826</v>
      </c>
      <c r="AD879" s="21">
        <v>46072</v>
      </c>
      <c r="AE879" s="22">
        <v>638918.84751640551</v>
      </c>
      <c r="AF879" s="23">
        <v>458275.56593333359</v>
      </c>
      <c r="AG879" s="24">
        <v>557038.06593333371</v>
      </c>
      <c r="AH879" s="15">
        <v>0.5</v>
      </c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</row>
    <row r="880" spans="1:68" ht="15" customHeight="1" x14ac:dyDescent="0.25">
      <c r="A880" s="1">
        <f t="shared" si="55"/>
        <v>447</v>
      </c>
      <c r="B880" s="1" t="str">
        <f t="shared" si="52"/>
        <v xml:space="preserve">Lindenwood </v>
      </c>
      <c r="C880" s="1">
        <f t="shared" si="53"/>
        <v>0</v>
      </c>
      <c r="D880" s="2" t="str">
        <f t="shared" si="54"/>
        <v>2026-02</v>
      </c>
      <c r="E880" s="3" t="s">
        <v>1262</v>
      </c>
      <c r="F880" s="4" t="s">
        <v>1197</v>
      </c>
      <c r="G880" s="39">
        <v>46072</v>
      </c>
      <c r="H880" s="40">
        <v>-181</v>
      </c>
      <c r="I880" s="40">
        <v>181</v>
      </c>
      <c r="J880" s="7">
        <v>-103</v>
      </c>
      <c r="K880" s="8">
        <v>0.26949521473240501</v>
      </c>
      <c r="L880" s="9">
        <v>0.13673895131742719</v>
      </c>
      <c r="M880" s="10">
        <v>-181.00000000000003</v>
      </c>
      <c r="N880" s="11">
        <v>1.970873786407767</v>
      </c>
      <c r="O880" s="12">
        <v>77731.362994306095</v>
      </c>
      <c r="P880" s="32" t="s">
        <v>506</v>
      </c>
      <c r="Q880" s="81" t="s">
        <v>81</v>
      </c>
      <c r="R880" s="82" t="s">
        <v>1263</v>
      </c>
      <c r="S880" s="80">
        <v>1809</v>
      </c>
      <c r="T880" s="32">
        <v>1266.3</v>
      </c>
      <c r="U880" s="32">
        <v>1266.3</v>
      </c>
      <c r="V880" s="40" t="s">
        <v>82</v>
      </c>
      <c r="W880" s="15"/>
      <c r="X880" s="15"/>
      <c r="Y880" s="16"/>
      <c r="Z880" s="17"/>
      <c r="AA880" s="16"/>
      <c r="AB880" s="99">
        <v>-1266.3</v>
      </c>
      <c r="AC880" s="20">
        <v>341.26179041564444</v>
      </c>
      <c r="AD880" s="21">
        <v>46072</v>
      </c>
      <c r="AE880" s="22">
        <v>639748.97248653846</v>
      </c>
      <c r="AF880" s="23">
        <v>458798.1359333336</v>
      </c>
      <c r="AG880" s="24">
        <v>560064.43593333382</v>
      </c>
      <c r="AH880" s="15">
        <v>0.5</v>
      </c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</row>
    <row r="881" spans="1:68" ht="15" customHeight="1" x14ac:dyDescent="0.25">
      <c r="A881" s="1">
        <f t="shared" si="55"/>
        <v>448</v>
      </c>
      <c r="B881" s="1" t="str">
        <f t="shared" si="52"/>
        <v xml:space="preserve">Marshall </v>
      </c>
      <c r="C881" s="1">
        <f t="shared" si="53"/>
        <v>0</v>
      </c>
      <c r="D881" s="2" t="str">
        <f t="shared" si="54"/>
        <v>2026-02</v>
      </c>
      <c r="E881" s="3" t="s">
        <v>1264</v>
      </c>
      <c r="F881" s="4" t="s">
        <v>1197</v>
      </c>
      <c r="G881" s="5">
        <v>46072</v>
      </c>
      <c r="H881" s="40">
        <v>-115</v>
      </c>
      <c r="I881" s="40">
        <v>115</v>
      </c>
      <c r="J881" s="7">
        <v>104</v>
      </c>
      <c r="K881" s="8">
        <v>9.1162790697674592E-2</v>
      </c>
      <c r="L881" s="9">
        <v>4.4687642498860092E-2</v>
      </c>
      <c r="M881" s="10">
        <v>-115.00000000000001</v>
      </c>
      <c r="N881" s="11">
        <v>2.04</v>
      </c>
      <c r="O881" s="12">
        <v>24200.234651818784</v>
      </c>
      <c r="P881" s="13" t="s">
        <v>506</v>
      </c>
      <c r="Q881" s="13" t="s">
        <v>76</v>
      </c>
      <c r="R881" s="14" t="s">
        <v>1265</v>
      </c>
      <c r="S881" s="13">
        <v>1037</v>
      </c>
      <c r="T881" s="13">
        <v>725.9</v>
      </c>
      <c r="U881" s="32">
        <v>725.9</v>
      </c>
      <c r="V881" s="6" t="s">
        <v>77</v>
      </c>
      <c r="W881" s="15"/>
      <c r="X881" s="15"/>
      <c r="Y881" s="16"/>
      <c r="Z881" s="17"/>
      <c r="AA881" s="16"/>
      <c r="AB881" s="24">
        <v>754.94</v>
      </c>
      <c r="AC881" s="20">
        <v>66.175069767441983</v>
      </c>
      <c r="AD881" s="21">
        <v>46072</v>
      </c>
      <c r="AE881" s="22">
        <v>638121.41070824629</v>
      </c>
      <c r="AF881" s="23">
        <v>452915.39593333355</v>
      </c>
      <c r="AG881" s="24">
        <v>552160.45593333372</v>
      </c>
      <c r="AH881" s="15">
        <v>0.5</v>
      </c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</row>
    <row r="882" spans="1:68" ht="15" customHeight="1" x14ac:dyDescent="0.25">
      <c r="A882" s="1">
        <f t="shared" si="55"/>
        <v>449</v>
      </c>
      <c r="B882" s="1" t="str">
        <f t="shared" si="52"/>
        <v xml:space="preserve">Marshall </v>
      </c>
      <c r="C882" s="1">
        <f t="shared" si="53"/>
        <v>1</v>
      </c>
      <c r="D882" s="2" t="str">
        <f t="shared" si="54"/>
        <v>2026-02</v>
      </c>
      <c r="E882" s="3" t="s">
        <v>1266</v>
      </c>
      <c r="F882" s="4" t="s">
        <v>1197</v>
      </c>
      <c r="G882" s="5">
        <v>46072</v>
      </c>
      <c r="H882" s="40">
        <v>-107</v>
      </c>
      <c r="I882" s="40">
        <v>107</v>
      </c>
      <c r="J882" s="7">
        <v>110</v>
      </c>
      <c r="K882" s="8">
        <v>8.5507246376811813E-2</v>
      </c>
      <c r="L882" s="9">
        <v>4.0717736369910384E-2</v>
      </c>
      <c r="M882" s="10">
        <v>-107.00000000000003</v>
      </c>
      <c r="N882" s="11">
        <v>2.1</v>
      </c>
      <c r="O882" s="12">
        <v>21725.999321519619</v>
      </c>
      <c r="P882" s="13" t="s">
        <v>506</v>
      </c>
      <c r="Q882" s="13" t="s">
        <v>92</v>
      </c>
      <c r="R882" s="14" t="s">
        <v>1265</v>
      </c>
      <c r="S882" s="13">
        <v>979</v>
      </c>
      <c r="T882" s="13">
        <v>685.3</v>
      </c>
      <c r="U882" s="32">
        <v>685.3</v>
      </c>
      <c r="V882" s="6" t="s">
        <v>82</v>
      </c>
      <c r="W882" s="15"/>
      <c r="X882" s="15"/>
      <c r="Y882" s="16"/>
      <c r="Z882" s="17"/>
      <c r="AA882" s="16"/>
      <c r="AB882" s="24">
        <v>-685.3</v>
      </c>
      <c r="AC882" s="20">
        <v>58.598115942029132</v>
      </c>
      <c r="AD882" s="21">
        <v>46072</v>
      </c>
      <c r="AE882" s="22">
        <v>636228.66448533337</v>
      </c>
      <c r="AF882" s="23">
        <v>458298.88593333354</v>
      </c>
      <c r="AG882" s="24">
        <v>558984.18593333382</v>
      </c>
      <c r="AH882" s="15">
        <v>0.5</v>
      </c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</row>
    <row r="883" spans="1:68" ht="15" customHeight="1" x14ac:dyDescent="0.25">
      <c r="A883" s="1">
        <f t="shared" si="55"/>
        <v>450</v>
      </c>
      <c r="B883" s="1" t="str">
        <f t="shared" si="52"/>
        <v xml:space="preserve">Memphis </v>
      </c>
      <c r="C883" s="1">
        <f t="shared" si="53"/>
        <v>0</v>
      </c>
      <c r="D883" s="2" t="str">
        <f t="shared" si="54"/>
        <v>2026-02</v>
      </c>
      <c r="E883" s="3" t="s">
        <v>1267</v>
      </c>
      <c r="F883" s="4" t="s">
        <v>1197</v>
      </c>
      <c r="G883" s="5">
        <v>46072</v>
      </c>
      <c r="H883" s="40">
        <v>-104</v>
      </c>
      <c r="I883" s="40">
        <v>104</v>
      </c>
      <c r="J883" s="7">
        <v>125</v>
      </c>
      <c r="K883" s="8">
        <v>0.14705882352941174</v>
      </c>
      <c r="L883" s="9">
        <v>6.5359477124182996E-2</v>
      </c>
      <c r="M883" s="10">
        <v>-103.99999999999999</v>
      </c>
      <c r="N883" s="11">
        <v>2.25</v>
      </c>
      <c r="O883" s="12">
        <v>32595.320937254921</v>
      </c>
      <c r="P883" s="13" t="s">
        <v>506</v>
      </c>
      <c r="Q883" s="13" t="s">
        <v>76</v>
      </c>
      <c r="R883" s="14" t="s">
        <v>1268</v>
      </c>
      <c r="S883" s="13">
        <v>2800</v>
      </c>
      <c r="T883" s="13">
        <v>1959.9999999999998</v>
      </c>
      <c r="U883" s="32">
        <v>1959.9999999999998</v>
      </c>
      <c r="V883" s="6" t="s">
        <v>82</v>
      </c>
      <c r="W883" s="15"/>
      <c r="X883" s="15"/>
      <c r="Y883" s="16"/>
      <c r="Z883" s="17"/>
      <c r="AA883" s="16"/>
      <c r="AB883" s="24">
        <v>-1959.9999999999998</v>
      </c>
      <c r="AC883" s="20">
        <v>288.23529411764696</v>
      </c>
      <c r="AD883" s="21">
        <v>46072</v>
      </c>
      <c r="AE883" s="22">
        <v>638055.23563847889</v>
      </c>
      <c r="AF883" s="23">
        <v>452160.45593333355</v>
      </c>
      <c r="AG883" s="24">
        <v>554120.45593333372</v>
      </c>
      <c r="AH883" s="15">
        <v>0.5</v>
      </c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</row>
    <row r="884" spans="1:68" ht="15" customHeight="1" x14ac:dyDescent="0.25">
      <c r="A884" s="1">
        <f t="shared" si="55"/>
        <v>450</v>
      </c>
      <c r="B884" s="1" t="str">
        <f t="shared" si="52"/>
        <v xml:space="preserve">Memphis </v>
      </c>
      <c r="C884" s="1">
        <f t="shared" si="53"/>
        <v>0</v>
      </c>
      <c r="D884" s="2" t="str">
        <f t="shared" si="54"/>
        <v>2026-02</v>
      </c>
      <c r="E884" s="3" t="s">
        <v>936</v>
      </c>
      <c r="F884" s="4" t="s">
        <v>1197</v>
      </c>
      <c r="G884" s="39">
        <v>46072</v>
      </c>
      <c r="H884" s="40">
        <v>-109</v>
      </c>
      <c r="I884" s="40">
        <v>109</v>
      </c>
      <c r="J884" s="7">
        <v>112</v>
      </c>
      <c r="K884" s="8">
        <v>0.10564593301435407</v>
      </c>
      <c r="L884" s="9">
        <v>4.9832987270921725E-2</v>
      </c>
      <c r="M884" s="10">
        <v>-108.99999999999999</v>
      </c>
      <c r="N884" s="11">
        <v>2.12</v>
      </c>
      <c r="O884" s="12">
        <v>26212.771551196198</v>
      </c>
      <c r="P884" s="32" t="s">
        <v>506</v>
      </c>
      <c r="Q884" s="81" t="s">
        <v>76</v>
      </c>
      <c r="R884" s="82" t="s">
        <v>1268</v>
      </c>
      <c r="S884" s="80">
        <v>3181</v>
      </c>
      <c r="T884" s="32">
        <v>2226.6999999999998</v>
      </c>
      <c r="U884" s="32">
        <v>2226.6999999999998</v>
      </c>
      <c r="V884" s="40" t="s">
        <v>82</v>
      </c>
      <c r="W884" s="15"/>
      <c r="X884" s="15"/>
      <c r="Y884" s="16"/>
      <c r="Z884" s="17"/>
      <c r="AA884" s="16"/>
      <c r="AB884" s="99">
        <v>-2226.6999999999998</v>
      </c>
      <c r="AC884" s="20">
        <v>235.2417990430622</v>
      </c>
      <c r="AD884" s="21">
        <v>46072</v>
      </c>
      <c r="AE884" s="22">
        <v>640223.763602847</v>
      </c>
      <c r="AF884" s="23">
        <v>453560.03593333357</v>
      </c>
      <c r="AG884" s="24">
        <v>555786.73593333387</v>
      </c>
      <c r="AH884" s="15">
        <v>0.5</v>
      </c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</row>
    <row r="885" spans="1:68" ht="15" customHeight="1" x14ac:dyDescent="0.25">
      <c r="A885" s="1">
        <f t="shared" si="55"/>
        <v>450</v>
      </c>
      <c r="B885" s="1" t="str">
        <f t="shared" si="52"/>
        <v xml:space="preserve">Memphis </v>
      </c>
      <c r="C885" s="1">
        <f t="shared" si="53"/>
        <v>0</v>
      </c>
      <c r="D885" s="2" t="str">
        <f t="shared" si="54"/>
        <v>2026-02</v>
      </c>
      <c r="E885" s="3" t="s">
        <v>936</v>
      </c>
      <c r="F885" s="4" t="s">
        <v>1197</v>
      </c>
      <c r="G885" s="39">
        <v>46072</v>
      </c>
      <c r="H885" s="40">
        <v>-129</v>
      </c>
      <c r="I885" s="40">
        <v>129</v>
      </c>
      <c r="J885" s="7">
        <v>-139</v>
      </c>
      <c r="K885" s="8">
        <v>-3.1415915302692408E-2</v>
      </c>
      <c r="L885" s="9">
        <v>-1.8271180866419434E-2</v>
      </c>
      <c r="M885" s="10">
        <v>-129</v>
      </c>
      <c r="N885" s="11">
        <v>1.7194244604316546</v>
      </c>
      <c r="O885" s="12">
        <v>-12048.498601164521</v>
      </c>
      <c r="P885" s="32" t="s">
        <v>506</v>
      </c>
      <c r="Q885" s="81" t="s">
        <v>76</v>
      </c>
      <c r="R885" s="82" t="s">
        <v>1268</v>
      </c>
      <c r="S885" s="80">
        <v>5005</v>
      </c>
      <c r="T885" s="32">
        <v>3503.5</v>
      </c>
      <c r="U885" s="32">
        <v>3503.5</v>
      </c>
      <c r="V885" s="40" t="s">
        <v>82</v>
      </c>
      <c r="W885" s="15"/>
      <c r="X885" s="15"/>
      <c r="Y885" s="16"/>
      <c r="Z885" s="17"/>
      <c r="AA885" s="16"/>
      <c r="AB885" s="99">
        <v>-3503.5</v>
      </c>
      <c r="AC885" s="20">
        <v>-110.06565926298285</v>
      </c>
      <c r="AD885" s="21">
        <v>46072</v>
      </c>
      <c r="AE885" s="22">
        <v>640252.218698301</v>
      </c>
      <c r="AF885" s="23">
        <v>448317.73593333358</v>
      </c>
      <c r="AG885" s="24">
        <v>551821.23593333387</v>
      </c>
      <c r="AH885" s="15">
        <v>0.5</v>
      </c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</row>
    <row r="886" spans="1:68" ht="15" customHeight="1" x14ac:dyDescent="0.25">
      <c r="A886" s="1">
        <f t="shared" si="55"/>
        <v>450</v>
      </c>
      <c r="B886" s="1" t="str">
        <f t="shared" si="52"/>
        <v xml:space="preserve">Memphis </v>
      </c>
      <c r="C886" s="1">
        <f t="shared" si="53"/>
        <v>0</v>
      </c>
      <c r="D886" s="2" t="str">
        <f t="shared" si="54"/>
        <v>2026-02</v>
      </c>
      <c r="E886" s="3" t="s">
        <v>1269</v>
      </c>
      <c r="F886" s="4" t="s">
        <v>1197</v>
      </c>
      <c r="G886" s="39">
        <v>46072</v>
      </c>
      <c r="H886" s="40">
        <v>-103</v>
      </c>
      <c r="I886" s="40">
        <v>103</v>
      </c>
      <c r="J886" s="7">
        <v>120</v>
      </c>
      <c r="K886" s="8">
        <v>0.11625615763546812</v>
      </c>
      <c r="L886" s="9">
        <v>5.2843708016121871E-2</v>
      </c>
      <c r="M886" s="10">
        <v>-103.00000000000001</v>
      </c>
      <c r="N886" s="11">
        <v>2.2000000000000002</v>
      </c>
      <c r="O886" s="12">
        <v>26560.547142911932</v>
      </c>
      <c r="P886" s="32" t="s">
        <v>506</v>
      </c>
      <c r="Q886" s="81" t="s">
        <v>76</v>
      </c>
      <c r="R886" s="82" t="s">
        <v>1268</v>
      </c>
      <c r="S886" s="80">
        <v>2916</v>
      </c>
      <c r="T886" s="32">
        <v>2041.1999999999998</v>
      </c>
      <c r="U886" s="32">
        <v>2041.1999999999998</v>
      </c>
      <c r="V886" s="40" t="s">
        <v>82</v>
      </c>
      <c r="W886" s="15"/>
      <c r="X886" s="15"/>
      <c r="Y886" s="16"/>
      <c r="Z886" s="17"/>
      <c r="AA886" s="16"/>
      <c r="AB886" s="99">
        <v>-2041.1999999999998</v>
      </c>
      <c r="AC886" s="20">
        <v>237.30206896551752</v>
      </c>
      <c r="AD886" s="21">
        <v>46072</v>
      </c>
      <c r="AE886" s="22">
        <v>640489.52076726651</v>
      </c>
      <c r="AF886" s="23">
        <v>446276.53593333357</v>
      </c>
      <c r="AG886" s="24">
        <v>548317.73593333387</v>
      </c>
      <c r="AH886" s="15">
        <v>0.5</v>
      </c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</row>
    <row r="887" spans="1:68" ht="15" customHeight="1" x14ac:dyDescent="0.25">
      <c r="A887" s="1">
        <f t="shared" si="55"/>
        <v>451</v>
      </c>
      <c r="B887" s="1" t="str">
        <f t="shared" si="52"/>
        <v xml:space="preserve">Montana </v>
      </c>
      <c r="C887" s="1">
        <f t="shared" si="53"/>
        <v>0</v>
      </c>
      <c r="D887" s="2" t="str">
        <f t="shared" si="54"/>
        <v>2026-02</v>
      </c>
      <c r="E887" s="3" t="s">
        <v>960</v>
      </c>
      <c r="F887" s="4" t="s">
        <v>1197</v>
      </c>
      <c r="G887" s="39">
        <v>46072</v>
      </c>
      <c r="H887" s="40">
        <v>351</v>
      </c>
      <c r="I887" s="40">
        <v>-351</v>
      </c>
      <c r="J887" s="7">
        <v>500</v>
      </c>
      <c r="K887" s="8">
        <v>0.33037694013303781</v>
      </c>
      <c r="L887" s="9">
        <v>5.5062823355506302E-2</v>
      </c>
      <c r="M887" s="10">
        <v>351</v>
      </c>
      <c r="N887" s="11">
        <v>6</v>
      </c>
      <c r="O887" s="12">
        <v>17857.060142808594</v>
      </c>
      <c r="P887" s="32" t="s">
        <v>506</v>
      </c>
      <c r="Q887" s="81" t="s">
        <v>81</v>
      </c>
      <c r="R887" s="82" t="s">
        <v>961</v>
      </c>
      <c r="S887" s="80">
        <v>352</v>
      </c>
      <c r="T887" s="32">
        <v>246.39999999999998</v>
      </c>
      <c r="U887" s="32">
        <v>246.39999999999998</v>
      </c>
      <c r="V887" s="40" t="s">
        <v>82</v>
      </c>
      <c r="W887" s="15"/>
      <c r="X887" s="15"/>
      <c r="Y887" s="16"/>
      <c r="Z887" s="17"/>
      <c r="AA887" s="16"/>
      <c r="AB887" s="99">
        <v>-246.39999999999998</v>
      </c>
      <c r="AC887" s="20">
        <v>81.404878048780503</v>
      </c>
      <c r="AD887" s="21">
        <v>46072</v>
      </c>
      <c r="AE887" s="22">
        <v>643204.01951308933</v>
      </c>
      <c r="AF887" s="23">
        <v>440259.24593333364</v>
      </c>
      <c r="AG887" s="24">
        <v>540505.64593333378</v>
      </c>
      <c r="AH887" s="15">
        <v>0.5</v>
      </c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</row>
    <row r="888" spans="1:68" ht="15" customHeight="1" x14ac:dyDescent="0.25">
      <c r="A888" s="1">
        <f t="shared" si="55"/>
        <v>452</v>
      </c>
      <c r="B888" s="1" t="str">
        <f t="shared" si="52"/>
        <v xml:space="preserve">New </v>
      </c>
      <c r="C888" s="1">
        <f t="shared" si="53"/>
        <v>0</v>
      </c>
      <c r="D888" s="2" t="str">
        <f t="shared" si="54"/>
        <v>2026-02</v>
      </c>
      <c r="E888" s="3" t="s">
        <v>1270</v>
      </c>
      <c r="F888" s="4" t="s">
        <v>1197</v>
      </c>
      <c r="G888" s="39">
        <v>46072</v>
      </c>
      <c r="H888" s="40">
        <v>-170</v>
      </c>
      <c r="I888" s="40">
        <v>170</v>
      </c>
      <c r="J888" s="7">
        <v>-137</v>
      </c>
      <c r="K888" s="8">
        <v>8.9213300892132766E-2</v>
      </c>
      <c r="L888" s="9">
        <v>5.1570557899671687E-2</v>
      </c>
      <c r="M888" s="10">
        <v>-170</v>
      </c>
      <c r="N888" s="11">
        <v>1.7299270072992701</v>
      </c>
      <c r="O888" s="12">
        <v>34145.016640370312</v>
      </c>
      <c r="P888" s="13" t="s">
        <v>506</v>
      </c>
      <c r="Q888" s="13" t="s">
        <v>81</v>
      </c>
      <c r="R888" s="14" t="s">
        <v>1271</v>
      </c>
      <c r="S888" s="13">
        <v>1469</v>
      </c>
      <c r="T888" s="13">
        <v>1028.3</v>
      </c>
      <c r="U888" s="32">
        <v>1028.3</v>
      </c>
      <c r="V888" s="6" t="s">
        <v>77</v>
      </c>
      <c r="W888" s="15"/>
      <c r="X888" s="15"/>
      <c r="Y888" s="16"/>
      <c r="Z888" s="17"/>
      <c r="AA888" s="16"/>
      <c r="AB888" s="24">
        <v>750.58</v>
      </c>
      <c r="AC888" s="20">
        <v>91.738037307380125</v>
      </c>
      <c r="AD888" s="21">
        <v>46072</v>
      </c>
      <c r="AE888" s="22">
        <v>636049.73470221995</v>
      </c>
      <c r="AF888" s="23">
        <v>459487.2159333335</v>
      </c>
      <c r="AG888" s="24">
        <v>558736.63593333389</v>
      </c>
      <c r="AH888" s="15">
        <v>0.5</v>
      </c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</row>
    <row r="889" spans="1:68" ht="15" customHeight="1" x14ac:dyDescent="0.25">
      <c r="A889" s="1">
        <f t="shared" si="55"/>
        <v>453</v>
      </c>
      <c r="B889" s="1" t="str">
        <f t="shared" si="52"/>
        <v xml:space="preserve">Orlando </v>
      </c>
      <c r="C889" s="1">
        <f t="shared" si="53"/>
        <v>1</v>
      </c>
      <c r="D889" s="2" t="str">
        <f t="shared" si="54"/>
        <v>2026-02</v>
      </c>
      <c r="E889" s="3" t="s">
        <v>1272</v>
      </c>
      <c r="F889" s="4" t="s">
        <v>1197</v>
      </c>
      <c r="G889" s="39">
        <v>46072</v>
      </c>
      <c r="H889" s="40">
        <v>-125</v>
      </c>
      <c r="I889" s="40">
        <v>128</v>
      </c>
      <c r="J889" s="7">
        <v>-110</v>
      </c>
      <c r="K889" s="8">
        <v>6.6844919786096232E-2</v>
      </c>
      <c r="L889" s="9">
        <v>3.5014005602240883E-2</v>
      </c>
      <c r="M889" s="10">
        <v>-126.66666666666667</v>
      </c>
      <c r="N889" s="11">
        <v>1.9090909090909092</v>
      </c>
      <c r="O889" s="12">
        <v>19825.722276960791</v>
      </c>
      <c r="P889" s="32" t="s">
        <v>506</v>
      </c>
      <c r="Q889" s="81" t="s">
        <v>92</v>
      </c>
      <c r="R889" s="82" t="s">
        <v>541</v>
      </c>
      <c r="S889" s="80">
        <v>1958</v>
      </c>
      <c r="T889" s="32">
        <v>1370.6</v>
      </c>
      <c r="U889" s="32">
        <v>1370.6</v>
      </c>
      <c r="V889" s="40" t="s">
        <v>77</v>
      </c>
      <c r="W889" s="15"/>
      <c r="X889" s="15"/>
      <c r="Y889" s="16"/>
      <c r="Z889" s="17"/>
      <c r="AA889" s="16"/>
      <c r="AB889" s="99">
        <v>1246</v>
      </c>
      <c r="AC889" s="20">
        <v>91.617647058823493</v>
      </c>
      <c r="AD889" s="21">
        <v>46072</v>
      </c>
      <c r="AE889" s="22">
        <v>643122.61463504052</v>
      </c>
      <c r="AF889" s="23">
        <v>440505.64593333367</v>
      </c>
      <c r="AG889" s="24">
        <v>539259.64593333378</v>
      </c>
      <c r="AH889" s="15">
        <v>0.5</v>
      </c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</row>
    <row r="890" spans="1:68" ht="15" customHeight="1" x14ac:dyDescent="0.25">
      <c r="A890" s="1">
        <f t="shared" si="55"/>
        <v>454</v>
      </c>
      <c r="B890" s="1" t="str">
        <f t="shared" si="52"/>
        <v xml:space="preserve">Phoenix </v>
      </c>
      <c r="C890" s="1">
        <f t="shared" si="53"/>
        <v>0</v>
      </c>
      <c r="D890" s="2" t="str">
        <f t="shared" si="54"/>
        <v>2026-02</v>
      </c>
      <c r="E890" s="3" t="s">
        <v>1273</v>
      </c>
      <c r="F890" s="4" t="s">
        <v>1197</v>
      </c>
      <c r="G890" s="39">
        <v>46072</v>
      </c>
      <c r="H890" s="40">
        <v>105</v>
      </c>
      <c r="I890" s="40">
        <v>-125</v>
      </c>
      <c r="J890" s="7">
        <v>118</v>
      </c>
      <c r="K890" s="8">
        <v>1.922077922077926E-2</v>
      </c>
      <c r="L890" s="9">
        <v>8.8168712021923223E-3</v>
      </c>
      <c r="M890" s="10">
        <v>113.88888888888887</v>
      </c>
      <c r="N890" s="11">
        <v>2.1799999999999997</v>
      </c>
      <c r="O890" s="12">
        <v>4410.1150758383001</v>
      </c>
      <c r="P890" s="32" t="s">
        <v>506</v>
      </c>
      <c r="Q890" s="81" t="s">
        <v>76</v>
      </c>
      <c r="R890" s="82" t="s">
        <v>1274</v>
      </c>
      <c r="S890" s="80">
        <v>4444</v>
      </c>
      <c r="T890" s="32">
        <v>3110.7999999999997</v>
      </c>
      <c r="U890" s="32">
        <v>3110.7999999999997</v>
      </c>
      <c r="V890" s="40" t="s">
        <v>82</v>
      </c>
      <c r="W890" s="15"/>
      <c r="X890" s="15"/>
      <c r="Y890" s="16"/>
      <c r="Z890" s="17"/>
      <c r="AA890" s="16"/>
      <c r="AB890" s="99">
        <v>-3110.7999999999997</v>
      </c>
      <c r="AC890" s="20">
        <v>59.792000000000115</v>
      </c>
      <c r="AD890" s="21">
        <v>46072</v>
      </c>
      <c r="AE890" s="22">
        <v>640793.11195965996</v>
      </c>
      <c r="AF890" s="23">
        <v>438379.81593333359</v>
      </c>
      <c r="AG890" s="24">
        <v>541490.61593333387</v>
      </c>
      <c r="AH890" s="15">
        <v>0.5</v>
      </c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</row>
    <row r="891" spans="1:68" ht="15" customHeight="1" x14ac:dyDescent="0.25">
      <c r="A891" s="1">
        <f t="shared" si="55"/>
        <v>455</v>
      </c>
      <c r="B891" s="1" t="str">
        <f t="shared" si="52"/>
        <v xml:space="preserve">Phoenix </v>
      </c>
      <c r="C891" s="1">
        <f t="shared" si="53"/>
        <v>1</v>
      </c>
      <c r="D891" s="2" t="str">
        <f t="shared" si="54"/>
        <v>2026-02</v>
      </c>
      <c r="E891" s="3" t="s">
        <v>1275</v>
      </c>
      <c r="F891" s="4" t="s">
        <v>1197</v>
      </c>
      <c r="G891" s="39">
        <v>46072</v>
      </c>
      <c r="H891" s="40">
        <v>-125</v>
      </c>
      <c r="I891" s="40">
        <v>125</v>
      </c>
      <c r="J891" s="7">
        <v>-106</v>
      </c>
      <c r="K891" s="8">
        <v>7.9664570230608023E-2</v>
      </c>
      <c r="L891" s="9">
        <v>4.0992448759439082E-2</v>
      </c>
      <c r="M891" s="10">
        <v>-125.00000000000001</v>
      </c>
      <c r="N891" s="11">
        <v>1.9433962264150944</v>
      </c>
      <c r="O891" s="12">
        <v>23372.534850518558</v>
      </c>
      <c r="P891" s="32" t="s">
        <v>506</v>
      </c>
      <c r="Q891" s="81" t="s">
        <v>92</v>
      </c>
      <c r="R891" s="82" t="s">
        <v>1274</v>
      </c>
      <c r="S891" s="80">
        <v>2484</v>
      </c>
      <c r="T891" s="32">
        <v>1738.8</v>
      </c>
      <c r="U891" s="32">
        <v>1738.8</v>
      </c>
      <c r="V891" s="40" t="s">
        <v>82</v>
      </c>
      <c r="W891" s="15"/>
      <c r="X891" s="15"/>
      <c r="Y891" s="16"/>
      <c r="Z891" s="17"/>
      <c r="AA891" s="16"/>
      <c r="AB891" s="99">
        <v>-1738.8</v>
      </c>
      <c r="AC891" s="20">
        <v>138.52075471698123</v>
      </c>
      <c r="AD891" s="21">
        <v>46072</v>
      </c>
      <c r="AE891" s="22">
        <v>640362.28435756394</v>
      </c>
      <c r="AF891" s="23">
        <v>451821.23593333358</v>
      </c>
      <c r="AG891" s="24">
        <v>553560.03593333391</v>
      </c>
      <c r="AH891" s="15">
        <v>0.5</v>
      </c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</row>
    <row r="892" spans="1:68" ht="15" customHeight="1" x14ac:dyDescent="0.25">
      <c r="A892" s="1">
        <f t="shared" si="55"/>
        <v>455</v>
      </c>
      <c r="B892" s="1" t="str">
        <f t="shared" si="52"/>
        <v xml:space="preserve">Phoenix </v>
      </c>
      <c r="C892" s="1">
        <f t="shared" si="53"/>
        <v>1</v>
      </c>
      <c r="D892" s="2" t="str">
        <f t="shared" si="54"/>
        <v>2026-02</v>
      </c>
      <c r="E892" s="3" t="s">
        <v>1276</v>
      </c>
      <c r="F892" s="4" t="s">
        <v>1197</v>
      </c>
      <c r="G892" s="39">
        <v>46072</v>
      </c>
      <c r="H892" s="40">
        <v>105</v>
      </c>
      <c r="I892" s="40">
        <v>-105</v>
      </c>
      <c r="J892" s="7">
        <v>125</v>
      </c>
      <c r="K892" s="8">
        <v>9.7560975609756254E-2</v>
      </c>
      <c r="L892" s="9">
        <v>4.3360433604336113E-2</v>
      </c>
      <c r="M892" s="10">
        <v>104.99999999999997</v>
      </c>
      <c r="N892" s="11">
        <v>2.25</v>
      </c>
      <c r="O892" s="12">
        <v>21009.944036422818</v>
      </c>
      <c r="P892" s="32" t="s">
        <v>506</v>
      </c>
      <c r="Q892" s="81" t="s">
        <v>92</v>
      </c>
      <c r="R892" s="82" t="s">
        <v>1274</v>
      </c>
      <c r="S892" s="80">
        <v>1840</v>
      </c>
      <c r="T892" s="32">
        <v>1288</v>
      </c>
      <c r="U892" s="32">
        <v>1288</v>
      </c>
      <c r="V892" s="40" t="s">
        <v>77</v>
      </c>
      <c r="W892" s="15"/>
      <c r="X892" s="15"/>
      <c r="Y892" s="16"/>
      <c r="Z892" s="17"/>
      <c r="AA892" s="16"/>
      <c r="AB892" s="99">
        <v>1610</v>
      </c>
      <c r="AC892" s="20">
        <v>125.65853658536605</v>
      </c>
      <c r="AD892" s="21">
        <v>46072</v>
      </c>
      <c r="AE892" s="22">
        <v>640918.77049624536</v>
      </c>
      <c r="AF892" s="23">
        <v>439989.81593333359</v>
      </c>
      <c r="AG892" s="24">
        <v>538379.81593333383</v>
      </c>
      <c r="AH892" s="15">
        <v>0.5</v>
      </c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</row>
    <row r="893" spans="1:68" ht="15" customHeight="1" x14ac:dyDescent="0.25">
      <c r="A893" s="1">
        <f t="shared" si="55"/>
        <v>455</v>
      </c>
      <c r="B893" s="1" t="str">
        <f t="shared" si="52"/>
        <v xml:space="preserve">Phoenix </v>
      </c>
      <c r="C893" s="1">
        <f t="shared" si="53"/>
        <v>1</v>
      </c>
      <c r="D893" s="2" t="str">
        <f t="shared" si="54"/>
        <v>2026-02</v>
      </c>
      <c r="E893" s="3" t="s">
        <v>1277</v>
      </c>
      <c r="F893" s="4" t="s">
        <v>1197</v>
      </c>
      <c r="G893" s="39">
        <v>46072</v>
      </c>
      <c r="H893" s="40">
        <v>103</v>
      </c>
      <c r="I893" s="40">
        <v>-103</v>
      </c>
      <c r="J893" s="7">
        <v>140</v>
      </c>
      <c r="K893" s="8">
        <v>0.18226600985221658</v>
      </c>
      <c r="L893" s="9">
        <v>7.5944170771756914E-2</v>
      </c>
      <c r="M893" s="10">
        <v>103.00000000000001</v>
      </c>
      <c r="N893" s="11">
        <v>2.4</v>
      </c>
      <c r="O893" s="12">
        <v>35229.768454492143</v>
      </c>
      <c r="P893" s="32" t="s">
        <v>506</v>
      </c>
      <c r="Q893" s="81" t="s">
        <v>92</v>
      </c>
      <c r="R893" s="82" t="s">
        <v>1274</v>
      </c>
      <c r="S893" s="80">
        <v>1511</v>
      </c>
      <c r="T893" s="32">
        <v>1057.7</v>
      </c>
      <c r="U893" s="32">
        <v>1057.7</v>
      </c>
      <c r="V893" s="40" t="s">
        <v>77</v>
      </c>
      <c r="W893" s="15"/>
      <c r="X893" s="15"/>
      <c r="Y893" s="16"/>
      <c r="Z893" s="17"/>
      <c r="AA893" s="16"/>
      <c r="AB893" s="99">
        <v>1480.78</v>
      </c>
      <c r="AC893" s="20">
        <v>192.78275862068949</v>
      </c>
      <c r="AD893" s="21">
        <v>46072</v>
      </c>
      <c r="AE893" s="22">
        <v>641212.85325486609</v>
      </c>
      <c r="AF893" s="23">
        <v>442686.1959333336</v>
      </c>
      <c r="AG893" s="24">
        <v>541205.4159333338</v>
      </c>
      <c r="AH893" s="15">
        <v>0.5</v>
      </c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</row>
    <row r="894" spans="1:68" ht="15" customHeight="1" x14ac:dyDescent="0.25">
      <c r="A894" s="1">
        <f t="shared" si="55"/>
        <v>455</v>
      </c>
      <c r="B894" s="1" t="str">
        <f t="shared" si="52"/>
        <v xml:space="preserve">Phoenix </v>
      </c>
      <c r="C894" s="1">
        <f t="shared" si="53"/>
        <v>1</v>
      </c>
      <c r="D894" s="2" t="str">
        <f t="shared" si="54"/>
        <v>2026-02</v>
      </c>
      <c r="E894" s="3" t="s">
        <v>1278</v>
      </c>
      <c r="F894" s="4" t="s">
        <v>1197</v>
      </c>
      <c r="G894" s="39">
        <v>46072</v>
      </c>
      <c r="H894" s="40">
        <v>-148</v>
      </c>
      <c r="I894" s="40">
        <v>148</v>
      </c>
      <c r="J894" s="7">
        <v>140</v>
      </c>
      <c r="K894" s="8">
        <v>0.4322580645161293</v>
      </c>
      <c r="L894" s="9">
        <v>0.18010752688172055</v>
      </c>
      <c r="M894" s="10">
        <v>-148.00000000000003</v>
      </c>
      <c r="N894" s="11">
        <v>2.4</v>
      </c>
      <c r="O894" s="12">
        <v>83778.744533487072</v>
      </c>
      <c r="P894" s="32" t="s">
        <v>506</v>
      </c>
      <c r="Q894" s="81" t="s">
        <v>92</v>
      </c>
      <c r="R894" s="82" t="s">
        <v>1274</v>
      </c>
      <c r="S894" s="80">
        <v>1553</v>
      </c>
      <c r="T894" s="32">
        <v>1087.0999999999999</v>
      </c>
      <c r="U894" s="32">
        <v>1087.0999999999999</v>
      </c>
      <c r="V894" s="40" t="s">
        <v>82</v>
      </c>
      <c r="W894" s="15"/>
      <c r="X894" s="15"/>
      <c r="Y894" s="16"/>
      <c r="Z894" s="17"/>
      <c r="AA894" s="16"/>
      <c r="AB894" s="99">
        <v>-1087.0999999999999</v>
      </c>
      <c r="AC894" s="20">
        <v>469.90774193548413</v>
      </c>
      <c r="AD894" s="21">
        <v>46072</v>
      </c>
      <c r="AE894" s="22">
        <v>641682.76099680155</v>
      </c>
      <c r="AF894" s="23">
        <v>441599.09593333362</v>
      </c>
      <c r="AG894" s="24">
        <v>542686.19593333383</v>
      </c>
      <c r="AH894" s="15">
        <v>0.5</v>
      </c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</row>
    <row r="895" spans="1:68" ht="15" customHeight="1" x14ac:dyDescent="0.25">
      <c r="A895" s="1">
        <f t="shared" si="55"/>
        <v>455</v>
      </c>
      <c r="B895" s="1" t="str">
        <f t="shared" si="52"/>
        <v xml:space="preserve">Phoenix </v>
      </c>
      <c r="C895" s="1">
        <f t="shared" si="53"/>
        <v>1</v>
      </c>
      <c r="D895" s="2" t="str">
        <f t="shared" si="54"/>
        <v>2026-02</v>
      </c>
      <c r="E895" s="3" t="s">
        <v>1279</v>
      </c>
      <c r="F895" s="4" t="s">
        <v>1197</v>
      </c>
      <c r="G895" s="39">
        <v>46072</v>
      </c>
      <c r="H895" s="40">
        <v>-181</v>
      </c>
      <c r="I895" s="40">
        <v>181</v>
      </c>
      <c r="J895" s="7">
        <v>108</v>
      </c>
      <c r="K895" s="8">
        <v>0.33978647686832758</v>
      </c>
      <c r="L895" s="9">
        <v>0.16335888310977287</v>
      </c>
      <c r="M895" s="10">
        <v>-181.00000000000003</v>
      </c>
      <c r="N895" s="11">
        <v>2.08</v>
      </c>
      <c r="O895" s="12">
        <v>85198.170686230966</v>
      </c>
      <c r="P895" s="32" t="s">
        <v>506</v>
      </c>
      <c r="Q895" s="81" t="s">
        <v>92</v>
      </c>
      <c r="R895" s="82" t="s">
        <v>1274</v>
      </c>
      <c r="S895" s="80">
        <v>1958</v>
      </c>
      <c r="T895" s="32">
        <v>1370.6</v>
      </c>
      <c r="U895" s="32">
        <v>1370.6</v>
      </c>
      <c r="V895" s="40" t="s">
        <v>82</v>
      </c>
      <c r="W895" s="15"/>
      <c r="X895" s="15"/>
      <c r="Y895" s="16"/>
      <c r="Z895" s="17"/>
      <c r="AA895" s="16"/>
      <c r="AB895" s="99">
        <v>-1370.6</v>
      </c>
      <c r="AC895" s="20">
        <v>465.71134519572973</v>
      </c>
      <c r="AD895" s="21">
        <v>46072</v>
      </c>
      <c r="AE895" s="22">
        <v>642148.47234199732</v>
      </c>
      <c r="AF895" s="23">
        <v>440228.49593333364</v>
      </c>
      <c r="AG895" s="24">
        <v>541599.09593333385</v>
      </c>
      <c r="AH895" s="15">
        <v>0.5</v>
      </c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</row>
    <row r="896" spans="1:68" ht="15" customHeight="1" x14ac:dyDescent="0.25">
      <c r="A896" s="1">
        <f t="shared" si="55"/>
        <v>455</v>
      </c>
      <c r="B896" s="1" t="str">
        <f t="shared" si="52"/>
        <v xml:space="preserve">Phoenix </v>
      </c>
      <c r="C896" s="1">
        <f t="shared" si="53"/>
        <v>1</v>
      </c>
      <c r="D896" s="2" t="str">
        <f t="shared" si="54"/>
        <v>2026-02</v>
      </c>
      <c r="E896" s="3" t="s">
        <v>1280</v>
      </c>
      <c r="F896" s="4" t="s">
        <v>1197</v>
      </c>
      <c r="G896" s="39">
        <v>46072</v>
      </c>
      <c r="H896" s="40">
        <v>-227</v>
      </c>
      <c r="I896" s="40">
        <v>227</v>
      </c>
      <c r="J896" s="7">
        <v>-120</v>
      </c>
      <c r="K896" s="8">
        <v>0.27268093781855263</v>
      </c>
      <c r="L896" s="9">
        <v>0.14873505699193779</v>
      </c>
      <c r="M896" s="10">
        <v>-227</v>
      </c>
      <c r="N896" s="11">
        <v>1.8333333333333335</v>
      </c>
      <c r="O896" s="12">
        <v>88386.007744444563</v>
      </c>
      <c r="P896" s="32" t="s">
        <v>506</v>
      </c>
      <c r="Q896" s="81" t="s">
        <v>92</v>
      </c>
      <c r="R896" s="82" t="s">
        <v>1274</v>
      </c>
      <c r="S896" s="80">
        <v>2579</v>
      </c>
      <c r="T896" s="32">
        <v>1805.3</v>
      </c>
      <c r="U896" s="32">
        <v>1805.3</v>
      </c>
      <c r="V896" s="74" t="s">
        <v>82</v>
      </c>
      <c r="W896" s="15"/>
      <c r="X896" s="15"/>
      <c r="Y896" s="16"/>
      <c r="Z896" s="17"/>
      <c r="AA896" s="16"/>
      <c r="AB896" s="99">
        <v>-1805.3</v>
      </c>
      <c r="AC896" s="20">
        <v>492.27089704383303</v>
      </c>
      <c r="AD896" s="21">
        <v>46072</v>
      </c>
      <c r="AE896" s="22">
        <v>642640.74323904119</v>
      </c>
      <c r="AF896" s="23">
        <v>438423.19593333366</v>
      </c>
      <c r="AG896" s="24">
        <v>540228.49593333388</v>
      </c>
      <c r="AH896" s="15">
        <v>0.5</v>
      </c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</row>
    <row r="897" spans="1:68" ht="15" customHeight="1" x14ac:dyDescent="0.25">
      <c r="A897" s="1">
        <f t="shared" si="55"/>
        <v>455</v>
      </c>
      <c r="B897" s="1" t="str">
        <f t="shared" si="52"/>
        <v xml:space="preserve">Phoenix </v>
      </c>
      <c r="C897" s="1">
        <f t="shared" si="53"/>
        <v>1</v>
      </c>
      <c r="D897" s="2" t="str">
        <f t="shared" si="54"/>
        <v>2026-02</v>
      </c>
      <c r="E897" s="3" t="s">
        <v>1281</v>
      </c>
      <c r="F897" s="4" t="s">
        <v>1197</v>
      </c>
      <c r="G897" s="39">
        <v>46072</v>
      </c>
      <c r="H897" s="40">
        <v>-200</v>
      </c>
      <c r="I897" s="40">
        <v>200</v>
      </c>
      <c r="J897" s="7">
        <v>-122</v>
      </c>
      <c r="K897" s="8">
        <v>0.21311475409836073</v>
      </c>
      <c r="L897" s="9">
        <v>0.11711711711711714</v>
      </c>
      <c r="M897" s="10">
        <v>-199.99999999999994</v>
      </c>
      <c r="N897" s="11">
        <v>1.819672131147541</v>
      </c>
      <c r="O897" s="12">
        <v>69995.01547133342</v>
      </c>
      <c r="P897" s="32" t="s">
        <v>506</v>
      </c>
      <c r="Q897" s="81" t="s">
        <v>92</v>
      </c>
      <c r="R897" s="82" t="s">
        <v>1274</v>
      </c>
      <c r="S897" s="80">
        <v>2579</v>
      </c>
      <c r="T897" s="32">
        <v>1805.3</v>
      </c>
      <c r="U897" s="32">
        <v>1805.3</v>
      </c>
      <c r="V897" s="74" t="s">
        <v>77</v>
      </c>
      <c r="W897" s="15"/>
      <c r="X897" s="15"/>
      <c r="Y897" s="16"/>
      <c r="Z897" s="17"/>
      <c r="AA897" s="16"/>
      <c r="AB897" s="99">
        <v>1479.75</v>
      </c>
      <c r="AC897" s="20">
        <v>384.73606557377059</v>
      </c>
      <c r="AD897" s="21">
        <v>46072</v>
      </c>
      <c r="AE897" s="22">
        <v>643025.47930461494</v>
      </c>
      <c r="AF897" s="23">
        <v>439902.94593333366</v>
      </c>
      <c r="AG897" s="24">
        <v>538423.19593333383</v>
      </c>
      <c r="AH897" s="15">
        <v>0.5</v>
      </c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</row>
    <row r="898" spans="1:68" ht="15" customHeight="1" x14ac:dyDescent="0.25">
      <c r="A898" s="1">
        <f t="shared" si="55"/>
        <v>456</v>
      </c>
      <c r="B898" s="1" t="str">
        <f t="shared" ref="B898:B961" si="56">LEFT(E898, FIND(" ", E898))</f>
        <v xml:space="preserve">Presbyterian </v>
      </c>
      <c r="C898" s="1">
        <f t="shared" ref="C898:C961" si="57">IF(Q898="total", 1, 0)</f>
        <v>0</v>
      </c>
      <c r="D898" s="2" t="str">
        <f t="shared" ref="D898:D961" si="58">YEAR(G898)&amp;"-"&amp;IF(MONTH(G898)&lt;10, "0", "")&amp;MONTH(G898)</f>
        <v>2026-02</v>
      </c>
      <c r="E898" s="3" t="s">
        <v>1282</v>
      </c>
      <c r="F898" s="4" t="s">
        <v>1197</v>
      </c>
      <c r="G898" s="5">
        <v>46072</v>
      </c>
      <c r="H898" s="40">
        <v>104</v>
      </c>
      <c r="I898" s="40">
        <v>-104</v>
      </c>
      <c r="J898" s="7">
        <v>120</v>
      </c>
      <c r="K898" s="8">
        <v>7.8431372549019593E-2</v>
      </c>
      <c r="L898" s="9">
        <v>3.5650623885917998E-2</v>
      </c>
      <c r="M898" s="10">
        <v>104.00000000000001</v>
      </c>
      <c r="N898" s="11">
        <v>2.2000000000000002</v>
      </c>
      <c r="O898" s="12">
        <v>18244.299540305015</v>
      </c>
      <c r="P898" s="13" t="s">
        <v>506</v>
      </c>
      <c r="Q898" s="13" t="s">
        <v>81</v>
      </c>
      <c r="R898" s="14" t="s">
        <v>1283</v>
      </c>
      <c r="S898" s="13">
        <v>881</v>
      </c>
      <c r="T898" s="13">
        <v>616.69999999999993</v>
      </c>
      <c r="U898" s="32">
        <v>616.69999999999993</v>
      </c>
      <c r="V898" s="31" t="s">
        <v>77</v>
      </c>
      <c r="W898" s="15"/>
      <c r="X898" s="15"/>
      <c r="Y898" s="16"/>
      <c r="Z898" s="17"/>
      <c r="AA898" s="16"/>
      <c r="AB898" s="24">
        <v>740.04</v>
      </c>
      <c r="AC898" s="20">
        <v>48.368627450980377</v>
      </c>
      <c r="AD898" s="21">
        <v>46072</v>
      </c>
      <c r="AE898" s="22">
        <v>638967.21614385652</v>
      </c>
      <c r="AF898" s="23">
        <v>459015.60593333357</v>
      </c>
      <c r="AG898" s="24">
        <v>558275.56593333371</v>
      </c>
      <c r="AH898" s="15">
        <v>0.5</v>
      </c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</row>
    <row r="899" spans="1:68" ht="15" customHeight="1" x14ac:dyDescent="0.25">
      <c r="A899" s="1">
        <f t="shared" si="55"/>
        <v>457</v>
      </c>
      <c r="B899" s="1" t="str">
        <f t="shared" si="56"/>
        <v xml:space="preserve">Sacramento </v>
      </c>
      <c r="C899" s="1">
        <f t="shared" si="57"/>
        <v>0</v>
      </c>
      <c r="D899" s="2" t="str">
        <f t="shared" si="58"/>
        <v>2026-02</v>
      </c>
      <c r="E899" s="3" t="s">
        <v>795</v>
      </c>
      <c r="F899" s="4" t="s">
        <v>1197</v>
      </c>
      <c r="G899" s="39">
        <v>46072</v>
      </c>
      <c r="H899" s="40">
        <v>-109</v>
      </c>
      <c r="I899" s="40">
        <v>109</v>
      </c>
      <c r="J899" s="7">
        <v>105</v>
      </c>
      <c r="K899" s="8">
        <v>6.9138755980861041E-2</v>
      </c>
      <c r="L899" s="9">
        <v>3.3726222429688313E-2</v>
      </c>
      <c r="M899" s="10">
        <v>-108.99999999999999</v>
      </c>
      <c r="N899" s="11">
        <v>2.0499999999999998</v>
      </c>
      <c r="O899" s="12">
        <v>17933.152776798022</v>
      </c>
      <c r="P899" s="32" t="s">
        <v>506</v>
      </c>
      <c r="Q899" s="81" t="s">
        <v>76</v>
      </c>
      <c r="R899" s="82" t="s">
        <v>854</v>
      </c>
      <c r="S899" s="80">
        <v>3357</v>
      </c>
      <c r="T899" s="32">
        <v>2349.8999999999996</v>
      </c>
      <c r="U899" s="32">
        <v>2349.8999999999996</v>
      </c>
      <c r="V899" s="74" t="s">
        <v>82</v>
      </c>
      <c r="W899" s="15"/>
      <c r="X899" s="15"/>
      <c r="Y899" s="16"/>
      <c r="Z899" s="17"/>
      <c r="AA899" s="16"/>
      <c r="AB899" s="99">
        <v>-2349.8999999999996</v>
      </c>
      <c r="AC899" s="20">
        <v>162.46916267942532</v>
      </c>
      <c r="AD899" s="21">
        <v>46072</v>
      </c>
      <c r="AE899" s="22">
        <v>643618.13341261086</v>
      </c>
      <c r="AF899" s="23">
        <v>442346.34593333362</v>
      </c>
      <c r="AG899" s="24">
        <v>544696.24593333376</v>
      </c>
      <c r="AH899" s="15">
        <v>0.5</v>
      </c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</row>
    <row r="900" spans="1:68" ht="15" customHeight="1" x14ac:dyDescent="0.25">
      <c r="A900" s="1">
        <f t="shared" ref="A900:A963" si="59">IF(AND(B900=B899, C900=C899, G900=G899), A899, A899+1)</f>
        <v>458</v>
      </c>
      <c r="B900" s="1" t="str">
        <f t="shared" si="56"/>
        <v xml:space="preserve">USC </v>
      </c>
      <c r="C900" s="1">
        <f t="shared" si="57"/>
        <v>0</v>
      </c>
      <c r="D900" s="2" t="str">
        <f t="shared" si="58"/>
        <v>2026-02</v>
      </c>
      <c r="E900" s="3" t="s">
        <v>1284</v>
      </c>
      <c r="F900" s="4" t="s">
        <v>1197</v>
      </c>
      <c r="G900" s="5">
        <v>46072</v>
      </c>
      <c r="H900" s="40">
        <v>-120</v>
      </c>
      <c r="I900" s="40">
        <v>120</v>
      </c>
      <c r="J900" s="7">
        <v>-139</v>
      </c>
      <c r="K900" s="8">
        <v>-6.213211249182482E-2</v>
      </c>
      <c r="L900" s="9">
        <v>-3.613541270445042E-2</v>
      </c>
      <c r="M900" s="10">
        <v>-119.99999999999997</v>
      </c>
      <c r="N900" s="11">
        <v>1.7194244604316546</v>
      </c>
      <c r="O900" s="12">
        <v>-24116.35955166673</v>
      </c>
      <c r="P900" s="13" t="s">
        <v>506</v>
      </c>
      <c r="Q900" s="13" t="s">
        <v>76</v>
      </c>
      <c r="R900" s="14" t="s">
        <v>1285</v>
      </c>
      <c r="S900" s="13">
        <v>993</v>
      </c>
      <c r="T900" s="13">
        <v>695.09999999999991</v>
      </c>
      <c r="U900" s="32">
        <v>695.09999999999991</v>
      </c>
      <c r="V900" s="31" t="s">
        <v>77</v>
      </c>
      <c r="W900" s="15"/>
      <c r="X900" s="15"/>
      <c r="Y900" s="16"/>
      <c r="Z900" s="17"/>
      <c r="AA900" s="16"/>
      <c r="AB900" s="24">
        <v>500.07</v>
      </c>
      <c r="AC900" s="20">
        <v>-43.188031393067426</v>
      </c>
      <c r="AD900" s="21">
        <v>46072</v>
      </c>
      <c r="AE900" s="22">
        <v>636170.0663693914</v>
      </c>
      <c r="AF900" s="23">
        <v>458984.18593333353</v>
      </c>
      <c r="AG900" s="24">
        <v>558484.11593333387</v>
      </c>
      <c r="AH900" s="15">
        <v>0.5</v>
      </c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</row>
    <row r="901" spans="1:68" ht="15" customHeight="1" x14ac:dyDescent="0.25">
      <c r="A901" s="1">
        <f t="shared" si="59"/>
        <v>459</v>
      </c>
      <c r="B901" s="1" t="str">
        <f t="shared" si="56"/>
        <v xml:space="preserve">UT </v>
      </c>
      <c r="C901" s="1">
        <f t="shared" si="57"/>
        <v>0</v>
      </c>
      <c r="D901" s="2" t="str">
        <f t="shared" si="58"/>
        <v>2026-02</v>
      </c>
      <c r="E901" s="3" t="s">
        <v>1286</v>
      </c>
      <c r="F901" s="4" t="s">
        <v>1197</v>
      </c>
      <c r="G901" s="39">
        <v>46072</v>
      </c>
      <c r="H901" s="40">
        <v>135</v>
      </c>
      <c r="I901" s="40">
        <v>-135</v>
      </c>
      <c r="J901" s="7">
        <v>190</v>
      </c>
      <c r="K901" s="8">
        <v>0.23404255319148928</v>
      </c>
      <c r="L901" s="9">
        <v>8.070432868672045E-2</v>
      </c>
      <c r="M901" s="10">
        <v>135</v>
      </c>
      <c r="N901" s="11">
        <v>2.9</v>
      </c>
      <c r="O901" s="12">
        <v>34518.679704740593</v>
      </c>
      <c r="P901" s="32" t="s">
        <v>506</v>
      </c>
      <c r="Q901" s="81" t="s">
        <v>81</v>
      </c>
      <c r="R901" s="82" t="s">
        <v>1287</v>
      </c>
      <c r="S901" s="80">
        <v>562</v>
      </c>
      <c r="T901" s="32">
        <v>393.4</v>
      </c>
      <c r="U901" s="32">
        <v>393.4</v>
      </c>
      <c r="V901" s="74" t="s">
        <v>82</v>
      </c>
      <c r="W901" s="15"/>
      <c r="X901" s="15"/>
      <c r="Y901" s="16"/>
      <c r="Z901" s="17"/>
      <c r="AA901" s="16"/>
      <c r="AB901" s="99">
        <v>-393.4</v>
      </c>
      <c r="AC901" s="20">
        <v>92.072340425531877</v>
      </c>
      <c r="AD901" s="21">
        <v>46072</v>
      </c>
      <c r="AE901" s="22">
        <v>639407.71069612284</v>
      </c>
      <c r="AF901" s="23">
        <v>460064.43593333359</v>
      </c>
      <c r="AG901" s="24">
        <v>560457.83593333384</v>
      </c>
      <c r="AH901" s="15">
        <v>0.5</v>
      </c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</row>
    <row r="902" spans="1:68" ht="15" customHeight="1" x14ac:dyDescent="0.25">
      <c r="A902" s="1">
        <f t="shared" si="59"/>
        <v>460</v>
      </c>
      <c r="B902" s="1" t="str">
        <f t="shared" si="56"/>
        <v xml:space="preserve">Weber </v>
      </c>
      <c r="C902" s="1">
        <f t="shared" si="57"/>
        <v>0</v>
      </c>
      <c r="D902" s="2" t="str">
        <f t="shared" si="58"/>
        <v>2026-02</v>
      </c>
      <c r="E902" s="3" t="s">
        <v>1288</v>
      </c>
      <c r="F902" s="4" t="s">
        <v>1197</v>
      </c>
      <c r="G902" s="39">
        <v>46072</v>
      </c>
      <c r="H902" s="40">
        <v>-200</v>
      </c>
      <c r="I902" s="40">
        <v>200</v>
      </c>
      <c r="J902" s="7">
        <v>-175</v>
      </c>
      <c r="K902" s="8">
        <v>4.7619047619047575E-2</v>
      </c>
      <c r="L902" s="9">
        <v>3.0303030303030276E-2</v>
      </c>
      <c r="M902" s="10">
        <v>-199.99999999999994</v>
      </c>
      <c r="N902" s="11">
        <v>1.5714285714285714</v>
      </c>
      <c r="O902" s="12">
        <v>22499.575663888889</v>
      </c>
      <c r="P902" s="32" t="s">
        <v>506</v>
      </c>
      <c r="Q902" s="81" t="s">
        <v>81</v>
      </c>
      <c r="R902" s="82" t="s">
        <v>1289</v>
      </c>
      <c r="S902" s="80">
        <v>3039</v>
      </c>
      <c r="T902" s="32">
        <v>2127.2999999999997</v>
      </c>
      <c r="U902" s="32">
        <v>2127.2999999999997</v>
      </c>
      <c r="V902" s="74" t="s">
        <v>77</v>
      </c>
      <c r="W902" s="15"/>
      <c r="X902" s="15"/>
      <c r="Y902" s="16"/>
      <c r="Z902" s="17"/>
      <c r="AA902" s="16"/>
      <c r="AB902" s="99">
        <v>1215.5999999999999</v>
      </c>
      <c r="AC902" s="20">
        <v>101.2999999999999</v>
      </c>
      <c r="AD902" s="21">
        <v>46072</v>
      </c>
      <c r="AE902" s="22">
        <v>641020.0704962454</v>
      </c>
      <c r="AF902" s="23">
        <v>441205.41593333357</v>
      </c>
      <c r="AG902" s="24">
        <v>539989.81593333383</v>
      </c>
      <c r="AH902" s="15">
        <v>0.5</v>
      </c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</row>
    <row r="903" spans="1:68" ht="15" customHeight="1" x14ac:dyDescent="0.25">
      <c r="A903" s="1">
        <f t="shared" si="59"/>
        <v>461</v>
      </c>
      <c r="B903" s="1" t="str">
        <f t="shared" si="56"/>
        <v xml:space="preserve">Rider </v>
      </c>
      <c r="C903" s="1">
        <f t="shared" si="57"/>
        <v>0</v>
      </c>
      <c r="D903" s="2" t="str">
        <f t="shared" si="58"/>
        <v>2026-02</v>
      </c>
      <c r="E903" s="3" t="s">
        <v>1290</v>
      </c>
      <c r="F903" s="4" t="s">
        <v>1291</v>
      </c>
      <c r="G903" s="39">
        <v>46073</v>
      </c>
      <c r="H903" s="40">
        <v>-117</v>
      </c>
      <c r="I903" s="40">
        <v>117</v>
      </c>
      <c r="J903" s="7">
        <v>118</v>
      </c>
      <c r="K903" s="8">
        <v>0.17539170506912422</v>
      </c>
      <c r="L903" s="9">
        <v>8.0454910582167083E-2</v>
      </c>
      <c r="M903" s="10">
        <v>-117</v>
      </c>
      <c r="N903" s="11">
        <v>2.1799999999999997</v>
      </c>
      <c r="O903" s="12">
        <v>41040.265211713391</v>
      </c>
      <c r="P903" s="32" t="s">
        <v>506</v>
      </c>
      <c r="Q903" s="81" t="s">
        <v>76</v>
      </c>
      <c r="R903" s="82" t="s">
        <v>1292</v>
      </c>
      <c r="S903" s="80">
        <v>282</v>
      </c>
      <c r="T903" s="32">
        <v>197.39999999999998</v>
      </c>
      <c r="U903" s="32">
        <v>197.39999999999998</v>
      </c>
      <c r="V903" s="74" t="s">
        <v>82</v>
      </c>
      <c r="W903" s="15"/>
      <c r="X903" s="15"/>
      <c r="Y903" s="16"/>
      <c r="Z903" s="17"/>
      <c r="AA903" s="16"/>
      <c r="AB903" s="99">
        <v>-197.39999999999998</v>
      </c>
      <c r="AC903" s="20">
        <v>34.622322580645118</v>
      </c>
      <c r="AD903" s="21">
        <v>46073</v>
      </c>
      <c r="AE903" s="22">
        <v>646561.29498639959</v>
      </c>
      <c r="AF903" s="23">
        <v>452023.84593333362</v>
      </c>
      <c r="AG903" s="24">
        <v>552221.24593333376</v>
      </c>
      <c r="AH903" s="15">
        <v>0.5</v>
      </c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</row>
    <row r="904" spans="1:68" ht="15" customHeight="1" x14ac:dyDescent="0.25">
      <c r="A904" s="1">
        <f t="shared" si="59"/>
        <v>462</v>
      </c>
      <c r="B904" s="1" t="str">
        <f t="shared" si="56"/>
        <v xml:space="preserve">California </v>
      </c>
      <c r="C904" s="1">
        <f t="shared" si="57"/>
        <v>0</v>
      </c>
      <c r="D904" s="2" t="str">
        <f t="shared" si="58"/>
        <v>2026-02</v>
      </c>
      <c r="E904" s="3" t="s">
        <v>1293</v>
      </c>
      <c r="F904" s="4" t="s">
        <v>1291</v>
      </c>
      <c r="G904" s="39">
        <v>46074</v>
      </c>
      <c r="H904" s="40">
        <v>-111</v>
      </c>
      <c r="I904" s="40">
        <v>111</v>
      </c>
      <c r="J904" s="7">
        <v>120</v>
      </c>
      <c r="K904" s="8">
        <v>0.15734597156398106</v>
      </c>
      <c r="L904" s="9">
        <v>7.1520896165445935E-2</v>
      </c>
      <c r="M904" s="10">
        <v>-111</v>
      </c>
      <c r="N904" s="11">
        <v>2.2000000000000002</v>
      </c>
      <c r="O904" s="12">
        <v>35825.406431648262</v>
      </c>
      <c r="P904" s="32" t="s">
        <v>506</v>
      </c>
      <c r="Q904" s="80" t="s">
        <v>76</v>
      </c>
      <c r="R904" s="82" t="s">
        <v>835</v>
      </c>
      <c r="S904" s="32">
        <v>900</v>
      </c>
      <c r="T904" s="32">
        <v>630</v>
      </c>
      <c r="U904" s="32">
        <v>630</v>
      </c>
      <c r="V904" s="74" t="s">
        <v>82</v>
      </c>
      <c r="W904" s="15"/>
      <c r="X904" s="15"/>
      <c r="Y904" s="16"/>
      <c r="Z904" s="17"/>
      <c r="AA904" s="16"/>
      <c r="AB904" s="99">
        <v>-630</v>
      </c>
      <c r="AC904" s="20">
        <v>99.12796208530807</v>
      </c>
      <c r="AD904" s="21">
        <v>46074</v>
      </c>
      <c r="AE904" s="22">
        <v>649099.31759084598</v>
      </c>
      <c r="AF904" s="23">
        <v>445815.35593333369</v>
      </c>
      <c r="AG904" s="24">
        <v>546445.35593333375</v>
      </c>
      <c r="AH904" s="15">
        <v>0.5</v>
      </c>
      <c r="AI904" s="76"/>
      <c r="AJ904" s="77"/>
      <c r="AK904" s="77"/>
      <c r="AL904" s="77"/>
      <c r="AM904" s="77"/>
      <c r="AN904" s="76"/>
      <c r="AO904" s="76"/>
      <c r="AP904" s="77"/>
      <c r="AQ904" s="77"/>
      <c r="AR904" s="77"/>
      <c r="AS904" s="77"/>
      <c r="AT904" s="77"/>
      <c r="AU904" s="77"/>
      <c r="AV904" s="77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  <c r="BK904" s="77"/>
      <c r="BL904" s="77"/>
      <c r="BM904" s="77"/>
      <c r="BN904" s="77"/>
      <c r="BO904" s="77"/>
      <c r="BP904" s="77"/>
    </row>
    <row r="905" spans="1:68" ht="15" customHeight="1" x14ac:dyDescent="0.25">
      <c r="A905" s="1">
        <f t="shared" si="59"/>
        <v>462</v>
      </c>
      <c r="B905" s="1" t="str">
        <f t="shared" si="56"/>
        <v xml:space="preserve">California </v>
      </c>
      <c r="C905" s="1">
        <f t="shared" si="57"/>
        <v>0</v>
      </c>
      <c r="D905" s="2" t="str">
        <f t="shared" si="58"/>
        <v>2026-02</v>
      </c>
      <c r="E905" s="3" t="s">
        <v>1293</v>
      </c>
      <c r="F905" s="4" t="s">
        <v>1291</v>
      </c>
      <c r="G905" s="39">
        <v>46074</v>
      </c>
      <c r="H905" s="40">
        <v>108</v>
      </c>
      <c r="I905" s="40">
        <v>-108</v>
      </c>
      <c r="J905" s="7">
        <v>128</v>
      </c>
      <c r="K905" s="8">
        <v>9.6153846153846118E-2</v>
      </c>
      <c r="L905" s="9">
        <v>4.2172739541160575E-2</v>
      </c>
      <c r="M905" s="10">
        <v>107.99999999999999</v>
      </c>
      <c r="N905" s="11">
        <v>2.2800000000000002</v>
      </c>
      <c r="O905" s="12">
        <v>20500.877251101767</v>
      </c>
      <c r="P905" s="32" t="s">
        <v>506</v>
      </c>
      <c r="Q905" s="80" t="s">
        <v>76</v>
      </c>
      <c r="R905" s="82" t="s">
        <v>835</v>
      </c>
      <c r="S905" s="32">
        <v>900</v>
      </c>
      <c r="T905" s="32">
        <v>630</v>
      </c>
      <c r="U905" s="32">
        <v>630</v>
      </c>
      <c r="V905" s="74" t="s">
        <v>82</v>
      </c>
      <c r="W905" s="15"/>
      <c r="X905" s="15"/>
      <c r="Y905" s="16"/>
      <c r="Z905" s="17"/>
      <c r="AA905" s="16"/>
      <c r="AB905" s="99">
        <v>-630</v>
      </c>
      <c r="AC905" s="20">
        <v>60.576923076923052</v>
      </c>
      <c r="AD905" s="21">
        <v>46074</v>
      </c>
      <c r="AE905" s="22">
        <v>649159.89451392286</v>
      </c>
      <c r="AF905" s="23">
        <v>445185.35593333369</v>
      </c>
      <c r="AG905" s="24">
        <v>545815.35593333375</v>
      </c>
      <c r="AH905" s="15">
        <v>0.5</v>
      </c>
      <c r="AI905" s="76"/>
      <c r="AJ905" s="77"/>
      <c r="AK905" s="77"/>
      <c r="AL905" s="77"/>
      <c r="AM905" s="77"/>
      <c r="AN905" s="76"/>
      <c r="AO905" s="76"/>
      <c r="AP905" s="77"/>
      <c r="AQ905" s="77"/>
      <c r="AR905" s="77"/>
      <c r="AS905" s="77"/>
      <c r="AT905" s="77"/>
      <c r="AU905" s="77"/>
      <c r="AV905" s="77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  <c r="BK905" s="77"/>
      <c r="BL905" s="77"/>
      <c r="BM905" s="77"/>
      <c r="BN905" s="77"/>
      <c r="BO905" s="77"/>
      <c r="BP905" s="76"/>
    </row>
    <row r="906" spans="1:68" ht="15" customHeight="1" x14ac:dyDescent="0.25">
      <c r="A906" s="1">
        <f t="shared" si="59"/>
        <v>462</v>
      </c>
      <c r="B906" s="1" t="str">
        <f t="shared" si="56"/>
        <v xml:space="preserve">California </v>
      </c>
      <c r="C906" s="1">
        <f t="shared" si="57"/>
        <v>0</v>
      </c>
      <c r="D906" s="2" t="str">
        <f t="shared" si="58"/>
        <v>2026-02</v>
      </c>
      <c r="E906" s="3" t="s">
        <v>1294</v>
      </c>
      <c r="F906" s="4" t="s">
        <v>1291</v>
      </c>
      <c r="G906" s="39">
        <v>46074</v>
      </c>
      <c r="H906" s="40">
        <v>-123</v>
      </c>
      <c r="I906" s="40">
        <v>123</v>
      </c>
      <c r="J906" s="7">
        <v>-103</v>
      </c>
      <c r="K906" s="8">
        <v>8.7073882189037374E-2</v>
      </c>
      <c r="L906" s="9">
        <v>4.4180344164881036E-2</v>
      </c>
      <c r="M906" s="10">
        <v>-123.00000000000001</v>
      </c>
      <c r="N906" s="11">
        <v>1.970873786407767</v>
      </c>
      <c r="O906" s="12">
        <v>24447.773808669666</v>
      </c>
      <c r="P906" s="32" t="s">
        <v>506</v>
      </c>
      <c r="Q906" s="80" t="s">
        <v>76</v>
      </c>
      <c r="R906" s="82" t="s">
        <v>835</v>
      </c>
      <c r="S906" s="32">
        <v>1200</v>
      </c>
      <c r="T906" s="32">
        <v>840</v>
      </c>
      <c r="U906" s="32">
        <v>840</v>
      </c>
      <c r="V906" s="74" t="s">
        <v>82</v>
      </c>
      <c r="W906" s="15"/>
      <c r="X906" s="15"/>
      <c r="Y906" s="16"/>
      <c r="Z906" s="17"/>
      <c r="AA906" s="16"/>
      <c r="AB906" s="99">
        <v>-840</v>
      </c>
      <c r="AC906" s="20">
        <v>73.142061038791397</v>
      </c>
      <c r="AD906" s="21">
        <v>46074</v>
      </c>
      <c r="AE906" s="22">
        <v>649233.03657496162</v>
      </c>
      <c r="AF906" s="23">
        <v>444345.35593333369</v>
      </c>
      <c r="AG906" s="24">
        <v>545185.35593333375</v>
      </c>
      <c r="AH906" s="15">
        <v>0.5</v>
      </c>
      <c r="AI906" s="76"/>
      <c r="AJ906" s="77"/>
      <c r="AK906" s="77"/>
      <c r="AL906" s="77"/>
      <c r="AM906" s="77"/>
      <c r="AN906" s="76"/>
      <c r="AO906" s="76"/>
      <c r="AP906" s="77"/>
      <c r="AQ906" s="77"/>
      <c r="AR906" s="77"/>
      <c r="AS906" s="77"/>
      <c r="AT906" s="77"/>
      <c r="AU906" s="77"/>
      <c r="AV906" s="77"/>
      <c r="AW906" s="77"/>
      <c r="AX906" s="77"/>
      <c r="AY906" s="77"/>
      <c r="AZ906" s="77"/>
      <c r="BA906" s="77"/>
      <c r="BB906" s="76"/>
      <c r="BC906" s="76"/>
      <c r="BD906" s="77"/>
      <c r="BE906" s="77"/>
      <c r="BF906" s="77"/>
      <c r="BG906" s="77"/>
      <c r="BH906" s="77"/>
      <c r="BI906" s="77"/>
      <c r="BJ906" s="77"/>
      <c r="BK906" s="77"/>
      <c r="BL906" s="77"/>
      <c r="BM906" s="77"/>
      <c r="BN906" s="77"/>
      <c r="BO906" s="77"/>
      <c r="BP906" s="76"/>
    </row>
    <row r="907" spans="1:68" ht="15" customHeight="1" x14ac:dyDescent="0.25">
      <c r="A907" s="1">
        <f t="shared" si="59"/>
        <v>463</v>
      </c>
      <c r="B907" s="1" t="str">
        <f t="shared" si="56"/>
        <v xml:space="preserve">Clemson </v>
      </c>
      <c r="C907" s="1">
        <f t="shared" si="57"/>
        <v>0</v>
      </c>
      <c r="D907" s="2" t="str">
        <f t="shared" si="58"/>
        <v>2026-02</v>
      </c>
      <c r="E907" s="3" t="s">
        <v>1295</v>
      </c>
      <c r="F907" s="4" t="s">
        <v>1291</v>
      </c>
      <c r="G907" s="71">
        <v>46074</v>
      </c>
      <c r="H907" s="40">
        <v>-126</v>
      </c>
      <c r="I907" s="40">
        <v>126</v>
      </c>
      <c r="J907" s="7">
        <v>-106</v>
      </c>
      <c r="K907" s="8">
        <v>8.348639171815013E-2</v>
      </c>
      <c r="L907" s="9">
        <v>4.2959017097688901E-2</v>
      </c>
      <c r="M907" s="10">
        <v>-126.00000000000004</v>
      </c>
      <c r="N907" s="11">
        <v>1.9433962264150944</v>
      </c>
      <c r="O907" s="12">
        <v>24014.827253687385</v>
      </c>
      <c r="P907" s="32" t="s">
        <v>506</v>
      </c>
      <c r="Q907" s="78" t="s">
        <v>76</v>
      </c>
      <c r="R907" s="79" t="s">
        <v>1296</v>
      </c>
      <c r="S907" s="32">
        <v>1200</v>
      </c>
      <c r="T907" s="32">
        <v>840</v>
      </c>
      <c r="U907" s="32">
        <v>840</v>
      </c>
      <c r="V907" s="74" t="s">
        <v>82</v>
      </c>
      <c r="W907" s="15"/>
      <c r="X907" s="15"/>
      <c r="Y907" s="16"/>
      <c r="Z907" s="17"/>
      <c r="AA907" s="16"/>
      <c r="AB907" s="99">
        <v>-840</v>
      </c>
      <c r="AC907" s="20">
        <v>70.128569043246102</v>
      </c>
      <c r="AD907" s="21">
        <v>46074</v>
      </c>
      <c r="AE907" s="22">
        <v>647715.10147216415</v>
      </c>
      <c r="AF907" s="23">
        <v>441895.09593333362</v>
      </c>
      <c r="AG907" s="24">
        <v>542735.09593333374</v>
      </c>
      <c r="AH907" s="15">
        <v>0.5</v>
      </c>
      <c r="AI907" s="76"/>
      <c r="AJ907" s="76"/>
      <c r="AK907" s="76"/>
      <c r="AL907" s="76"/>
      <c r="AM907" s="76"/>
      <c r="AN907" s="77"/>
      <c r="AO907" s="77"/>
      <c r="AP907" s="77"/>
      <c r="AQ907" s="77"/>
      <c r="AR907" s="77"/>
      <c r="AS907" s="77"/>
      <c r="AT907" s="77"/>
      <c r="AU907" s="77"/>
      <c r="AV907" s="77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  <c r="BK907" s="77"/>
      <c r="BL907" s="77"/>
      <c r="BM907" s="77"/>
      <c r="BN907" s="77"/>
      <c r="BO907" s="77"/>
      <c r="BP907" s="77"/>
    </row>
    <row r="908" spans="1:68" ht="15" customHeight="1" x14ac:dyDescent="0.25">
      <c r="A908" s="1">
        <f t="shared" si="59"/>
        <v>464</v>
      </c>
      <c r="B908" s="1" t="str">
        <f t="shared" si="56"/>
        <v xml:space="preserve">Coastal </v>
      </c>
      <c r="C908" s="1">
        <f t="shared" si="57"/>
        <v>0</v>
      </c>
      <c r="D908" s="2" t="str">
        <f t="shared" si="58"/>
        <v>2026-02</v>
      </c>
      <c r="E908" s="3" t="s">
        <v>1297</v>
      </c>
      <c r="F908" s="4" t="s">
        <v>1291</v>
      </c>
      <c r="G908" s="71">
        <v>46074</v>
      </c>
      <c r="H908" s="40">
        <v>100</v>
      </c>
      <c r="I908" s="40">
        <v>-100</v>
      </c>
      <c r="J908" s="7">
        <v>112</v>
      </c>
      <c r="K908" s="8">
        <v>6.0000000000000109E-2</v>
      </c>
      <c r="L908" s="9">
        <v>2.8301886792452879E-2</v>
      </c>
      <c r="M908" s="10">
        <v>100</v>
      </c>
      <c r="N908" s="11">
        <v>2.12</v>
      </c>
      <c r="O908" s="12">
        <v>14515.047212500036</v>
      </c>
      <c r="P908" s="32" t="s">
        <v>506</v>
      </c>
      <c r="Q908" s="78" t="s">
        <v>76</v>
      </c>
      <c r="R908" s="79" t="s">
        <v>1233</v>
      </c>
      <c r="S908" s="32">
        <v>0</v>
      </c>
      <c r="T908" s="32">
        <v>0</v>
      </c>
      <c r="U908" s="32">
        <v>0</v>
      </c>
      <c r="V908" s="74" t="s">
        <v>88</v>
      </c>
      <c r="W908" s="15"/>
      <c r="X908" s="15"/>
      <c r="Y908" s="16"/>
      <c r="Z908" s="17"/>
      <c r="AA908" s="16"/>
      <c r="AB908" s="99" t="s">
        <v>89</v>
      </c>
      <c r="AC908" s="20">
        <v>0</v>
      </c>
      <c r="AD908" s="21">
        <v>46074</v>
      </c>
      <c r="AE908" s="22">
        <v>647715.10147216415</v>
      </c>
      <c r="AF908" s="23">
        <v>441895.09593333362</v>
      </c>
      <c r="AG908" s="24">
        <v>541895.09593333374</v>
      </c>
      <c r="AH908" s="15">
        <v>0.5</v>
      </c>
      <c r="AI908" s="76"/>
      <c r="AJ908" s="76"/>
      <c r="AK908" s="76"/>
      <c r="AL908" s="76"/>
      <c r="AM908" s="76"/>
      <c r="AN908" s="77"/>
      <c r="AO908" s="77"/>
      <c r="AP908" s="77"/>
      <c r="AQ908" s="77"/>
      <c r="AR908" s="77"/>
      <c r="AS908" s="77"/>
      <c r="AT908" s="77"/>
      <c r="AU908" s="77"/>
      <c r="AV908" s="77"/>
      <c r="AW908" s="77"/>
      <c r="AX908" s="76"/>
      <c r="AY908" s="76"/>
      <c r="AZ908" s="76"/>
      <c r="BA908" s="76"/>
      <c r="BB908" s="76"/>
      <c r="BC908" s="76"/>
      <c r="BD908" s="77"/>
      <c r="BE908" s="77"/>
      <c r="BF908" s="77"/>
      <c r="BG908" s="77"/>
      <c r="BH908" s="77"/>
      <c r="BI908" s="77"/>
      <c r="BJ908" s="77"/>
      <c r="BK908" s="77"/>
      <c r="BL908" s="77"/>
      <c r="BM908" s="77"/>
      <c r="BN908" s="77"/>
      <c r="BO908" s="77"/>
      <c r="BP908" s="77"/>
    </row>
    <row r="909" spans="1:68" ht="15" customHeight="1" x14ac:dyDescent="0.25">
      <c r="A909" s="1">
        <f t="shared" si="59"/>
        <v>465</v>
      </c>
      <c r="B909" s="1" t="str">
        <f t="shared" si="56"/>
        <v xml:space="preserve">Cornell </v>
      </c>
      <c r="C909" s="1">
        <f t="shared" si="57"/>
        <v>0</v>
      </c>
      <c r="D909" s="2" t="str">
        <f t="shared" si="58"/>
        <v>2026-02</v>
      </c>
      <c r="E909" s="3" t="s">
        <v>1298</v>
      </c>
      <c r="F909" s="4" t="s">
        <v>1291</v>
      </c>
      <c r="G909" s="39">
        <v>46074</v>
      </c>
      <c r="H909" s="40">
        <v>100</v>
      </c>
      <c r="I909" s="40">
        <v>-100</v>
      </c>
      <c r="J909" s="7">
        <v>135</v>
      </c>
      <c r="K909" s="8">
        <v>0.17499999999999999</v>
      </c>
      <c r="L909" s="9">
        <v>7.4468085106382975E-2</v>
      </c>
      <c r="M909" s="10">
        <v>100</v>
      </c>
      <c r="N909" s="11">
        <v>2.35</v>
      </c>
      <c r="O909" s="12">
        <v>35066.434921604967</v>
      </c>
      <c r="P909" s="32" t="s">
        <v>506</v>
      </c>
      <c r="Q909" s="78" t="s">
        <v>81</v>
      </c>
      <c r="R909" s="79" t="s">
        <v>1299</v>
      </c>
      <c r="S909" s="32">
        <v>435</v>
      </c>
      <c r="T909" s="32">
        <v>304.5</v>
      </c>
      <c r="U909" s="32">
        <v>304.5</v>
      </c>
      <c r="V909" s="74" t="s">
        <v>82</v>
      </c>
      <c r="W909" s="15"/>
      <c r="X909" s="15"/>
      <c r="Y909" s="16"/>
      <c r="Z909" s="17"/>
      <c r="AA909" s="16"/>
      <c r="AB909" s="99">
        <v>-304.5</v>
      </c>
      <c r="AC909" s="20">
        <v>53.287499999999994</v>
      </c>
      <c r="AD909" s="21">
        <v>46074</v>
      </c>
      <c r="AE909" s="22">
        <v>647872.16735212866</v>
      </c>
      <c r="AF909" s="23">
        <v>440720.49593333364</v>
      </c>
      <c r="AG909" s="24">
        <v>541024.99593333376</v>
      </c>
      <c r="AH909" s="15">
        <v>0.5</v>
      </c>
      <c r="AI909" s="76"/>
      <c r="AJ909" s="76"/>
      <c r="AK909" s="76"/>
      <c r="AL909" s="76"/>
      <c r="AM909" s="76"/>
      <c r="AN909" s="76"/>
      <c r="AO909" s="76"/>
      <c r="AP909" s="77"/>
      <c r="AQ909" s="77"/>
      <c r="AR909" s="77"/>
      <c r="AS909" s="77"/>
      <c r="AT909" s="77"/>
      <c r="AU909" s="77"/>
      <c r="AV909" s="77"/>
      <c r="AW909" s="77"/>
      <c r="AX909" s="76"/>
      <c r="AY909" s="76"/>
      <c r="AZ909" s="76"/>
      <c r="BA909" s="76"/>
      <c r="BB909" s="76"/>
      <c r="BC909" s="76"/>
      <c r="BD909" s="77"/>
      <c r="BE909" s="77"/>
      <c r="BF909" s="77"/>
      <c r="BG909" s="77"/>
      <c r="BH909" s="77"/>
      <c r="BI909" s="77"/>
      <c r="BJ909" s="77"/>
      <c r="BK909" s="77"/>
      <c r="BL909" s="77"/>
      <c r="BM909" s="77"/>
      <c r="BN909" s="77"/>
      <c r="BO909" s="77"/>
      <c r="BP909" s="76"/>
    </row>
    <row r="910" spans="1:68" ht="15" customHeight="1" x14ac:dyDescent="0.25">
      <c r="A910" s="1">
        <f t="shared" si="59"/>
        <v>466</v>
      </c>
      <c r="B910" s="1" t="str">
        <f t="shared" si="56"/>
        <v xml:space="preserve">Duquesne </v>
      </c>
      <c r="C910" s="1">
        <f t="shared" si="57"/>
        <v>0</v>
      </c>
      <c r="D910" s="2" t="str">
        <f t="shared" si="58"/>
        <v>2026-02</v>
      </c>
      <c r="E910" s="3" t="s">
        <v>1300</v>
      </c>
      <c r="F910" s="4" t="s">
        <v>1291</v>
      </c>
      <c r="G910" s="39">
        <v>46074</v>
      </c>
      <c r="H910" s="40">
        <v>115</v>
      </c>
      <c r="I910" s="40">
        <v>-115</v>
      </c>
      <c r="J910" s="7">
        <v>125</v>
      </c>
      <c r="K910" s="8">
        <v>4.651162790697666E-2</v>
      </c>
      <c r="L910" s="9">
        <v>2.067183462532296E-2</v>
      </c>
      <c r="M910" s="10">
        <v>115.00000000000001</v>
      </c>
      <c r="N910" s="11">
        <v>2.25</v>
      </c>
      <c r="O910" s="12">
        <v>10168.346156899213</v>
      </c>
      <c r="P910" s="32" t="s">
        <v>506</v>
      </c>
      <c r="Q910" s="78" t="s">
        <v>81</v>
      </c>
      <c r="R910" s="73" t="s">
        <v>964</v>
      </c>
      <c r="S910" s="32">
        <v>282</v>
      </c>
      <c r="T910" s="32">
        <v>197.39999999999998</v>
      </c>
      <c r="U910" s="32">
        <v>197.39999999999998</v>
      </c>
      <c r="V910" s="74" t="s">
        <v>77</v>
      </c>
      <c r="W910" s="15"/>
      <c r="X910" s="15"/>
      <c r="Y910" s="16"/>
      <c r="Z910" s="17"/>
      <c r="AA910" s="16"/>
      <c r="AB910" s="99">
        <v>246.75</v>
      </c>
      <c r="AC910" s="20">
        <v>9.1813953488371922</v>
      </c>
      <c r="AD910" s="21">
        <v>46074</v>
      </c>
      <c r="AE910" s="22">
        <v>648961.3007398718</v>
      </c>
      <c r="AF910" s="23">
        <v>446795.35593333369</v>
      </c>
      <c r="AG910" s="24">
        <v>546548.60593333375</v>
      </c>
      <c r="AH910" s="15">
        <v>0.5</v>
      </c>
      <c r="AI910" s="76"/>
      <c r="AJ910" s="76"/>
      <c r="AK910" s="76"/>
      <c r="AL910" s="76"/>
      <c r="AM910" s="76"/>
      <c r="AN910" s="77"/>
      <c r="AO910" s="77"/>
      <c r="AP910" s="77"/>
      <c r="AQ910" s="77"/>
      <c r="AR910" s="77"/>
      <c r="AS910" s="77"/>
      <c r="AT910" s="77"/>
      <c r="AU910" s="77"/>
      <c r="AV910" s="77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  <c r="BK910" s="77"/>
      <c r="BL910" s="77"/>
      <c r="BM910" s="77"/>
      <c r="BN910" s="77"/>
      <c r="BO910" s="77"/>
      <c r="BP910" s="77"/>
    </row>
    <row r="911" spans="1:68" ht="15" customHeight="1" x14ac:dyDescent="0.25">
      <c r="A911" s="1">
        <f t="shared" si="59"/>
        <v>467</v>
      </c>
      <c r="B911" s="1" t="str">
        <f t="shared" si="56"/>
        <v xml:space="preserve">Georgetown </v>
      </c>
      <c r="C911" s="1">
        <f t="shared" si="57"/>
        <v>1</v>
      </c>
      <c r="D911" s="2" t="str">
        <f t="shared" si="58"/>
        <v>2026-02</v>
      </c>
      <c r="E911" s="3" t="s">
        <v>1301</v>
      </c>
      <c r="F911" s="4" t="s">
        <v>1291</v>
      </c>
      <c r="G911" s="39">
        <v>46074</v>
      </c>
      <c r="H911" s="40">
        <v>-132</v>
      </c>
      <c r="I911" s="40">
        <v>132</v>
      </c>
      <c r="J911" s="7">
        <v>-109</v>
      </c>
      <c r="K911" s="8">
        <v>9.0952230306865084E-2</v>
      </c>
      <c r="L911" s="9">
        <v>4.7434416762910492E-2</v>
      </c>
      <c r="M911" s="10">
        <v>-132.00000000000003</v>
      </c>
      <c r="N911" s="11">
        <v>1.9174311926605505</v>
      </c>
      <c r="O911" s="12">
        <v>26982.636177729957</v>
      </c>
      <c r="P911" s="32" t="s">
        <v>506</v>
      </c>
      <c r="Q911" s="80" t="s">
        <v>92</v>
      </c>
      <c r="R911" s="82" t="s">
        <v>666</v>
      </c>
      <c r="S911" s="32">
        <v>128</v>
      </c>
      <c r="T911" s="32">
        <v>89.6</v>
      </c>
      <c r="U911" s="32">
        <v>89.6</v>
      </c>
      <c r="V911" s="74" t="s">
        <v>82</v>
      </c>
      <c r="W911" s="15"/>
      <c r="X911" s="15"/>
      <c r="Y911" s="16"/>
      <c r="Z911" s="17"/>
      <c r="AA911" s="16"/>
      <c r="AB911" s="99">
        <v>-89.6</v>
      </c>
      <c r="AC911" s="20">
        <v>8.1493198354951115</v>
      </c>
      <c r="AD911" s="21">
        <v>46074</v>
      </c>
      <c r="AE911" s="22">
        <v>649241.18589479709</v>
      </c>
      <c r="AF911" s="23">
        <v>444255.75593333371</v>
      </c>
      <c r="AG911" s="24">
        <v>544345.35593333375</v>
      </c>
      <c r="AH911" s="15">
        <v>0.5</v>
      </c>
      <c r="AI911" s="76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  <c r="AV911" s="77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  <c r="BK911" s="77"/>
      <c r="BL911" s="77"/>
      <c r="BM911" s="77"/>
      <c r="BN911" s="77"/>
      <c r="BO911" s="77"/>
      <c r="BP911" s="77"/>
    </row>
    <row r="912" spans="1:68" ht="15" customHeight="1" x14ac:dyDescent="0.25">
      <c r="A912" s="1">
        <f t="shared" si="59"/>
        <v>468</v>
      </c>
      <c r="B912" s="1" t="str">
        <f t="shared" si="56"/>
        <v xml:space="preserve">Georgia </v>
      </c>
      <c r="C912" s="1">
        <f t="shared" si="57"/>
        <v>1</v>
      </c>
      <c r="D912" s="2" t="str">
        <f t="shared" si="58"/>
        <v>2026-02</v>
      </c>
      <c r="E912" s="3" t="s">
        <v>1302</v>
      </c>
      <c r="F912" s="4" t="s">
        <v>1291</v>
      </c>
      <c r="G912" s="39">
        <v>46074</v>
      </c>
      <c r="H912" s="40">
        <v>-107</v>
      </c>
      <c r="I912" s="40">
        <v>107</v>
      </c>
      <c r="J912" s="7">
        <v>112</v>
      </c>
      <c r="K912" s="8">
        <v>9.5845410628019601E-2</v>
      </c>
      <c r="L912" s="9">
        <v>4.5210099352839428E-2</v>
      </c>
      <c r="M912" s="10">
        <v>-107.00000000000003</v>
      </c>
      <c r="N912" s="11">
        <v>2.12</v>
      </c>
      <c r="O912" s="12">
        <v>23303.499964021248</v>
      </c>
      <c r="P912" s="32" t="s">
        <v>506</v>
      </c>
      <c r="Q912" s="72" t="s">
        <v>92</v>
      </c>
      <c r="R912" s="73" t="s">
        <v>1055</v>
      </c>
      <c r="S912" s="32">
        <v>630</v>
      </c>
      <c r="T912" s="32">
        <v>441</v>
      </c>
      <c r="U912" s="32">
        <v>441</v>
      </c>
      <c r="V912" s="74" t="s">
        <v>77</v>
      </c>
      <c r="W912" s="15"/>
      <c r="X912" s="15"/>
      <c r="Y912" s="16"/>
      <c r="Z912" s="17"/>
      <c r="AA912" s="16"/>
      <c r="AB912" s="99">
        <v>493.92</v>
      </c>
      <c r="AC912" s="20">
        <v>42.267826086956646</v>
      </c>
      <c r="AD912" s="21">
        <v>46074</v>
      </c>
      <c r="AE912" s="22">
        <v>648842.7418532524</v>
      </c>
      <c r="AF912" s="23">
        <v>445119.26593333366</v>
      </c>
      <c r="AG912" s="24">
        <v>544625.34593333374</v>
      </c>
      <c r="AH912" s="15">
        <v>0.5</v>
      </c>
      <c r="AI912" s="76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  <c r="AV912" s="77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  <c r="BK912" s="77"/>
      <c r="BL912" s="77"/>
      <c r="BM912" s="77"/>
      <c r="BN912" s="77"/>
      <c r="BO912" s="77"/>
      <c r="BP912" s="77"/>
    </row>
    <row r="913" spans="1:68" ht="15" customHeight="1" x14ac:dyDescent="0.25">
      <c r="A913" s="1">
        <f t="shared" si="59"/>
        <v>469</v>
      </c>
      <c r="B913" s="1" t="str">
        <f t="shared" si="56"/>
        <v xml:space="preserve">Miami </v>
      </c>
      <c r="C913" s="1">
        <f t="shared" si="57"/>
        <v>1</v>
      </c>
      <c r="D913" s="2" t="str">
        <f t="shared" si="58"/>
        <v>2026-02</v>
      </c>
      <c r="E913" s="3" t="s">
        <v>1303</v>
      </c>
      <c r="F913" s="4" t="s">
        <v>1291</v>
      </c>
      <c r="G913" s="39">
        <v>46074</v>
      </c>
      <c r="H913" s="40">
        <v>107</v>
      </c>
      <c r="I913" s="40">
        <v>-107</v>
      </c>
      <c r="J913" s="7">
        <v>130</v>
      </c>
      <c r="K913" s="8">
        <v>0.11111111111111083</v>
      </c>
      <c r="L913" s="9">
        <v>4.8309178743961234E-2</v>
      </c>
      <c r="M913" s="10">
        <v>107</v>
      </c>
      <c r="N913" s="11">
        <v>2.2999999999999998</v>
      </c>
      <c r="O913" s="12">
        <v>23367.322903133863</v>
      </c>
      <c r="P913" s="32" t="s">
        <v>506</v>
      </c>
      <c r="Q913" s="78" t="s">
        <v>92</v>
      </c>
      <c r="R913" s="73" t="s">
        <v>964</v>
      </c>
      <c r="S913" s="32">
        <v>500</v>
      </c>
      <c r="T913" s="32">
        <v>350</v>
      </c>
      <c r="U913" s="32">
        <v>350</v>
      </c>
      <c r="V913" s="74" t="s">
        <v>82</v>
      </c>
      <c r="W913" s="15"/>
      <c r="X913" s="15"/>
      <c r="Y913" s="16"/>
      <c r="Z913" s="17"/>
      <c r="AA913" s="16"/>
      <c r="AB913" s="99">
        <v>-350</v>
      </c>
      <c r="AC913" s="20">
        <v>38.888888888888786</v>
      </c>
      <c r="AD913" s="21">
        <v>46074</v>
      </c>
      <c r="AE913" s="22">
        <v>649000.18962876068</v>
      </c>
      <c r="AF913" s="23">
        <v>446445.35593333369</v>
      </c>
      <c r="AG913" s="24">
        <v>546795.35593333375</v>
      </c>
      <c r="AH913" s="15">
        <v>0.5</v>
      </c>
      <c r="AI913" s="76"/>
      <c r="AJ913" s="76"/>
      <c r="AK913" s="76"/>
      <c r="AL913" s="76"/>
      <c r="AM913" s="76"/>
      <c r="AN913" s="77"/>
      <c r="AO913" s="77"/>
      <c r="AP913" s="77"/>
      <c r="AQ913" s="77"/>
      <c r="AR913" s="77"/>
      <c r="AS913" s="77"/>
      <c r="AT913" s="77"/>
      <c r="AU913" s="77"/>
      <c r="AV913" s="77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  <c r="BK913" s="77"/>
      <c r="BL913" s="77"/>
      <c r="BM913" s="77"/>
      <c r="BN913" s="77"/>
      <c r="BO913" s="77"/>
      <c r="BP913" s="77"/>
    </row>
    <row r="914" spans="1:68" ht="15" customHeight="1" x14ac:dyDescent="0.25">
      <c r="A914" s="1">
        <f t="shared" si="59"/>
        <v>470</v>
      </c>
      <c r="B914" s="1" t="str">
        <f t="shared" si="56"/>
        <v xml:space="preserve">Nebraska </v>
      </c>
      <c r="C914" s="1">
        <f t="shared" si="57"/>
        <v>0</v>
      </c>
      <c r="D914" s="2" t="str">
        <f t="shared" si="58"/>
        <v>2026-02</v>
      </c>
      <c r="E914" s="3" t="s">
        <v>1304</v>
      </c>
      <c r="F914" s="4" t="s">
        <v>1291</v>
      </c>
      <c r="G914" s="39">
        <v>46074</v>
      </c>
      <c r="H914" s="40">
        <v>129</v>
      </c>
      <c r="I914" s="40">
        <v>-129</v>
      </c>
      <c r="J914" s="7">
        <v>170</v>
      </c>
      <c r="K914" s="8">
        <v>0.17903930131004378</v>
      </c>
      <c r="L914" s="9">
        <v>6.631085233705325E-2</v>
      </c>
      <c r="M914" s="10">
        <v>129</v>
      </c>
      <c r="N914" s="11">
        <v>2.7</v>
      </c>
      <c r="O914" s="12">
        <v>28535.446870365653</v>
      </c>
      <c r="P914" s="32" t="s">
        <v>506</v>
      </c>
      <c r="Q914" s="78" t="s">
        <v>76</v>
      </c>
      <c r="R914" s="79" t="s">
        <v>607</v>
      </c>
      <c r="S914" s="32">
        <v>500</v>
      </c>
      <c r="T914" s="32">
        <v>350</v>
      </c>
      <c r="U914" s="32">
        <v>350</v>
      </c>
      <c r="V914" s="74" t="s">
        <v>82</v>
      </c>
      <c r="W914" s="15"/>
      <c r="X914" s="15"/>
      <c r="Y914" s="16"/>
      <c r="Z914" s="17"/>
      <c r="AA914" s="16"/>
      <c r="AB914" s="99">
        <v>-350</v>
      </c>
      <c r="AC914" s="20">
        <v>62.663755458515325</v>
      </c>
      <c r="AD914" s="21">
        <v>46074</v>
      </c>
      <c r="AE914" s="22">
        <v>647777.7652276227</v>
      </c>
      <c r="AF914" s="23">
        <v>441545.09593333362</v>
      </c>
      <c r="AG914" s="24">
        <v>541895.09593333374</v>
      </c>
      <c r="AH914" s="15">
        <v>0.5</v>
      </c>
      <c r="AI914" s="76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  <c r="AV914" s="77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  <c r="BK914" s="77"/>
      <c r="BL914" s="77"/>
      <c r="BM914" s="77"/>
      <c r="BN914" s="77"/>
      <c r="BO914" s="77"/>
      <c r="BP914" s="77"/>
    </row>
    <row r="915" spans="1:68" ht="15" customHeight="1" x14ac:dyDescent="0.25">
      <c r="A915" s="1">
        <f t="shared" si="59"/>
        <v>471</v>
      </c>
      <c r="B915" s="1" t="str">
        <f t="shared" si="56"/>
        <v xml:space="preserve">North </v>
      </c>
      <c r="C915" s="1">
        <f t="shared" si="57"/>
        <v>1</v>
      </c>
      <c r="D915" s="2" t="str">
        <f t="shared" si="58"/>
        <v>2026-02</v>
      </c>
      <c r="E915" s="3" t="s">
        <v>1305</v>
      </c>
      <c r="F915" s="4" t="s">
        <v>1291</v>
      </c>
      <c r="G915" s="39">
        <v>46074</v>
      </c>
      <c r="H915" s="40">
        <v>-130</v>
      </c>
      <c r="I915" s="40">
        <v>130</v>
      </c>
      <c r="J915" s="7">
        <v>-110</v>
      </c>
      <c r="K915" s="8">
        <v>7.9051383399209557E-2</v>
      </c>
      <c r="L915" s="9">
        <v>4.1407867494824058E-2</v>
      </c>
      <c r="M915" s="10">
        <v>-130.00000000000003</v>
      </c>
      <c r="N915" s="11">
        <v>1.9090909090909092</v>
      </c>
      <c r="O915" s="12">
        <v>23545.438953623223</v>
      </c>
      <c r="P915" s="32" t="s">
        <v>506</v>
      </c>
      <c r="Q915" s="78" t="s">
        <v>92</v>
      </c>
      <c r="R915" s="79" t="s">
        <v>946</v>
      </c>
      <c r="S915" s="32">
        <v>743</v>
      </c>
      <c r="T915" s="32">
        <v>520.1</v>
      </c>
      <c r="U915" s="32">
        <v>520.1</v>
      </c>
      <c r="V915" s="74" t="s">
        <v>82</v>
      </c>
      <c r="W915" s="15"/>
      <c r="X915" s="15"/>
      <c r="Y915" s="16"/>
      <c r="Z915" s="17"/>
      <c r="AA915" s="16"/>
      <c r="AB915" s="99">
        <v>-520.1</v>
      </c>
      <c r="AC915" s="20">
        <v>41.114624505928894</v>
      </c>
      <c r="AD915" s="21">
        <v>46074</v>
      </c>
      <c r="AE915" s="22">
        <v>647818.87985212868</v>
      </c>
      <c r="AF915" s="23">
        <v>441024.99593333364</v>
      </c>
      <c r="AG915" s="24">
        <v>541545.09593333374</v>
      </c>
      <c r="AH915" s="15">
        <v>0.5</v>
      </c>
      <c r="AI915" s="76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  <c r="BK915" s="77"/>
      <c r="BL915" s="77"/>
      <c r="BM915" s="77"/>
      <c r="BN915" s="77"/>
      <c r="BO915" s="77"/>
      <c r="BP915" s="77"/>
    </row>
    <row r="916" spans="1:68" ht="15" customHeight="1" x14ac:dyDescent="0.25">
      <c r="A916" s="1">
        <f t="shared" si="59"/>
        <v>472</v>
      </c>
      <c r="B916" s="1" t="str">
        <f t="shared" si="56"/>
        <v xml:space="preserve">St. </v>
      </c>
      <c r="C916" s="1">
        <f t="shared" si="57"/>
        <v>0</v>
      </c>
      <c r="D916" s="2" t="str">
        <f t="shared" si="58"/>
        <v>2026-02</v>
      </c>
      <c r="E916" s="3" t="s">
        <v>1306</v>
      </c>
      <c r="F916" s="4" t="s">
        <v>1291</v>
      </c>
      <c r="G916" s="71">
        <v>46074</v>
      </c>
      <c r="H916" s="40">
        <v>114</v>
      </c>
      <c r="I916" s="40">
        <v>-114</v>
      </c>
      <c r="J916" s="7">
        <v>130</v>
      </c>
      <c r="K916" s="8">
        <v>7.4766355140186924E-2</v>
      </c>
      <c r="L916" s="9">
        <v>3.2507110930516059E-2</v>
      </c>
      <c r="M916" s="10">
        <v>113.99999999999999</v>
      </c>
      <c r="N916" s="11">
        <v>2.2999999999999998</v>
      </c>
      <c r="O916" s="12">
        <v>15624.158042655179</v>
      </c>
      <c r="P916" s="32" t="s">
        <v>506</v>
      </c>
      <c r="Q916" s="78" t="s">
        <v>76</v>
      </c>
      <c r="R916" s="79" t="s">
        <v>597</v>
      </c>
      <c r="S916" s="32">
        <v>850</v>
      </c>
      <c r="T916" s="32">
        <v>595</v>
      </c>
      <c r="U916" s="32">
        <v>595</v>
      </c>
      <c r="V916" s="74" t="s">
        <v>82</v>
      </c>
      <c r="W916" s="15"/>
      <c r="X916" s="15"/>
      <c r="Y916" s="16"/>
      <c r="Z916" s="17"/>
      <c r="AA916" s="16"/>
      <c r="AB916" s="99">
        <v>-595</v>
      </c>
      <c r="AC916" s="20">
        <v>44.485981308411219</v>
      </c>
      <c r="AD916" s="21">
        <v>46074</v>
      </c>
      <c r="AE916" s="22">
        <v>647644.97290312091</v>
      </c>
      <c r="AF916" s="23">
        <v>442735.09593333362</v>
      </c>
      <c r="AG916" s="24">
        <v>543330.09593333374</v>
      </c>
      <c r="AH916" s="15">
        <v>0.5</v>
      </c>
      <c r="AI916" s="76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  <c r="AV916" s="77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  <c r="BK916" s="77"/>
      <c r="BL916" s="77"/>
      <c r="BM916" s="77"/>
      <c r="BN916" s="77"/>
      <c r="BO916" s="77"/>
      <c r="BP916" s="77"/>
    </row>
    <row r="917" spans="1:68" ht="15" customHeight="1" x14ac:dyDescent="0.25">
      <c r="A917" s="1">
        <f t="shared" si="59"/>
        <v>473</v>
      </c>
      <c r="B917" s="1" t="str">
        <f t="shared" si="56"/>
        <v xml:space="preserve">Texas </v>
      </c>
      <c r="C917" s="1">
        <f t="shared" si="57"/>
        <v>0</v>
      </c>
      <c r="D917" s="2" t="str">
        <f t="shared" si="58"/>
        <v>2026-02</v>
      </c>
      <c r="E917" s="3" t="s">
        <v>1307</v>
      </c>
      <c r="F917" s="4" t="s">
        <v>1291</v>
      </c>
      <c r="G917" s="39">
        <v>46074</v>
      </c>
      <c r="H917" s="40">
        <v>119</v>
      </c>
      <c r="I917" s="40">
        <v>-119</v>
      </c>
      <c r="J917" s="7">
        <v>138</v>
      </c>
      <c r="K917" s="8">
        <v>8.6757990867579959E-2</v>
      </c>
      <c r="L917" s="9">
        <v>3.6452937339319313E-2</v>
      </c>
      <c r="M917" s="10">
        <v>118.99999999999999</v>
      </c>
      <c r="N917" s="11">
        <v>2.38</v>
      </c>
      <c r="O917" s="12">
        <v>17135.308802748576</v>
      </c>
      <c r="P917" s="32" t="s">
        <v>506</v>
      </c>
      <c r="Q917" s="78" t="s">
        <v>76</v>
      </c>
      <c r="R917" s="73" t="s">
        <v>1176</v>
      </c>
      <c r="S917" s="32">
        <v>784</v>
      </c>
      <c r="T917" s="32">
        <v>548.79999999999995</v>
      </c>
      <c r="U917" s="32">
        <v>548.79999999999995</v>
      </c>
      <c r="V917" s="74" t="s">
        <v>77</v>
      </c>
      <c r="W917" s="15"/>
      <c r="X917" s="15"/>
      <c r="Y917" s="16"/>
      <c r="Z917" s="17"/>
      <c r="AA917" s="16"/>
      <c r="AB917" s="99">
        <v>757.34</v>
      </c>
      <c r="AC917" s="20">
        <v>47.612785388127875</v>
      </c>
      <c r="AD917" s="21">
        <v>46074</v>
      </c>
      <c r="AE917" s="22">
        <v>648890.35463864054</v>
      </c>
      <c r="AF917" s="23">
        <v>445876.60593333369</v>
      </c>
      <c r="AG917" s="24">
        <v>545119.26593333378</v>
      </c>
      <c r="AH917" s="15">
        <v>0.5</v>
      </c>
      <c r="AI917" s="76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  <c r="AV917" s="77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  <c r="BK917" s="77"/>
      <c r="BL917" s="77"/>
      <c r="BM917" s="77"/>
      <c r="BN917" s="77"/>
      <c r="BO917" s="77"/>
      <c r="BP917" s="77"/>
    </row>
    <row r="918" spans="1:68" ht="15" customHeight="1" x14ac:dyDescent="0.25">
      <c r="A918" s="1">
        <f t="shared" si="59"/>
        <v>473</v>
      </c>
      <c r="B918" s="1" t="str">
        <f t="shared" si="56"/>
        <v xml:space="preserve">Texas </v>
      </c>
      <c r="C918" s="1">
        <f t="shared" si="57"/>
        <v>0</v>
      </c>
      <c r="D918" s="2" t="str">
        <f t="shared" si="58"/>
        <v>2026-02</v>
      </c>
      <c r="E918" s="3" t="s">
        <v>1308</v>
      </c>
      <c r="F918" s="4" t="s">
        <v>1291</v>
      </c>
      <c r="G918" s="39">
        <v>46074</v>
      </c>
      <c r="H918" s="40">
        <v>104</v>
      </c>
      <c r="I918" s="40">
        <v>-104</v>
      </c>
      <c r="J918" s="7">
        <v>128</v>
      </c>
      <c r="K918" s="8">
        <v>0.11764705882352942</v>
      </c>
      <c r="L918" s="9">
        <v>5.1599587203302377E-2</v>
      </c>
      <c r="M918" s="10">
        <v>104.00000000000001</v>
      </c>
      <c r="N918" s="11">
        <v>2.2800000000000002</v>
      </c>
      <c r="O918" s="12">
        <v>25086.241081495114</v>
      </c>
      <c r="P918" s="32" t="s">
        <v>506</v>
      </c>
      <c r="Q918" s="78" t="s">
        <v>76</v>
      </c>
      <c r="R918" s="73" t="s">
        <v>1176</v>
      </c>
      <c r="S918" s="32">
        <v>750</v>
      </c>
      <c r="T918" s="32">
        <v>525</v>
      </c>
      <c r="U918" s="32">
        <v>525</v>
      </c>
      <c r="V918" s="74" t="s">
        <v>77</v>
      </c>
      <c r="W918" s="15"/>
      <c r="X918" s="15"/>
      <c r="Y918" s="16"/>
      <c r="Z918" s="17"/>
      <c r="AA918" s="16"/>
      <c r="AB918" s="99">
        <v>672</v>
      </c>
      <c r="AC918" s="20">
        <v>61.764705882352949</v>
      </c>
      <c r="AD918" s="21">
        <v>46074</v>
      </c>
      <c r="AE918" s="22">
        <v>648952.11934452294</v>
      </c>
      <c r="AF918" s="23">
        <v>446548.60593333369</v>
      </c>
      <c r="AG918" s="24">
        <v>545876.60593333375</v>
      </c>
      <c r="AH918" s="15">
        <v>0.5</v>
      </c>
      <c r="AI918" s="76"/>
      <c r="AJ918" s="76"/>
      <c r="AK918" s="76"/>
      <c r="AL918" s="76"/>
      <c r="AM918" s="76"/>
      <c r="AN918" s="77"/>
      <c r="AO918" s="77"/>
      <c r="AP918" s="77"/>
      <c r="AQ918" s="77"/>
      <c r="AR918" s="77"/>
      <c r="AS918" s="77"/>
      <c r="AT918" s="77"/>
      <c r="AU918" s="77"/>
      <c r="AV918" s="77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  <c r="BK918" s="77"/>
      <c r="BL918" s="77"/>
      <c r="BM918" s="77"/>
      <c r="BN918" s="77"/>
      <c r="BO918" s="77"/>
      <c r="BP918" s="77"/>
    </row>
    <row r="919" spans="1:68" ht="15" customHeight="1" x14ac:dyDescent="0.25">
      <c r="A919" s="1">
        <f t="shared" si="59"/>
        <v>474</v>
      </c>
      <c r="B919" s="1" t="str">
        <f t="shared" si="56"/>
        <v xml:space="preserve">UL </v>
      </c>
      <c r="C919" s="1">
        <f t="shared" si="57"/>
        <v>0</v>
      </c>
      <c r="D919" s="2" t="str">
        <f t="shared" si="58"/>
        <v>2026-02</v>
      </c>
      <c r="E919" s="3" t="s">
        <v>1309</v>
      </c>
      <c r="F919" s="4" t="s">
        <v>1291</v>
      </c>
      <c r="G919" s="71">
        <v>46074</v>
      </c>
      <c r="H919" s="40">
        <v>-108</v>
      </c>
      <c r="I919" s="40">
        <v>108</v>
      </c>
      <c r="J919" s="7">
        <v>110</v>
      </c>
      <c r="K919" s="8">
        <v>9.0384615384615535E-2</v>
      </c>
      <c r="L919" s="9">
        <v>4.3040293040293109E-2</v>
      </c>
      <c r="M919" s="10">
        <v>-108.00000000000001</v>
      </c>
      <c r="N919" s="11">
        <v>2.1</v>
      </c>
      <c r="O919" s="12">
        <v>22312.637682575809</v>
      </c>
      <c r="P919" s="32" t="s">
        <v>506</v>
      </c>
      <c r="Q919" s="78" t="s">
        <v>76</v>
      </c>
      <c r="R919" s="79" t="s">
        <v>1310</v>
      </c>
      <c r="S919" s="32">
        <v>300</v>
      </c>
      <c r="T919" s="32">
        <v>210</v>
      </c>
      <c r="U919" s="32">
        <v>210</v>
      </c>
      <c r="V919" s="74" t="s">
        <v>77</v>
      </c>
      <c r="W919" s="15"/>
      <c r="X919" s="15"/>
      <c r="Y919" s="16"/>
      <c r="Z919" s="17"/>
      <c r="AA919" s="16"/>
      <c r="AB919" s="99">
        <v>231</v>
      </c>
      <c r="AC919" s="20">
        <v>18.980769230769262</v>
      </c>
      <c r="AD919" s="21">
        <v>46074</v>
      </c>
      <c r="AE919" s="22">
        <v>647600.48692181252</v>
      </c>
      <c r="AF919" s="23">
        <v>443330.09593333362</v>
      </c>
      <c r="AG919" s="24">
        <v>543099.09593333374</v>
      </c>
      <c r="AH919" s="15">
        <v>0.5</v>
      </c>
      <c r="AI919" s="76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  <c r="BK919" s="77"/>
      <c r="BL919" s="77"/>
      <c r="BM919" s="77"/>
      <c r="BN919" s="77"/>
      <c r="BO919" s="77"/>
      <c r="BP919" s="77"/>
    </row>
    <row r="920" spans="1:68" ht="15" customHeight="1" x14ac:dyDescent="0.25">
      <c r="A920" s="1">
        <f t="shared" si="59"/>
        <v>475</v>
      </c>
      <c r="B920" s="1" t="str">
        <f t="shared" si="56"/>
        <v xml:space="preserve">Virginia </v>
      </c>
      <c r="C920" s="1">
        <f t="shared" si="57"/>
        <v>0</v>
      </c>
      <c r="D920" s="2" t="str">
        <f t="shared" si="58"/>
        <v>2026-02</v>
      </c>
      <c r="E920" s="3" t="s">
        <v>1311</v>
      </c>
      <c r="F920" s="4" t="s">
        <v>1291</v>
      </c>
      <c r="G920" s="39">
        <v>46074</v>
      </c>
      <c r="H920" s="40">
        <v>-168</v>
      </c>
      <c r="I920" s="40">
        <v>168</v>
      </c>
      <c r="J920" s="7">
        <v>108</v>
      </c>
      <c r="K920" s="8">
        <v>0.30388059701492531</v>
      </c>
      <c r="L920" s="9">
        <v>0.14609644087256024</v>
      </c>
      <c r="M920" s="10">
        <v>-167.99999999999994</v>
      </c>
      <c r="N920" s="11">
        <v>2.08</v>
      </c>
      <c r="O920" s="12">
        <v>76071.512556679605</v>
      </c>
      <c r="P920" s="32" t="s">
        <v>506</v>
      </c>
      <c r="Q920" s="78" t="s">
        <v>81</v>
      </c>
      <c r="R920" s="79" t="s">
        <v>510</v>
      </c>
      <c r="S920" s="32">
        <v>1000</v>
      </c>
      <c r="T920" s="32">
        <v>700</v>
      </c>
      <c r="U920" s="32">
        <v>700</v>
      </c>
      <c r="V920" s="74" t="s">
        <v>77</v>
      </c>
      <c r="W920" s="15"/>
      <c r="X920" s="15"/>
      <c r="Y920" s="16"/>
      <c r="Z920" s="17"/>
      <c r="AA920" s="16"/>
      <c r="AB920" s="99">
        <v>756</v>
      </c>
      <c r="AC920" s="20">
        <v>212.71641791044772</v>
      </c>
      <c r="AD920" s="21">
        <v>46074</v>
      </c>
      <c r="AE920" s="22">
        <v>648084.88377003907</v>
      </c>
      <c r="AF920" s="23">
        <v>441476.49593333364</v>
      </c>
      <c r="AG920" s="24">
        <v>540720.49593333376</v>
      </c>
      <c r="AH920" s="15">
        <v>0.5</v>
      </c>
      <c r="AI920" s="76"/>
      <c r="AJ920" s="76"/>
      <c r="AK920" s="76"/>
      <c r="AL920" s="76"/>
      <c r="AM920" s="76"/>
      <c r="AN920" s="77"/>
      <c r="AO920" s="77"/>
      <c r="AP920" s="77"/>
      <c r="AQ920" s="77"/>
      <c r="AR920" s="77"/>
      <c r="AS920" s="77"/>
      <c r="AT920" s="77"/>
      <c r="AU920" s="77"/>
      <c r="AV920" s="77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  <c r="BK920" s="77"/>
      <c r="BL920" s="77"/>
      <c r="BM920" s="77"/>
      <c r="BN920" s="77"/>
      <c r="BO920" s="77"/>
      <c r="BP920" s="77"/>
    </row>
    <row r="921" spans="1:68" ht="15" customHeight="1" x14ac:dyDescent="0.25">
      <c r="A921" s="1">
        <f t="shared" si="59"/>
        <v>475</v>
      </c>
      <c r="B921" s="1" t="str">
        <f t="shared" si="56"/>
        <v xml:space="preserve">Virginia </v>
      </c>
      <c r="C921" s="1">
        <f t="shared" si="57"/>
        <v>0</v>
      </c>
      <c r="D921" s="2" t="str">
        <f t="shared" si="58"/>
        <v>2026-02</v>
      </c>
      <c r="E921" s="3" t="s">
        <v>1311</v>
      </c>
      <c r="F921" s="4" t="s">
        <v>1291</v>
      </c>
      <c r="G921" s="39">
        <v>46074</v>
      </c>
      <c r="H921" s="40">
        <v>-139</v>
      </c>
      <c r="I921" s="40">
        <v>139</v>
      </c>
      <c r="J921" s="7">
        <v>140</v>
      </c>
      <c r="K921" s="8">
        <v>0.39581589958158991</v>
      </c>
      <c r="L921" s="9">
        <v>0.16492329149232915</v>
      </c>
      <c r="M921" s="10">
        <v>-139.00000000000003</v>
      </c>
      <c r="N921" s="11">
        <v>2.4</v>
      </c>
      <c r="O921" s="12">
        <v>76544.645121478447</v>
      </c>
      <c r="P921" s="32" t="s">
        <v>506</v>
      </c>
      <c r="Q921" s="78" t="s">
        <v>81</v>
      </c>
      <c r="R921" s="79" t="s">
        <v>510</v>
      </c>
      <c r="S921" s="32">
        <v>795</v>
      </c>
      <c r="T921" s="32">
        <v>556.5</v>
      </c>
      <c r="U921" s="32">
        <v>556.5</v>
      </c>
      <c r="V921" s="74" t="s">
        <v>77</v>
      </c>
      <c r="W921" s="15"/>
      <c r="X921" s="15"/>
      <c r="Y921" s="16"/>
      <c r="Z921" s="17"/>
      <c r="AA921" s="16"/>
      <c r="AB921" s="99">
        <v>779.1</v>
      </c>
      <c r="AC921" s="20">
        <v>220.27154811715479</v>
      </c>
      <c r="AD921" s="21">
        <v>46074</v>
      </c>
      <c r="AE921" s="22">
        <v>648305.15531815623</v>
      </c>
      <c r="AF921" s="23">
        <v>442255.59593333362</v>
      </c>
      <c r="AG921" s="24">
        <v>541476.49593333376</v>
      </c>
      <c r="AH921" s="15">
        <v>0.5</v>
      </c>
      <c r="AI921" s="76"/>
      <c r="AJ921" s="76"/>
      <c r="AK921" s="76"/>
      <c r="AL921" s="76"/>
      <c r="AM921" s="76"/>
      <c r="AN921" s="77"/>
      <c r="AO921" s="77"/>
      <c r="AP921" s="77"/>
      <c r="AQ921" s="77"/>
      <c r="AR921" s="77"/>
      <c r="AS921" s="77"/>
      <c r="AT921" s="77"/>
      <c r="AU921" s="77"/>
      <c r="AV921" s="77"/>
      <c r="AW921" s="77"/>
      <c r="AX921" s="77"/>
      <c r="AY921" s="77"/>
      <c r="AZ921" s="77"/>
      <c r="BA921" s="77"/>
      <c r="BB921" s="76"/>
      <c r="BC921" s="76"/>
      <c r="BD921" s="77"/>
      <c r="BE921" s="77"/>
      <c r="BF921" s="77"/>
      <c r="BG921" s="77"/>
      <c r="BH921" s="77"/>
      <c r="BI921" s="77"/>
      <c r="BJ921" s="77"/>
      <c r="BK921" s="77"/>
      <c r="BL921" s="77"/>
      <c r="BM921" s="77"/>
      <c r="BN921" s="77"/>
      <c r="BO921" s="77"/>
      <c r="BP921" s="76"/>
    </row>
    <row r="922" spans="1:68" ht="15" customHeight="1" x14ac:dyDescent="0.25">
      <c r="A922" s="1">
        <f t="shared" si="59"/>
        <v>475</v>
      </c>
      <c r="B922" s="1" t="str">
        <f t="shared" si="56"/>
        <v xml:space="preserve">Virginia </v>
      </c>
      <c r="C922" s="1">
        <f t="shared" si="57"/>
        <v>0</v>
      </c>
      <c r="D922" s="2" t="str">
        <f t="shared" si="58"/>
        <v>2026-02</v>
      </c>
      <c r="E922" s="3" t="s">
        <v>1311</v>
      </c>
      <c r="F922" s="4" t="s">
        <v>1291</v>
      </c>
      <c r="G922" s="39">
        <v>46074</v>
      </c>
      <c r="H922" s="40">
        <v>-167</v>
      </c>
      <c r="I922" s="40">
        <v>167</v>
      </c>
      <c r="J922" s="7">
        <v>107</v>
      </c>
      <c r="K922" s="8">
        <v>0.29471910112359589</v>
      </c>
      <c r="L922" s="9">
        <v>0.14237637735439412</v>
      </c>
      <c r="M922" s="10">
        <v>-167.00000000000006</v>
      </c>
      <c r="N922" s="11">
        <v>2.0700000000000003</v>
      </c>
      <c r="O922" s="12">
        <v>74679.010192856033</v>
      </c>
      <c r="P922" s="32" t="s">
        <v>506</v>
      </c>
      <c r="Q922" s="78" t="s">
        <v>81</v>
      </c>
      <c r="R922" s="79" t="s">
        <v>510</v>
      </c>
      <c r="S922" s="32">
        <v>1050</v>
      </c>
      <c r="T922" s="32">
        <v>735</v>
      </c>
      <c r="U922" s="32">
        <v>735</v>
      </c>
      <c r="V922" s="74" t="s">
        <v>77</v>
      </c>
      <c r="W922" s="15"/>
      <c r="X922" s="15"/>
      <c r="Y922" s="16"/>
      <c r="Z922" s="17"/>
      <c r="AA922" s="16"/>
      <c r="AB922" s="99">
        <v>786.45</v>
      </c>
      <c r="AC922" s="20">
        <v>216.61853932584299</v>
      </c>
      <c r="AD922" s="21">
        <v>46074</v>
      </c>
      <c r="AE922" s="22">
        <v>648521.77385748213</v>
      </c>
      <c r="AF922" s="23">
        <v>443042.04593333363</v>
      </c>
      <c r="AG922" s="24">
        <v>542255.59593333374</v>
      </c>
      <c r="AH922" s="15">
        <v>0.5</v>
      </c>
      <c r="AI922" s="76"/>
      <c r="AJ922" s="76"/>
      <c r="AK922" s="76"/>
      <c r="AL922" s="76"/>
      <c r="AM922" s="76"/>
      <c r="AN922" s="77"/>
      <c r="AO922" s="77"/>
      <c r="AP922" s="77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  <c r="BN922" s="77"/>
      <c r="BO922" s="77"/>
      <c r="BP922" s="77"/>
    </row>
    <row r="923" spans="1:68" ht="15" customHeight="1" x14ac:dyDescent="0.25">
      <c r="A923" s="1">
        <f t="shared" si="59"/>
        <v>475</v>
      </c>
      <c r="B923" s="1" t="str">
        <f t="shared" si="56"/>
        <v xml:space="preserve">Virginia </v>
      </c>
      <c r="C923" s="1">
        <f t="shared" si="57"/>
        <v>0</v>
      </c>
      <c r="D923" s="2" t="str">
        <f t="shared" si="58"/>
        <v>2026-02</v>
      </c>
      <c r="E923" s="3" t="s">
        <v>1312</v>
      </c>
      <c r="F923" s="4" t="s">
        <v>1291</v>
      </c>
      <c r="G923" s="39">
        <v>46074</v>
      </c>
      <c r="H923" s="40">
        <v>-121</v>
      </c>
      <c r="I923" s="40">
        <v>121</v>
      </c>
      <c r="J923" s="7">
        <v>180</v>
      </c>
      <c r="K923" s="8">
        <v>0.5330316742081449</v>
      </c>
      <c r="L923" s="9">
        <v>0.19036845507433747</v>
      </c>
      <c r="M923" s="10">
        <v>-121.00000000000003</v>
      </c>
      <c r="N923" s="11">
        <v>2.8</v>
      </c>
      <c r="O923" s="12">
        <v>80405.169697017016</v>
      </c>
      <c r="P923" s="32" t="s">
        <v>506</v>
      </c>
      <c r="Q923" s="78" t="s">
        <v>76</v>
      </c>
      <c r="R923" s="79" t="s">
        <v>510</v>
      </c>
      <c r="S923" s="32">
        <v>603</v>
      </c>
      <c r="T923" s="32">
        <v>422.09999999999997</v>
      </c>
      <c r="U923" s="32">
        <v>422.09999999999997</v>
      </c>
      <c r="V923" s="74" t="s">
        <v>77</v>
      </c>
      <c r="W923" s="15"/>
      <c r="X923" s="15"/>
      <c r="Y923" s="16"/>
      <c r="Z923" s="17"/>
      <c r="AA923" s="16"/>
      <c r="AB923" s="99">
        <v>759.78</v>
      </c>
      <c r="AC923" s="20">
        <v>224.99266968325796</v>
      </c>
      <c r="AD923" s="21">
        <v>46074</v>
      </c>
      <c r="AE923" s="22">
        <v>648746.76652716543</v>
      </c>
      <c r="AF923" s="23">
        <v>443801.82593333366</v>
      </c>
      <c r="AG923" s="24">
        <v>543042.04593333369</v>
      </c>
      <c r="AH923" s="15">
        <v>0.5</v>
      </c>
      <c r="AI923" s="76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  <c r="BN923" s="77"/>
      <c r="BO923" s="77"/>
      <c r="BP923" s="77"/>
    </row>
    <row r="924" spans="1:68" ht="15" customHeight="1" x14ac:dyDescent="0.25">
      <c r="A924" s="1">
        <f t="shared" si="59"/>
        <v>475</v>
      </c>
      <c r="B924" s="1" t="str">
        <f t="shared" si="56"/>
        <v xml:space="preserve">Virginia </v>
      </c>
      <c r="C924" s="1">
        <f t="shared" si="57"/>
        <v>0</v>
      </c>
      <c r="D924" s="2" t="str">
        <f t="shared" si="58"/>
        <v>2026-02</v>
      </c>
      <c r="E924" s="3" t="s">
        <v>1313</v>
      </c>
      <c r="F924" s="4" t="s">
        <v>1291</v>
      </c>
      <c r="G924" s="39">
        <v>46074</v>
      </c>
      <c r="H924" s="40">
        <v>100</v>
      </c>
      <c r="I924" s="40">
        <v>-100</v>
      </c>
      <c r="J924" s="7">
        <v>115</v>
      </c>
      <c r="K924" s="8">
        <v>7.5000000000000011E-2</v>
      </c>
      <c r="L924" s="9">
        <v>3.4883720930232565E-2</v>
      </c>
      <c r="M924" s="10">
        <v>100</v>
      </c>
      <c r="N924" s="11">
        <v>2.15</v>
      </c>
      <c r="O924" s="12">
        <v>17732.668236956539</v>
      </c>
      <c r="P924" s="32" t="s">
        <v>506</v>
      </c>
      <c r="Q924" s="78"/>
      <c r="R924" s="79"/>
      <c r="S924" s="32">
        <v>1023</v>
      </c>
      <c r="T924" s="32">
        <v>716.09999999999991</v>
      </c>
      <c r="U924" s="32">
        <v>716.09999999999991</v>
      </c>
      <c r="V924" s="74" t="s">
        <v>77</v>
      </c>
      <c r="W924" s="15"/>
      <c r="X924" s="15"/>
      <c r="Y924" s="16"/>
      <c r="Z924" s="17"/>
      <c r="AA924" s="16"/>
      <c r="AB924" s="99">
        <v>823.52</v>
      </c>
      <c r="AC924" s="20">
        <v>53.707500000000003</v>
      </c>
      <c r="AD924" s="21">
        <v>46074</v>
      </c>
      <c r="AE924" s="22">
        <v>648800.47402716544</v>
      </c>
      <c r="AF924" s="23">
        <v>444625.34593333368</v>
      </c>
      <c r="AG924" s="24">
        <v>543801.82593333372</v>
      </c>
      <c r="AH924" s="15">
        <v>0.5</v>
      </c>
      <c r="AI924" s="76"/>
      <c r="AJ924" s="76"/>
      <c r="AK924" s="76"/>
      <c r="AL924" s="76"/>
      <c r="AM924" s="76"/>
      <c r="AN924" s="77"/>
      <c r="AO924" s="77"/>
      <c r="AP924" s="77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  <c r="BN924" s="77"/>
      <c r="BO924" s="77"/>
      <c r="BP924" s="77"/>
    </row>
    <row r="925" spans="1:68" ht="15" customHeight="1" x14ac:dyDescent="0.25">
      <c r="A925" s="1">
        <f t="shared" si="59"/>
        <v>476</v>
      </c>
      <c r="B925" s="1" t="str">
        <f t="shared" si="56"/>
        <v xml:space="preserve">Abilene </v>
      </c>
      <c r="C925" s="1">
        <f t="shared" si="57"/>
        <v>0</v>
      </c>
      <c r="D925" s="2" t="str">
        <f t="shared" si="58"/>
        <v>2026-02</v>
      </c>
      <c r="E925" s="100" t="s">
        <v>1314</v>
      </c>
      <c r="F925" s="101" t="s">
        <v>1315</v>
      </c>
      <c r="G925" s="102">
        <v>46081</v>
      </c>
      <c r="H925" s="6">
        <v>104</v>
      </c>
      <c r="I925" s="6">
        <v>-104</v>
      </c>
      <c r="J925" s="115">
        <v>125</v>
      </c>
      <c r="K925" s="17">
        <v>0.10294117647058824</v>
      </c>
      <c r="L925" s="111">
        <v>4.5751633986928109E-2</v>
      </c>
      <c r="M925" s="16">
        <v>104.00000000000001</v>
      </c>
      <c r="N925" s="112">
        <v>2.25</v>
      </c>
      <c r="O925" s="113">
        <v>24571.92895019611</v>
      </c>
      <c r="P925" s="13" t="s">
        <v>506</v>
      </c>
      <c r="Q925" s="13" t="s">
        <v>76</v>
      </c>
      <c r="R925" s="14" t="s">
        <v>1316</v>
      </c>
      <c r="S925" s="13">
        <v>849</v>
      </c>
      <c r="T925" s="13">
        <v>594.29999999999995</v>
      </c>
      <c r="U925" s="104">
        <v>594.29999999999995</v>
      </c>
      <c r="V925" s="74" t="s">
        <v>82</v>
      </c>
      <c r="W925" s="15"/>
      <c r="X925" s="15"/>
      <c r="Y925" s="16"/>
      <c r="Z925" s="17"/>
      <c r="AA925" s="16"/>
      <c r="AB925" s="24">
        <v>-594.29999999999995</v>
      </c>
      <c r="AC925" s="20">
        <v>61.17794117647059</v>
      </c>
      <c r="AD925" s="21">
        <v>46081</v>
      </c>
      <c r="AE925" s="22">
        <v>658953.07081425085</v>
      </c>
      <c r="AF925" s="23">
        <v>496152.54593333357</v>
      </c>
      <c r="AG925" s="24">
        <v>596746.84593333397</v>
      </c>
      <c r="AH925" s="15">
        <v>0.5</v>
      </c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</row>
    <row r="926" spans="1:68" ht="15" customHeight="1" x14ac:dyDescent="0.25">
      <c r="A926" s="1">
        <f t="shared" si="59"/>
        <v>477</v>
      </c>
      <c r="B926" s="1" t="str">
        <f t="shared" si="56"/>
        <v xml:space="preserve">Arkansas </v>
      </c>
      <c r="C926" s="1">
        <f t="shared" si="57"/>
        <v>0</v>
      </c>
      <c r="D926" s="2" t="str">
        <f t="shared" si="58"/>
        <v>2026-02</v>
      </c>
      <c r="E926" s="28" t="s">
        <v>1317</v>
      </c>
      <c r="F926" s="29" t="s">
        <v>1315</v>
      </c>
      <c r="G926" s="5">
        <v>46081</v>
      </c>
      <c r="H926" s="6">
        <v>-104</v>
      </c>
      <c r="I926" s="6">
        <v>104</v>
      </c>
      <c r="J926" s="30">
        <v>115</v>
      </c>
      <c r="K926" s="8">
        <v>9.6078431372548956E-2</v>
      </c>
      <c r="L926" s="9">
        <v>4.4687642498859981E-2</v>
      </c>
      <c r="M926" s="10">
        <v>-103.99999999999999</v>
      </c>
      <c r="N926" s="11">
        <v>2.15</v>
      </c>
      <c r="O926" s="12">
        <v>25406.199062858777</v>
      </c>
      <c r="P926" s="13" t="s">
        <v>506</v>
      </c>
      <c r="Q926" s="13" t="s">
        <v>76</v>
      </c>
      <c r="R926" s="14" t="s">
        <v>811</v>
      </c>
      <c r="S926" s="13">
        <v>3070</v>
      </c>
      <c r="T926" s="13">
        <v>2149</v>
      </c>
      <c r="U926" s="13">
        <v>2149</v>
      </c>
      <c r="V926" s="31" t="s">
        <v>82</v>
      </c>
      <c r="W926" s="15"/>
      <c r="X926" s="15"/>
      <c r="Y926" s="16"/>
      <c r="Z926" s="17"/>
      <c r="AA926" s="16"/>
      <c r="AB926" s="24">
        <v>-2149</v>
      </c>
      <c r="AC926" s="20">
        <v>206.4725490196077</v>
      </c>
      <c r="AD926" s="21">
        <v>46081</v>
      </c>
      <c r="AE926" s="22">
        <v>662073.59681980428</v>
      </c>
      <c r="AF926" s="23">
        <v>506044.29593333369</v>
      </c>
      <c r="AG926" s="24">
        <v>608193.29593333392</v>
      </c>
      <c r="AH926" s="15">
        <v>0.5</v>
      </c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</row>
    <row r="927" spans="1:68" ht="15" customHeight="1" x14ac:dyDescent="0.25">
      <c r="A927" s="1">
        <f t="shared" si="59"/>
        <v>478</v>
      </c>
      <c r="B927" s="1" t="str">
        <f t="shared" si="56"/>
        <v xml:space="preserve">Arkansas </v>
      </c>
      <c r="C927" s="1">
        <f t="shared" si="57"/>
        <v>1</v>
      </c>
      <c r="D927" s="2" t="str">
        <f t="shared" si="58"/>
        <v>2026-02</v>
      </c>
      <c r="E927" s="100" t="s">
        <v>1318</v>
      </c>
      <c r="F927" s="101" t="s">
        <v>1197</v>
      </c>
      <c r="G927" s="102">
        <v>46081</v>
      </c>
      <c r="H927" s="6">
        <v>101</v>
      </c>
      <c r="I927" s="6">
        <v>-137</v>
      </c>
      <c r="J927" s="115">
        <v>135</v>
      </c>
      <c r="K927" s="8">
        <v>8.7007436032554467E-2</v>
      </c>
      <c r="L927" s="9">
        <v>3.7024440864916797E-2</v>
      </c>
      <c r="M927" s="10">
        <v>116.18987341772154</v>
      </c>
      <c r="N927" s="11">
        <v>2.35</v>
      </c>
      <c r="O927" s="12">
        <v>19569.57059149817</v>
      </c>
      <c r="P927" s="13" t="s">
        <v>506</v>
      </c>
      <c r="Q927" s="13" t="s">
        <v>92</v>
      </c>
      <c r="R927" s="14" t="s">
        <v>811</v>
      </c>
      <c r="S927" s="13">
        <v>524</v>
      </c>
      <c r="T927" s="13">
        <v>366.79999999999995</v>
      </c>
      <c r="U927" s="104">
        <v>366.79999999999995</v>
      </c>
      <c r="V927" s="31" t="s">
        <v>77</v>
      </c>
      <c r="W927" s="15"/>
      <c r="X927" s="15"/>
      <c r="Y927" s="16"/>
      <c r="Z927" s="17"/>
      <c r="AA927" s="16"/>
      <c r="AB927" s="24">
        <v>495.18</v>
      </c>
      <c r="AC927" s="20">
        <v>31.914327536740974</v>
      </c>
      <c r="AD927" s="21">
        <v>46081</v>
      </c>
      <c r="AE927" s="22">
        <v>664163.61594390392</v>
      </c>
      <c r="AF927" s="23">
        <v>507774.77593333367</v>
      </c>
      <c r="AG927" s="24">
        <v>607279.59593333374</v>
      </c>
      <c r="AH927" s="15">
        <v>0.5</v>
      </c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</row>
    <row r="928" spans="1:68" ht="15" customHeight="1" x14ac:dyDescent="0.25">
      <c r="A928" s="1">
        <f t="shared" si="59"/>
        <v>479</v>
      </c>
      <c r="B928" s="1" t="str">
        <f t="shared" si="56"/>
        <v xml:space="preserve">Auburn </v>
      </c>
      <c r="C928" s="1">
        <f t="shared" si="57"/>
        <v>0</v>
      </c>
      <c r="D928" s="2" t="str">
        <f t="shared" si="58"/>
        <v>2026-02</v>
      </c>
      <c r="E928" s="28" t="s">
        <v>1199</v>
      </c>
      <c r="F928" s="29" t="s">
        <v>1197</v>
      </c>
      <c r="G928" s="5">
        <v>46081</v>
      </c>
      <c r="H928" s="6">
        <v>247</v>
      </c>
      <c r="I928" s="6">
        <v>-247</v>
      </c>
      <c r="J928" s="30">
        <v>275</v>
      </c>
      <c r="K928" s="8">
        <v>8.0691642651296858E-2</v>
      </c>
      <c r="L928" s="9">
        <v>2.1517771373679162E-2</v>
      </c>
      <c r="M928" s="10">
        <v>246.99999999999997</v>
      </c>
      <c r="N928" s="11">
        <v>3.75</v>
      </c>
      <c r="O928" s="12">
        <v>8901.8165711990314</v>
      </c>
      <c r="P928" s="13" t="s">
        <v>506</v>
      </c>
      <c r="Q928" s="13" t="s">
        <v>81</v>
      </c>
      <c r="R928" s="14" t="s">
        <v>919</v>
      </c>
      <c r="S928" s="13">
        <v>429</v>
      </c>
      <c r="T928" s="13">
        <v>300.29999999999995</v>
      </c>
      <c r="U928" s="13">
        <v>300.29999999999995</v>
      </c>
      <c r="V928" s="31" t="s">
        <v>82</v>
      </c>
      <c r="W928" s="15"/>
      <c r="X928" s="15"/>
      <c r="Y928" s="16"/>
      <c r="Z928" s="17"/>
      <c r="AA928" s="16"/>
      <c r="AB928" s="24">
        <v>-300.29999999999995</v>
      </c>
      <c r="AC928" s="20">
        <v>24.231700288184442</v>
      </c>
      <c r="AD928" s="21">
        <v>46081</v>
      </c>
      <c r="AE928" s="22">
        <v>664020.04765410302</v>
      </c>
      <c r="AF928" s="23">
        <v>506453.87593333371</v>
      </c>
      <c r="AG928" s="24">
        <v>606754.17593333381</v>
      </c>
      <c r="AH928" s="15">
        <v>0.5</v>
      </c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</row>
    <row r="929" spans="1:68" ht="15" customHeight="1" x14ac:dyDescent="0.25">
      <c r="A929" s="1">
        <f t="shared" si="59"/>
        <v>480</v>
      </c>
      <c r="B929" s="1" t="str">
        <f t="shared" si="56"/>
        <v xml:space="preserve">Austin </v>
      </c>
      <c r="C929" s="1">
        <f t="shared" si="57"/>
        <v>0</v>
      </c>
      <c r="D929" s="2" t="str">
        <f t="shared" si="58"/>
        <v>2026-02</v>
      </c>
      <c r="E929" s="3" t="s">
        <v>1319</v>
      </c>
      <c r="F929" s="4" t="s">
        <v>1197</v>
      </c>
      <c r="G929" s="102">
        <v>46081</v>
      </c>
      <c r="H929" s="4">
        <v>-121</v>
      </c>
      <c r="I929" s="4">
        <v>121</v>
      </c>
      <c r="J929" s="7">
        <v>115</v>
      </c>
      <c r="K929" s="8">
        <v>0.17714932126696845</v>
      </c>
      <c r="L929" s="9">
        <v>8.2395033147427188E-2</v>
      </c>
      <c r="M929" s="10">
        <v>-121.00000000000003</v>
      </c>
      <c r="N929" s="11">
        <v>2.15</v>
      </c>
      <c r="O929" s="12">
        <v>46676.547520735869</v>
      </c>
      <c r="P929" s="13" t="s">
        <v>506</v>
      </c>
      <c r="Q929" s="13" t="s">
        <v>81</v>
      </c>
      <c r="R929" s="14" t="s">
        <v>1320</v>
      </c>
      <c r="S929" s="13">
        <v>517</v>
      </c>
      <c r="T929" s="13">
        <v>361.9</v>
      </c>
      <c r="U929" s="13">
        <v>361.9</v>
      </c>
      <c r="V929" s="127" t="s">
        <v>82</v>
      </c>
      <c r="W929" s="105"/>
      <c r="X929" s="105"/>
      <c r="Y929" s="114"/>
      <c r="Z929" s="8"/>
      <c r="AA929" s="10"/>
      <c r="AB929" s="106">
        <v>-361.9</v>
      </c>
      <c r="AC929" s="107">
        <v>64.110339366515873</v>
      </c>
      <c r="AD929" s="108">
        <v>46081</v>
      </c>
      <c r="AE929" s="109">
        <v>657024.16195200756</v>
      </c>
      <c r="AF929" s="110">
        <v>505658.25593333354</v>
      </c>
      <c r="AG929" s="106">
        <v>606020.15593333403</v>
      </c>
      <c r="AH929" s="15">
        <v>0.5</v>
      </c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</row>
    <row r="930" spans="1:68" ht="15" customHeight="1" x14ac:dyDescent="0.25">
      <c r="A930" s="1">
        <f t="shared" si="59"/>
        <v>480</v>
      </c>
      <c r="B930" s="1" t="str">
        <f t="shared" si="56"/>
        <v xml:space="preserve">Austin </v>
      </c>
      <c r="C930" s="1">
        <f t="shared" si="57"/>
        <v>0</v>
      </c>
      <c r="D930" s="2" t="str">
        <f t="shared" si="58"/>
        <v>2026-02</v>
      </c>
      <c r="E930" s="3" t="s">
        <v>1319</v>
      </c>
      <c r="F930" s="4" t="s">
        <v>1197</v>
      </c>
      <c r="G930" s="102">
        <v>46081</v>
      </c>
      <c r="H930" s="4">
        <v>-107</v>
      </c>
      <c r="I930" s="4">
        <v>107</v>
      </c>
      <c r="J930" s="7">
        <v>123</v>
      </c>
      <c r="K930" s="8">
        <v>0.15270531400966195</v>
      </c>
      <c r="L930" s="9">
        <v>6.847771928684393E-2</v>
      </c>
      <c r="M930" s="10">
        <v>-107.00000000000003</v>
      </c>
      <c r="N930" s="11">
        <v>2.23</v>
      </c>
      <c r="O930" s="12">
        <v>37544.076106697896</v>
      </c>
      <c r="P930" s="13" t="s">
        <v>506</v>
      </c>
      <c r="Q930" s="13" t="s">
        <v>81</v>
      </c>
      <c r="R930" s="14" t="s">
        <v>1320</v>
      </c>
      <c r="S930" s="13">
        <v>479</v>
      </c>
      <c r="T930" s="13">
        <v>335.29999999999995</v>
      </c>
      <c r="U930" s="13">
        <v>335.29999999999995</v>
      </c>
      <c r="V930" s="127" t="s">
        <v>82</v>
      </c>
      <c r="W930" s="105"/>
      <c r="X930" s="105"/>
      <c r="Y930" s="114"/>
      <c r="Z930" s="8"/>
      <c r="AA930" s="10"/>
      <c r="AB930" s="106">
        <v>-335.29999999999995</v>
      </c>
      <c r="AC930" s="107">
        <v>51.202091787439642</v>
      </c>
      <c r="AD930" s="108">
        <v>46081</v>
      </c>
      <c r="AE930" s="109">
        <v>657127.81991736032</v>
      </c>
      <c r="AF930" s="110">
        <v>504479.45593333355</v>
      </c>
      <c r="AG930" s="24">
        <v>604814.755933334</v>
      </c>
      <c r="AH930" s="15">
        <v>0.5</v>
      </c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</row>
    <row r="931" spans="1:68" ht="15" customHeight="1" x14ac:dyDescent="0.25">
      <c r="A931" s="1">
        <f t="shared" si="59"/>
        <v>481</v>
      </c>
      <c r="B931" s="1" t="str">
        <f t="shared" si="56"/>
        <v xml:space="preserve">Bellarmine </v>
      </c>
      <c r="C931" s="1">
        <f t="shared" si="57"/>
        <v>0</v>
      </c>
      <c r="D931" s="2" t="str">
        <f t="shared" si="58"/>
        <v>2026-02</v>
      </c>
      <c r="E931" s="100" t="s">
        <v>1321</v>
      </c>
      <c r="F931" s="101" t="s">
        <v>1315</v>
      </c>
      <c r="G931" s="5">
        <v>46081</v>
      </c>
      <c r="H931" s="6">
        <v>-106</v>
      </c>
      <c r="I931" s="6">
        <v>106</v>
      </c>
      <c r="J931" s="115">
        <v>125</v>
      </c>
      <c r="K931" s="8">
        <v>0.15776699029126193</v>
      </c>
      <c r="L931" s="9">
        <v>7.0118662351671968E-2</v>
      </c>
      <c r="M931" s="10">
        <v>-105.99999999999999</v>
      </c>
      <c r="N931" s="11">
        <v>2.25</v>
      </c>
      <c r="O931" s="12">
        <v>38115.989646278307</v>
      </c>
      <c r="P931" s="13" t="s">
        <v>506</v>
      </c>
      <c r="Q931" s="13" t="s">
        <v>76</v>
      </c>
      <c r="R931" s="14" t="s">
        <v>1322</v>
      </c>
      <c r="S931" s="13">
        <v>850</v>
      </c>
      <c r="T931" s="13">
        <v>595</v>
      </c>
      <c r="U931" s="13">
        <v>595</v>
      </c>
      <c r="V931" s="31" t="s">
        <v>77</v>
      </c>
      <c r="W931" s="105"/>
      <c r="X931" s="105"/>
      <c r="Y931" s="114"/>
      <c r="Z931" s="8"/>
      <c r="AA931" s="10"/>
      <c r="AB931" s="106">
        <v>743.75</v>
      </c>
      <c r="AC931" s="107">
        <v>93.871359223300843</v>
      </c>
      <c r="AD931" s="108">
        <v>46081</v>
      </c>
      <c r="AE931" s="109">
        <v>657520.3071853834</v>
      </c>
      <c r="AF931" s="110">
        <v>504735.58593333361</v>
      </c>
      <c r="AG931" s="24">
        <v>603991.83593333396</v>
      </c>
      <c r="AH931" s="15">
        <v>0.5</v>
      </c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</row>
    <row r="932" spans="1:68" ht="15" customHeight="1" x14ac:dyDescent="0.25">
      <c r="A932" s="1">
        <f t="shared" si="59"/>
        <v>482</v>
      </c>
      <c r="B932" s="1" t="str">
        <f t="shared" si="56"/>
        <v xml:space="preserve">Boise </v>
      </c>
      <c r="C932" s="1">
        <f t="shared" si="57"/>
        <v>0</v>
      </c>
      <c r="D932" s="2" t="str">
        <f t="shared" si="58"/>
        <v>2026-02</v>
      </c>
      <c r="E932" s="28" t="s">
        <v>1323</v>
      </c>
      <c r="F932" s="29" t="s">
        <v>1315</v>
      </c>
      <c r="G932" s="5">
        <v>46081</v>
      </c>
      <c r="H932" s="6">
        <v>105</v>
      </c>
      <c r="I932" s="6">
        <v>-105</v>
      </c>
      <c r="J932" s="30">
        <v>125</v>
      </c>
      <c r="K932" s="8">
        <v>9.7560975609756254E-2</v>
      </c>
      <c r="L932" s="9">
        <v>4.3360433604336113E-2</v>
      </c>
      <c r="M932" s="10">
        <v>104.99999999999997</v>
      </c>
      <c r="N932" s="11">
        <v>2.25</v>
      </c>
      <c r="O932" s="12">
        <v>23502.324914471603</v>
      </c>
      <c r="P932" s="13" t="s">
        <v>506</v>
      </c>
      <c r="Q932" s="13" t="s">
        <v>76</v>
      </c>
      <c r="R932" s="14" t="s">
        <v>898</v>
      </c>
      <c r="S932" s="13">
        <v>863</v>
      </c>
      <c r="T932" s="13">
        <v>604.09999999999991</v>
      </c>
      <c r="U932" s="13">
        <v>604.09999999999991</v>
      </c>
      <c r="V932" s="6" t="s">
        <v>77</v>
      </c>
      <c r="W932" s="15"/>
      <c r="X932" s="15"/>
      <c r="Y932" s="16"/>
      <c r="Z932" s="17"/>
      <c r="AA932" s="16"/>
      <c r="AB932" s="24">
        <v>755.13</v>
      </c>
      <c r="AC932" s="20">
        <v>58.936585365853745</v>
      </c>
      <c r="AD932" s="21">
        <v>46081</v>
      </c>
      <c r="AE932" s="22">
        <v>663067.24287546705</v>
      </c>
      <c r="AF932" s="23">
        <v>503002.20593333372</v>
      </c>
      <c r="AG932" s="24">
        <v>602247.07593333384</v>
      </c>
      <c r="AH932" s="15">
        <v>0.5</v>
      </c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</row>
    <row r="933" spans="1:68" ht="15" customHeight="1" x14ac:dyDescent="0.25">
      <c r="A933" s="1">
        <f t="shared" si="59"/>
        <v>483</v>
      </c>
      <c r="B933" s="1" t="str">
        <f t="shared" si="56"/>
        <v xml:space="preserve">Cal </v>
      </c>
      <c r="C933" s="1">
        <f t="shared" si="57"/>
        <v>1</v>
      </c>
      <c r="D933" s="2" t="str">
        <f t="shared" si="58"/>
        <v>2026-02</v>
      </c>
      <c r="E933" s="28" t="s">
        <v>1324</v>
      </c>
      <c r="F933" s="29" t="s">
        <v>1197</v>
      </c>
      <c r="G933" s="5">
        <v>46081</v>
      </c>
      <c r="H933" s="6">
        <v>108</v>
      </c>
      <c r="I933" s="6">
        <v>-108</v>
      </c>
      <c r="J933" s="30">
        <v>140</v>
      </c>
      <c r="K933" s="8">
        <v>0.15384615384615369</v>
      </c>
      <c r="L933" s="9">
        <v>6.4102564102564041E-2</v>
      </c>
      <c r="M933" s="10">
        <v>107.99999999999999</v>
      </c>
      <c r="N933" s="11">
        <v>2.4</v>
      </c>
      <c r="O933" s="12">
        <v>33296.733842490838</v>
      </c>
      <c r="P933" s="13" t="s">
        <v>506</v>
      </c>
      <c r="Q933" s="13" t="s">
        <v>92</v>
      </c>
      <c r="R933" s="14" t="s">
        <v>1250</v>
      </c>
      <c r="S933" s="13">
        <v>769</v>
      </c>
      <c r="T933" s="13">
        <v>538.29999999999995</v>
      </c>
      <c r="U933" s="13">
        <v>538.29999999999995</v>
      </c>
      <c r="V933" s="6" t="s">
        <v>77</v>
      </c>
      <c r="W933" s="15"/>
      <c r="X933" s="15"/>
      <c r="Y933" s="16"/>
      <c r="Z933" s="17"/>
      <c r="AA933" s="16"/>
      <c r="AB933" s="24">
        <v>753.62</v>
      </c>
      <c r="AC933" s="20">
        <v>82.815384615384517</v>
      </c>
      <c r="AD933" s="21">
        <v>46081</v>
      </c>
      <c r="AE933" s="22">
        <v>663995.81595381489</v>
      </c>
      <c r="AF933" s="23">
        <v>506754.1759333337</v>
      </c>
      <c r="AG933" s="24">
        <v>606000.55593333382</v>
      </c>
      <c r="AH933" s="15">
        <v>0.5</v>
      </c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</row>
    <row r="934" spans="1:68" ht="15" customHeight="1" x14ac:dyDescent="0.25">
      <c r="A934" s="1">
        <f t="shared" si="59"/>
        <v>484</v>
      </c>
      <c r="B934" s="1" t="str">
        <f t="shared" si="56"/>
        <v xml:space="preserve">California </v>
      </c>
      <c r="C934" s="1">
        <f t="shared" si="57"/>
        <v>0</v>
      </c>
      <c r="D934" s="2" t="str">
        <f t="shared" si="58"/>
        <v>2026-02</v>
      </c>
      <c r="E934" s="100" t="s">
        <v>1325</v>
      </c>
      <c r="F934" s="101" t="s">
        <v>1315</v>
      </c>
      <c r="G934" s="102">
        <v>46081</v>
      </c>
      <c r="H934" s="6">
        <v>-110</v>
      </c>
      <c r="I934" s="6">
        <v>110</v>
      </c>
      <c r="J934" s="115">
        <v>-130</v>
      </c>
      <c r="K934" s="8">
        <v>-7.3260073260073319E-2</v>
      </c>
      <c r="L934" s="9">
        <v>-4.1407867494824058E-2</v>
      </c>
      <c r="M934" s="10">
        <v>-110.00000000000001</v>
      </c>
      <c r="N934" s="11">
        <v>1.7692307692307692</v>
      </c>
      <c r="O934" s="12">
        <v>-28589.136473015933</v>
      </c>
      <c r="P934" s="13" t="s">
        <v>506</v>
      </c>
      <c r="Q934" s="13" t="s">
        <v>76</v>
      </c>
      <c r="R934" s="14" t="s">
        <v>1326</v>
      </c>
      <c r="S934" s="13">
        <v>1397</v>
      </c>
      <c r="T934" s="13">
        <v>977.9</v>
      </c>
      <c r="U934" s="104">
        <v>977.9</v>
      </c>
      <c r="V934" s="6" t="s">
        <v>82</v>
      </c>
      <c r="W934" s="15"/>
      <c r="X934" s="15"/>
      <c r="Y934" s="16"/>
      <c r="Z934" s="17"/>
      <c r="AA934" s="16"/>
      <c r="AB934" s="24">
        <v>-977.9</v>
      </c>
      <c r="AC934" s="20">
        <v>-71.641025641025692</v>
      </c>
      <c r="AD934" s="21">
        <v>46081</v>
      </c>
      <c r="AE934" s="22">
        <v>658492.12579519476</v>
      </c>
      <c r="AF934" s="23">
        <v>499393.96593333356</v>
      </c>
      <c r="AG934" s="24">
        <v>600371.86593333399</v>
      </c>
      <c r="AH934" s="15">
        <v>0.5</v>
      </c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</row>
    <row r="935" spans="1:68" ht="15" customHeight="1" x14ac:dyDescent="0.25">
      <c r="A935" s="1">
        <f t="shared" si="59"/>
        <v>485</v>
      </c>
      <c r="B935" s="1" t="str">
        <f t="shared" si="56"/>
        <v xml:space="preserve">Connecticut </v>
      </c>
      <c r="C935" s="1">
        <f t="shared" si="57"/>
        <v>0</v>
      </c>
      <c r="D935" s="2" t="str">
        <f t="shared" si="58"/>
        <v>2026-02</v>
      </c>
      <c r="E935" s="3" t="s">
        <v>1327</v>
      </c>
      <c r="F935" s="4" t="s">
        <v>1197</v>
      </c>
      <c r="G935" s="39">
        <v>46081</v>
      </c>
      <c r="H935" s="40">
        <v>-136</v>
      </c>
      <c r="I935" s="40">
        <v>136</v>
      </c>
      <c r="J935" s="7">
        <v>100</v>
      </c>
      <c r="K935" s="8">
        <v>0.15254237288135597</v>
      </c>
      <c r="L935" s="9">
        <v>7.6271186440677985E-2</v>
      </c>
      <c r="M935" s="10">
        <v>-136</v>
      </c>
      <c r="N935" s="11">
        <v>2</v>
      </c>
      <c r="O935" s="12">
        <v>45891.110283050904</v>
      </c>
      <c r="P935" s="32" t="s">
        <v>506</v>
      </c>
      <c r="Q935" s="81" t="s">
        <v>81</v>
      </c>
      <c r="R935" s="82" t="s">
        <v>666</v>
      </c>
      <c r="S935" s="32">
        <v>1180</v>
      </c>
      <c r="T935" s="32">
        <v>826</v>
      </c>
      <c r="U935" s="32">
        <v>826</v>
      </c>
      <c r="V935" s="40" t="s">
        <v>77</v>
      </c>
      <c r="W935" s="15"/>
      <c r="X935" s="15"/>
      <c r="Y935" s="16"/>
      <c r="Z935" s="17"/>
      <c r="AA935" s="16"/>
      <c r="AB935" s="99">
        <v>826</v>
      </c>
      <c r="AC935" s="20">
        <v>126.00000000000003</v>
      </c>
      <c r="AD935" s="21">
        <v>46081</v>
      </c>
      <c r="AE935" s="22">
        <v>656315.81536245637</v>
      </c>
      <c r="AF935" s="23">
        <v>502509.44593333354</v>
      </c>
      <c r="AG935" s="24">
        <v>601683.44593333395</v>
      </c>
      <c r="AH935" s="15">
        <v>0.5</v>
      </c>
      <c r="AI935" s="76"/>
      <c r="AJ935" s="77"/>
      <c r="AK935" s="77"/>
      <c r="AL935" s="77"/>
      <c r="AM935" s="77"/>
      <c r="AN935" s="83"/>
      <c r="AO935" s="83"/>
      <c r="AP935" s="77"/>
      <c r="AQ935" s="77"/>
      <c r="AR935" s="77"/>
      <c r="AS935" s="77"/>
      <c r="AT935" s="77"/>
      <c r="AU935" s="77"/>
      <c r="AV935" s="77"/>
      <c r="AW935" s="77"/>
      <c r="AX935" s="77"/>
      <c r="AY935" s="77"/>
      <c r="AZ935" s="77"/>
      <c r="BA935" s="77"/>
      <c r="BB935" s="83"/>
      <c r="BC935" s="83"/>
      <c r="BD935" s="77"/>
      <c r="BE935" s="77"/>
      <c r="BF935" s="77"/>
      <c r="BG935" s="77"/>
      <c r="BH935" s="77"/>
      <c r="BI935" s="77"/>
      <c r="BJ935" s="77"/>
      <c r="BK935" s="77"/>
      <c r="BL935" s="77"/>
      <c r="BM935" s="77"/>
      <c r="BN935" s="77"/>
      <c r="BO935" s="77"/>
      <c r="BP935" s="77"/>
    </row>
    <row r="936" spans="1:68" ht="15" customHeight="1" x14ac:dyDescent="0.25">
      <c r="A936" s="1">
        <f t="shared" si="59"/>
        <v>485</v>
      </c>
      <c r="B936" s="1" t="str">
        <f t="shared" si="56"/>
        <v xml:space="preserve">Connecticut </v>
      </c>
      <c r="C936" s="1">
        <f t="shared" si="57"/>
        <v>0</v>
      </c>
      <c r="D936" s="2" t="str">
        <f t="shared" si="58"/>
        <v>2026-02</v>
      </c>
      <c r="E936" s="3" t="s">
        <v>1327</v>
      </c>
      <c r="F936" s="4" t="s">
        <v>1197</v>
      </c>
      <c r="G936" s="39">
        <v>46081</v>
      </c>
      <c r="H936" s="40">
        <v>-171</v>
      </c>
      <c r="I936" s="40">
        <v>171</v>
      </c>
      <c r="J936" s="7">
        <v>-122</v>
      </c>
      <c r="K936" s="8">
        <v>0.14820640009678798</v>
      </c>
      <c r="L936" s="9">
        <v>8.1446760413550146E-2</v>
      </c>
      <c r="M936" s="10">
        <v>-171</v>
      </c>
      <c r="N936" s="11">
        <v>1.819672131147541</v>
      </c>
      <c r="O936" s="12">
        <v>54470.411163714743</v>
      </c>
      <c r="P936" s="32" t="s">
        <v>506</v>
      </c>
      <c r="Q936" s="81" t="s">
        <v>81</v>
      </c>
      <c r="R936" s="82" t="s">
        <v>666</v>
      </c>
      <c r="S936" s="32">
        <v>1457</v>
      </c>
      <c r="T936" s="32">
        <v>1019.9</v>
      </c>
      <c r="U936" s="32">
        <v>1019.9</v>
      </c>
      <c r="V936" s="74" t="s">
        <v>77</v>
      </c>
      <c r="W936" s="15"/>
      <c r="X936" s="15"/>
      <c r="Y936" s="16"/>
      <c r="Z936" s="17"/>
      <c r="AA936" s="16"/>
      <c r="AB936" s="99">
        <v>835.98</v>
      </c>
      <c r="AC936" s="20">
        <v>151.15570745871406</v>
      </c>
      <c r="AD936" s="21">
        <v>46081</v>
      </c>
      <c r="AE936" s="22">
        <v>656466.9710699151</v>
      </c>
      <c r="AF936" s="23">
        <v>503345.42593333352</v>
      </c>
      <c r="AG936" s="24">
        <v>602509.44593333395</v>
      </c>
      <c r="AH936" s="15">
        <v>0.5</v>
      </c>
      <c r="AI936" s="76"/>
      <c r="AJ936" s="77"/>
      <c r="AK936" s="77"/>
      <c r="AL936" s="77"/>
      <c r="AM936" s="77"/>
      <c r="AN936" s="83"/>
      <c r="AO936" s="83"/>
      <c r="AP936" s="77"/>
      <c r="AQ936" s="77"/>
      <c r="AR936" s="77"/>
      <c r="AS936" s="77"/>
      <c r="AT936" s="77"/>
      <c r="AU936" s="77"/>
      <c r="AV936" s="77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  <c r="BK936" s="77"/>
      <c r="BL936" s="77"/>
      <c r="BM936" s="77"/>
      <c r="BN936" s="77"/>
      <c r="BO936" s="77"/>
      <c r="BP936" s="77"/>
    </row>
    <row r="937" spans="1:68" ht="15" customHeight="1" x14ac:dyDescent="0.25">
      <c r="A937" s="1">
        <f t="shared" si="59"/>
        <v>486</v>
      </c>
      <c r="B937" s="1" t="str">
        <f t="shared" si="56"/>
        <v xml:space="preserve">Detroit </v>
      </c>
      <c r="C937" s="1">
        <f t="shared" si="57"/>
        <v>1</v>
      </c>
      <c r="D937" s="2" t="str">
        <f t="shared" si="58"/>
        <v>2026-02</v>
      </c>
      <c r="E937" s="3" t="s">
        <v>1328</v>
      </c>
      <c r="F937" s="4" t="s">
        <v>1197</v>
      </c>
      <c r="G937" s="102">
        <v>46081</v>
      </c>
      <c r="H937" s="4">
        <v>-129</v>
      </c>
      <c r="I937" s="4">
        <v>129</v>
      </c>
      <c r="J937" s="7">
        <v>102</v>
      </c>
      <c r="K937" s="8">
        <v>0.13790393013100433</v>
      </c>
      <c r="L937" s="9">
        <v>6.8269272342081355E-2</v>
      </c>
      <c r="M937" s="10">
        <v>-129</v>
      </c>
      <c r="N937" s="11">
        <v>2.02</v>
      </c>
      <c r="O937" s="12">
        <v>40860.740887008054</v>
      </c>
      <c r="P937" s="13" t="s">
        <v>506</v>
      </c>
      <c r="Q937" s="13" t="s">
        <v>92</v>
      </c>
      <c r="R937" s="14" t="s">
        <v>1329</v>
      </c>
      <c r="S937" s="13">
        <v>236</v>
      </c>
      <c r="T937" s="13">
        <v>165.2</v>
      </c>
      <c r="U937" s="13">
        <v>165.2</v>
      </c>
      <c r="V937" s="127" t="s">
        <v>77</v>
      </c>
      <c r="W937" s="105"/>
      <c r="X937" s="105"/>
      <c r="Y937" s="114"/>
      <c r="Z937" s="8"/>
      <c r="AA937" s="10"/>
      <c r="AB937" s="106">
        <v>168.5</v>
      </c>
      <c r="AC937" s="107">
        <v>22.781729257641913</v>
      </c>
      <c r="AD937" s="108">
        <v>46081</v>
      </c>
      <c r="AE937" s="109">
        <v>657189.57729032252</v>
      </c>
      <c r="AF937" s="110">
        <v>504617.6359333336</v>
      </c>
      <c r="AG937" s="24">
        <v>604449.13593333401</v>
      </c>
      <c r="AH937" s="15">
        <v>0.5</v>
      </c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</row>
    <row r="938" spans="1:68" ht="15" customHeight="1" x14ac:dyDescent="0.25">
      <c r="A938" s="1">
        <f t="shared" si="59"/>
        <v>486</v>
      </c>
      <c r="B938" s="1" t="str">
        <f t="shared" si="56"/>
        <v xml:space="preserve">Detroit </v>
      </c>
      <c r="C938" s="1">
        <f t="shared" si="57"/>
        <v>1</v>
      </c>
      <c r="D938" s="2" t="str">
        <f t="shared" si="58"/>
        <v>2026-02</v>
      </c>
      <c r="E938" s="100" t="s">
        <v>1330</v>
      </c>
      <c r="F938" s="101" t="s">
        <v>1197</v>
      </c>
      <c r="G938" s="5">
        <v>46081</v>
      </c>
      <c r="H938" s="6">
        <v>-102</v>
      </c>
      <c r="I938" s="6">
        <v>102</v>
      </c>
      <c r="J938" s="115">
        <v>116</v>
      </c>
      <c r="K938" s="8">
        <v>9.0693069306930829E-2</v>
      </c>
      <c r="L938" s="9">
        <v>4.1987532086542045E-2</v>
      </c>
      <c r="M938" s="10">
        <v>-102</v>
      </c>
      <c r="N938" s="11">
        <v>2.16</v>
      </c>
      <c r="O938" s="12">
        <v>23616.762022658528</v>
      </c>
      <c r="P938" s="13" t="s">
        <v>506</v>
      </c>
      <c r="Q938" s="13" t="s">
        <v>92</v>
      </c>
      <c r="R938" s="14" t="s">
        <v>1329</v>
      </c>
      <c r="S938" s="13">
        <v>205</v>
      </c>
      <c r="T938" s="13">
        <v>143.5</v>
      </c>
      <c r="U938" s="13">
        <v>143.5</v>
      </c>
      <c r="V938" s="31" t="s">
        <v>82</v>
      </c>
      <c r="W938" s="105"/>
      <c r="X938" s="105"/>
      <c r="Y938" s="114"/>
      <c r="Z938" s="8"/>
      <c r="AA938" s="10"/>
      <c r="AB938" s="106">
        <v>-143.5</v>
      </c>
      <c r="AC938" s="107">
        <v>13.014455445544574</v>
      </c>
      <c r="AD938" s="108">
        <v>46081</v>
      </c>
      <c r="AE938" s="109">
        <v>657426.43582616013</v>
      </c>
      <c r="AF938" s="110">
        <v>503991.83593333361</v>
      </c>
      <c r="AG938" s="24">
        <v>604135.33593333396</v>
      </c>
      <c r="AH938" s="15">
        <v>0.5</v>
      </c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</row>
    <row r="939" spans="1:68" ht="15" customHeight="1" x14ac:dyDescent="0.25">
      <c r="A939" s="1">
        <f t="shared" si="59"/>
        <v>487</v>
      </c>
      <c r="B939" s="1" t="str">
        <f t="shared" si="56"/>
        <v xml:space="preserve">East </v>
      </c>
      <c r="C939" s="1">
        <f t="shared" si="57"/>
        <v>0</v>
      </c>
      <c r="D939" s="2" t="str">
        <f t="shared" si="58"/>
        <v>2026-02</v>
      </c>
      <c r="E939" s="100" t="s">
        <v>1331</v>
      </c>
      <c r="F939" s="101" t="s">
        <v>1315</v>
      </c>
      <c r="G939" s="5">
        <v>46081</v>
      </c>
      <c r="H939" s="6">
        <v>104</v>
      </c>
      <c r="I939" s="6">
        <v>-104</v>
      </c>
      <c r="J939" s="115">
        <v>123</v>
      </c>
      <c r="K939" s="8">
        <v>9.3137254901960689E-2</v>
      </c>
      <c r="L939" s="9">
        <v>4.176558515782991E-2</v>
      </c>
      <c r="M939" s="10">
        <v>104.00000000000001</v>
      </c>
      <c r="N939" s="11">
        <v>2.23</v>
      </c>
      <c r="O939" s="12">
        <v>22823.100535496047</v>
      </c>
      <c r="P939" s="13" t="s">
        <v>506</v>
      </c>
      <c r="Q939" s="13" t="s">
        <v>76</v>
      </c>
      <c r="R939" s="14" t="s">
        <v>1332</v>
      </c>
      <c r="S939" s="13">
        <v>863</v>
      </c>
      <c r="T939" s="13">
        <v>604.09999999999991</v>
      </c>
      <c r="U939" s="13">
        <v>604.09999999999991</v>
      </c>
      <c r="V939" s="31" t="s">
        <v>82</v>
      </c>
      <c r="W939" s="105"/>
      <c r="X939" s="105"/>
      <c r="Y939" s="114"/>
      <c r="Z939" s="8"/>
      <c r="AA939" s="10"/>
      <c r="AB939" s="106">
        <v>-604.09999999999991</v>
      </c>
      <c r="AC939" s="107">
        <v>56.264215686274447</v>
      </c>
      <c r="AD939" s="108">
        <v>46081</v>
      </c>
      <c r="AE939" s="109">
        <v>658098.80064562929</v>
      </c>
      <c r="AF939" s="110">
        <v>502214.04593333363</v>
      </c>
      <c r="AG939" s="24">
        <v>602818.14593333402</v>
      </c>
      <c r="AH939" s="15">
        <v>0.5</v>
      </c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</row>
    <row r="940" spans="1:68" ht="15" customHeight="1" x14ac:dyDescent="0.25">
      <c r="A940" s="1">
        <f t="shared" si="59"/>
        <v>488</v>
      </c>
      <c r="B940" s="1" t="str">
        <f t="shared" si="56"/>
        <v xml:space="preserve">Florida </v>
      </c>
      <c r="C940" s="1">
        <f t="shared" si="57"/>
        <v>1</v>
      </c>
      <c r="D940" s="2" t="str">
        <f t="shared" si="58"/>
        <v>2026-02</v>
      </c>
      <c r="E940" s="3" t="s">
        <v>1333</v>
      </c>
      <c r="F940" s="4" t="s">
        <v>1197</v>
      </c>
      <c r="G940" s="39">
        <v>46081</v>
      </c>
      <c r="H940" s="40">
        <v>-101</v>
      </c>
      <c r="I940" s="40">
        <v>101</v>
      </c>
      <c r="J940" s="7">
        <v>120</v>
      </c>
      <c r="K940" s="8">
        <v>0.10547263681592053</v>
      </c>
      <c r="L940" s="9">
        <v>4.794210764360024E-2</v>
      </c>
      <c r="M940" s="10">
        <v>-101.00000000000001</v>
      </c>
      <c r="N940" s="11">
        <v>2.2000000000000002</v>
      </c>
      <c r="O940" s="12">
        <v>26431.251438197953</v>
      </c>
      <c r="P940" s="32" t="s">
        <v>506</v>
      </c>
      <c r="Q940" s="81" t="s">
        <v>92</v>
      </c>
      <c r="R940" s="82" t="s">
        <v>491</v>
      </c>
      <c r="S940" s="32">
        <v>295</v>
      </c>
      <c r="T940" s="32">
        <v>206.5</v>
      </c>
      <c r="U940" s="32">
        <v>206.5</v>
      </c>
      <c r="V940" s="74" t="s">
        <v>77</v>
      </c>
      <c r="W940" s="15"/>
      <c r="X940" s="15"/>
      <c r="Y940" s="16"/>
      <c r="Z940" s="17"/>
      <c r="AA940" s="16"/>
      <c r="AB940" s="99">
        <v>247.8</v>
      </c>
      <c r="AC940" s="20">
        <v>21.780099502487591</v>
      </c>
      <c r="AD940" s="21">
        <v>46081</v>
      </c>
      <c r="AE940" s="22">
        <v>656189.81536245637</v>
      </c>
      <c r="AF940" s="23">
        <v>501683.44593333354</v>
      </c>
      <c r="AG940" s="24">
        <v>601435.6459333339</v>
      </c>
      <c r="AH940" s="15">
        <v>0.5</v>
      </c>
      <c r="AI940" s="76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  <c r="BK940" s="77"/>
      <c r="BL940" s="77"/>
      <c r="BM940" s="77"/>
      <c r="BN940" s="77"/>
      <c r="BO940" s="77"/>
      <c r="BP940" s="77"/>
    </row>
    <row r="941" spans="1:68" ht="15" customHeight="1" x14ac:dyDescent="0.25">
      <c r="A941" s="1">
        <f t="shared" si="59"/>
        <v>488</v>
      </c>
      <c r="B941" s="1" t="str">
        <f t="shared" si="56"/>
        <v xml:space="preserve">Florida </v>
      </c>
      <c r="C941" s="1">
        <f t="shared" si="57"/>
        <v>1</v>
      </c>
      <c r="D941" s="2" t="str">
        <f t="shared" si="58"/>
        <v>2026-02</v>
      </c>
      <c r="E941" s="100" t="s">
        <v>1334</v>
      </c>
      <c r="F941" s="101" t="s">
        <v>1197</v>
      </c>
      <c r="G941" s="102">
        <v>46081</v>
      </c>
      <c r="H941" s="6">
        <v>103</v>
      </c>
      <c r="I941" s="6">
        <v>-103</v>
      </c>
      <c r="J941" s="115">
        <v>125</v>
      </c>
      <c r="K941" s="8">
        <v>0.10837438423645315</v>
      </c>
      <c r="L941" s="9">
        <v>4.8166392993979179E-2</v>
      </c>
      <c r="M941" s="10">
        <v>103.00000000000001</v>
      </c>
      <c r="N941" s="11">
        <v>2.25</v>
      </c>
      <c r="O941" s="12">
        <v>25999.670917307078</v>
      </c>
      <c r="P941" s="13" t="s">
        <v>506</v>
      </c>
      <c r="Q941" s="13" t="s">
        <v>92</v>
      </c>
      <c r="R941" s="14" t="s">
        <v>1335</v>
      </c>
      <c r="S941" s="13">
        <v>283</v>
      </c>
      <c r="T941" s="13">
        <v>198.1</v>
      </c>
      <c r="U941" s="104">
        <v>198.1</v>
      </c>
      <c r="V941" s="31" t="s">
        <v>77</v>
      </c>
      <c r="W941" s="15"/>
      <c r="X941" s="15"/>
      <c r="Y941" s="16"/>
      <c r="Z941" s="17"/>
      <c r="AA941" s="16"/>
      <c r="AB941" s="24">
        <v>247.63</v>
      </c>
      <c r="AC941" s="20">
        <v>21.468965517241369</v>
      </c>
      <c r="AD941" s="21">
        <v>46081</v>
      </c>
      <c r="AE941" s="22">
        <v>658554.76874600234</v>
      </c>
      <c r="AF941" s="23">
        <v>500012.76593333361</v>
      </c>
      <c r="AG941" s="24">
        <v>599765.13593333401</v>
      </c>
      <c r="AH941" s="15">
        <v>0.5</v>
      </c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</row>
    <row r="942" spans="1:68" ht="15" customHeight="1" x14ac:dyDescent="0.25">
      <c r="A942" s="1">
        <f t="shared" si="59"/>
        <v>489</v>
      </c>
      <c r="B942" s="1" t="str">
        <f t="shared" si="56"/>
        <v xml:space="preserve">Furman </v>
      </c>
      <c r="C942" s="1">
        <f t="shared" si="57"/>
        <v>0</v>
      </c>
      <c r="D942" s="2" t="str">
        <f t="shared" si="58"/>
        <v>2026-02</v>
      </c>
      <c r="E942" s="100" t="s">
        <v>1336</v>
      </c>
      <c r="F942" s="101" t="s">
        <v>1197</v>
      </c>
      <c r="G942" s="5">
        <v>46081</v>
      </c>
      <c r="H942" s="6">
        <v>136</v>
      </c>
      <c r="I942" s="6">
        <v>-136</v>
      </c>
      <c r="J942" s="115">
        <v>185</v>
      </c>
      <c r="K942" s="8">
        <v>0.20762711864406766</v>
      </c>
      <c r="L942" s="9">
        <v>7.2851620576865839E-2</v>
      </c>
      <c r="M942" s="10">
        <v>136.00000000000006</v>
      </c>
      <c r="N942" s="11">
        <v>2.85</v>
      </c>
      <c r="O942" s="12">
        <v>33690.852669186141</v>
      </c>
      <c r="P942" s="13" t="s">
        <v>506</v>
      </c>
      <c r="Q942" s="13" t="s">
        <v>81</v>
      </c>
      <c r="R942" s="14" t="s">
        <v>1337</v>
      </c>
      <c r="S942" s="13">
        <v>319</v>
      </c>
      <c r="T942" s="13">
        <v>223.29999999999998</v>
      </c>
      <c r="U942" s="13">
        <v>223.29999999999998</v>
      </c>
      <c r="V942" s="31" t="s">
        <v>82</v>
      </c>
      <c r="W942" s="15"/>
      <c r="X942" s="15"/>
      <c r="Y942" s="16"/>
      <c r="Z942" s="17"/>
      <c r="AA942" s="16"/>
      <c r="AB942" s="24">
        <v>-223.29999999999998</v>
      </c>
      <c r="AC942" s="20">
        <v>46.363135593220306</v>
      </c>
      <c r="AD942" s="21">
        <v>46081</v>
      </c>
      <c r="AE942" s="22">
        <v>660177.57002907968</v>
      </c>
      <c r="AF942" s="23">
        <v>500161.4459333336</v>
      </c>
      <c r="AG942" s="24">
        <v>600384.74593333388</v>
      </c>
      <c r="AH942" s="15">
        <v>0.5</v>
      </c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</row>
    <row r="943" spans="1:68" ht="15" customHeight="1" x14ac:dyDescent="0.25">
      <c r="A943" s="1">
        <f t="shared" si="59"/>
        <v>489</v>
      </c>
      <c r="B943" s="1" t="str">
        <f t="shared" si="56"/>
        <v xml:space="preserve">Furman </v>
      </c>
      <c r="C943" s="1">
        <f t="shared" si="57"/>
        <v>0</v>
      </c>
      <c r="D943" s="2" t="str">
        <f t="shared" si="58"/>
        <v>2026-02</v>
      </c>
      <c r="E943" s="100" t="s">
        <v>1336</v>
      </c>
      <c r="F943" s="101" t="s">
        <v>1197</v>
      </c>
      <c r="G943" s="5">
        <v>46081</v>
      </c>
      <c r="H943" s="6">
        <v>181</v>
      </c>
      <c r="I943" s="6">
        <v>-181</v>
      </c>
      <c r="J943" s="115">
        <v>275</v>
      </c>
      <c r="K943" s="8">
        <v>0.33451957295373697</v>
      </c>
      <c r="L943" s="9">
        <v>8.9205219454329854E-2</v>
      </c>
      <c r="M943" s="10">
        <v>180.99999999999997</v>
      </c>
      <c r="N943" s="11">
        <v>3.75</v>
      </c>
      <c r="O943" s="12">
        <v>36502.863744893839</v>
      </c>
      <c r="P943" s="13" t="s">
        <v>506</v>
      </c>
      <c r="Q943" s="13" t="s">
        <v>81</v>
      </c>
      <c r="R943" s="14" t="s">
        <v>1337</v>
      </c>
      <c r="S943" s="13">
        <v>218</v>
      </c>
      <c r="T943" s="13">
        <v>152.6</v>
      </c>
      <c r="U943" s="13">
        <v>152.6</v>
      </c>
      <c r="V943" s="31" t="s">
        <v>82</v>
      </c>
      <c r="W943" s="15"/>
      <c r="X943" s="15"/>
      <c r="Y943" s="16"/>
      <c r="Z943" s="17"/>
      <c r="AA943" s="16"/>
      <c r="AB943" s="24">
        <v>-152.6</v>
      </c>
      <c r="AC943" s="20">
        <v>51.047686832740261</v>
      </c>
      <c r="AD943" s="21">
        <v>46081</v>
      </c>
      <c r="AE943" s="22">
        <v>660228.61771591241</v>
      </c>
      <c r="AF943" s="23">
        <v>500008.84593333362</v>
      </c>
      <c r="AG943" s="24">
        <v>600161.44593333383</v>
      </c>
      <c r="AH943" s="15">
        <v>0.5</v>
      </c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</row>
    <row r="944" spans="1:68" ht="15" customHeight="1" x14ac:dyDescent="0.25">
      <c r="A944" s="1">
        <f t="shared" si="59"/>
        <v>490</v>
      </c>
      <c r="B944" s="1" t="str">
        <f t="shared" si="56"/>
        <v xml:space="preserve">Furman </v>
      </c>
      <c r="C944" s="1">
        <f t="shared" si="57"/>
        <v>1</v>
      </c>
      <c r="D944" s="2" t="str">
        <f t="shared" si="58"/>
        <v>2026-02</v>
      </c>
      <c r="E944" s="100" t="s">
        <v>1338</v>
      </c>
      <c r="F944" s="101" t="s">
        <v>1315</v>
      </c>
      <c r="G944" s="5">
        <v>46081</v>
      </c>
      <c r="H944" s="6">
        <v>-103</v>
      </c>
      <c r="I944" s="6">
        <v>103</v>
      </c>
      <c r="J944" s="115">
        <v>120</v>
      </c>
      <c r="K944" s="8">
        <v>0.11625615763546812</v>
      </c>
      <c r="L944" s="9">
        <v>5.2843708016121871E-2</v>
      </c>
      <c r="M944" s="10">
        <v>-103.00000000000001</v>
      </c>
      <c r="N944" s="11">
        <v>2.2000000000000002</v>
      </c>
      <c r="O944" s="12">
        <v>29098.68112484954</v>
      </c>
      <c r="P944" s="13" t="s">
        <v>506</v>
      </c>
      <c r="Q944" s="13" t="s">
        <v>92</v>
      </c>
      <c r="R944" s="14" t="s">
        <v>1337</v>
      </c>
      <c r="S944" s="13">
        <v>885</v>
      </c>
      <c r="T944" s="13">
        <v>619.5</v>
      </c>
      <c r="U944" s="13">
        <v>619.5</v>
      </c>
      <c r="V944" s="31" t="s">
        <v>77</v>
      </c>
      <c r="W944" s="15"/>
      <c r="X944" s="15"/>
      <c r="Y944" s="16"/>
      <c r="Z944" s="17"/>
      <c r="AA944" s="16"/>
      <c r="AB944" s="24">
        <v>743.4</v>
      </c>
      <c r="AC944" s="20">
        <v>72.020689655172504</v>
      </c>
      <c r="AD944" s="21">
        <v>46081</v>
      </c>
      <c r="AE944" s="22">
        <v>660314.67238615011</v>
      </c>
      <c r="AF944" s="23">
        <v>501458.54593333363</v>
      </c>
      <c r="AG944" s="24">
        <v>600715.1459333339</v>
      </c>
      <c r="AH944" s="15">
        <v>0.5</v>
      </c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</row>
    <row r="945" spans="1:68" ht="15" customHeight="1" x14ac:dyDescent="0.25">
      <c r="A945" s="1">
        <f t="shared" si="59"/>
        <v>490</v>
      </c>
      <c r="B945" s="1" t="str">
        <f t="shared" si="56"/>
        <v xml:space="preserve">Furman </v>
      </c>
      <c r="C945" s="1">
        <f t="shared" si="57"/>
        <v>1</v>
      </c>
      <c r="D945" s="2" t="str">
        <f t="shared" si="58"/>
        <v>2026-02</v>
      </c>
      <c r="E945" s="100" t="s">
        <v>1339</v>
      </c>
      <c r="F945" s="101" t="s">
        <v>1197</v>
      </c>
      <c r="G945" s="5">
        <v>46081</v>
      </c>
      <c r="H945" s="6">
        <v>-101</v>
      </c>
      <c r="I945" s="6">
        <v>101</v>
      </c>
      <c r="J945" s="115">
        <v>116</v>
      </c>
      <c r="K945" s="8">
        <v>8.5373134328358427E-2</v>
      </c>
      <c r="L945" s="9">
        <v>3.9524599226091861E-2</v>
      </c>
      <c r="M945" s="10">
        <v>-101.00000000000001</v>
      </c>
      <c r="N945" s="11">
        <v>2.16</v>
      </c>
      <c r="O945" s="12">
        <v>22313.23521061939</v>
      </c>
      <c r="P945" s="13" t="s">
        <v>506</v>
      </c>
      <c r="Q945" s="13" t="s">
        <v>92</v>
      </c>
      <c r="R945" s="14" t="s">
        <v>1337</v>
      </c>
      <c r="S945" s="13">
        <v>307</v>
      </c>
      <c r="T945" s="13">
        <v>214.89999999999998</v>
      </c>
      <c r="U945" s="104">
        <v>214.89999999999998</v>
      </c>
      <c r="V945" s="31" t="s">
        <v>77</v>
      </c>
      <c r="W945" s="15"/>
      <c r="X945" s="15"/>
      <c r="Y945" s="16"/>
      <c r="Z945" s="17"/>
      <c r="AA945" s="16"/>
      <c r="AB945" s="24">
        <v>249.28</v>
      </c>
      <c r="AC945" s="20">
        <v>18.346686567164223</v>
      </c>
      <c r="AD945" s="21">
        <v>46081</v>
      </c>
      <c r="AE945" s="22">
        <v>660748.57794131991</v>
      </c>
      <c r="AF945" s="23">
        <v>506607.54593333363</v>
      </c>
      <c r="AG945" s="24">
        <v>606358.2659333339</v>
      </c>
      <c r="AH945" s="15">
        <v>0.5</v>
      </c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</row>
    <row r="946" spans="1:68" ht="15" customHeight="1" x14ac:dyDescent="0.25">
      <c r="A946" s="1">
        <f t="shared" si="59"/>
        <v>491</v>
      </c>
      <c r="B946" s="1" t="str">
        <f t="shared" si="56"/>
        <v xml:space="preserve">Howard </v>
      </c>
      <c r="C946" s="1">
        <f t="shared" si="57"/>
        <v>1</v>
      </c>
      <c r="D946" s="2" t="str">
        <f t="shared" si="58"/>
        <v>2026-02</v>
      </c>
      <c r="E946" s="100" t="s">
        <v>1340</v>
      </c>
      <c r="F946" s="101" t="s">
        <v>1197</v>
      </c>
      <c r="G946" s="102">
        <v>46081</v>
      </c>
      <c r="H946" s="6">
        <v>-110</v>
      </c>
      <c r="I946" s="6">
        <v>-110</v>
      </c>
      <c r="J946" s="115">
        <v>110</v>
      </c>
      <c r="K946" s="8">
        <v>5.0000000000000058E-2</v>
      </c>
      <c r="L946" s="9">
        <v>2.3809523809523836E-2</v>
      </c>
      <c r="M946" s="10">
        <v>100</v>
      </c>
      <c r="N946" s="11">
        <v>2.1</v>
      </c>
      <c r="O946" s="12">
        <v>13622.590134848515</v>
      </c>
      <c r="P946" s="13" t="s">
        <v>506</v>
      </c>
      <c r="Q946" s="13" t="s">
        <v>92</v>
      </c>
      <c r="R946" s="14" t="s">
        <v>1341</v>
      </c>
      <c r="S946" s="13">
        <v>214</v>
      </c>
      <c r="T946" s="13">
        <v>149.79999999999998</v>
      </c>
      <c r="U946" s="104">
        <v>149.79999999999998</v>
      </c>
      <c r="V946" s="31" t="s">
        <v>77</v>
      </c>
      <c r="W946" s="15"/>
      <c r="X946" s="15"/>
      <c r="Y946" s="16"/>
      <c r="Z946" s="17"/>
      <c r="AA946" s="16"/>
      <c r="AB946" s="24">
        <v>164.78</v>
      </c>
      <c r="AC946" s="20">
        <v>7.4900000000000082</v>
      </c>
      <c r="AD946" s="21">
        <v>46081</v>
      </c>
      <c r="AE946" s="22">
        <v>658499.61579519475</v>
      </c>
      <c r="AF946" s="23">
        <v>499558.74593333359</v>
      </c>
      <c r="AG946" s="24">
        <v>599393.96593333397</v>
      </c>
      <c r="AH946" s="15">
        <v>0.5</v>
      </c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</row>
    <row r="947" spans="1:68" ht="15" customHeight="1" x14ac:dyDescent="0.25">
      <c r="A947" s="1">
        <f t="shared" si="59"/>
        <v>492</v>
      </c>
      <c r="B947" s="1" t="str">
        <f t="shared" si="56"/>
        <v xml:space="preserve">Idaho </v>
      </c>
      <c r="C947" s="1">
        <f t="shared" si="57"/>
        <v>0</v>
      </c>
      <c r="D947" s="2" t="str">
        <f t="shared" si="58"/>
        <v>2026-02</v>
      </c>
      <c r="E947" s="100" t="s">
        <v>1342</v>
      </c>
      <c r="F947" s="101" t="s">
        <v>1315</v>
      </c>
      <c r="G947" s="5">
        <v>46081</v>
      </c>
      <c r="H947" s="6">
        <v>-102</v>
      </c>
      <c r="I947" s="6">
        <v>102</v>
      </c>
      <c r="J947" s="115">
        <v>110</v>
      </c>
      <c r="K947" s="8">
        <v>6.0396039603960464E-2</v>
      </c>
      <c r="L947" s="9">
        <v>2.8760018859028791E-2</v>
      </c>
      <c r="M947" s="10">
        <v>-102</v>
      </c>
      <c r="N947" s="11">
        <v>2.1</v>
      </c>
      <c r="O947" s="12">
        <v>16601.651999069942</v>
      </c>
      <c r="P947" s="13" t="s">
        <v>506</v>
      </c>
      <c r="Q947" s="13" t="s">
        <v>81</v>
      </c>
      <c r="R947" s="14" t="s">
        <v>774</v>
      </c>
      <c r="S947" s="13">
        <v>900</v>
      </c>
      <c r="T947" s="13">
        <v>630</v>
      </c>
      <c r="U947" s="13">
        <v>630</v>
      </c>
      <c r="V947" s="31" t="s">
        <v>82</v>
      </c>
      <c r="W947" s="105"/>
      <c r="X947" s="105"/>
      <c r="Y947" s="114"/>
      <c r="Z947" s="8"/>
      <c r="AA947" s="10"/>
      <c r="AB947" s="106">
        <v>-630</v>
      </c>
      <c r="AC947" s="107">
        <v>38.049504950495091</v>
      </c>
      <c r="AD947" s="108">
        <v>46081</v>
      </c>
      <c r="AE947" s="109">
        <v>657558.35669033392</v>
      </c>
      <c r="AF947" s="110">
        <v>504105.58593333361</v>
      </c>
      <c r="AG947" s="106">
        <v>604735.58593333396</v>
      </c>
      <c r="AH947" s="15">
        <v>0.5</v>
      </c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</row>
    <row r="948" spans="1:68" ht="15" customHeight="1" x14ac:dyDescent="0.25">
      <c r="A948" s="1">
        <f t="shared" si="59"/>
        <v>493</v>
      </c>
      <c r="B948" s="1" t="str">
        <f t="shared" si="56"/>
        <v xml:space="preserve">Iowa </v>
      </c>
      <c r="C948" s="1">
        <f t="shared" si="57"/>
        <v>1</v>
      </c>
      <c r="D948" s="2" t="str">
        <f t="shared" si="58"/>
        <v>2026-02</v>
      </c>
      <c r="E948" s="3" t="s">
        <v>1343</v>
      </c>
      <c r="F948" s="4" t="s">
        <v>1197</v>
      </c>
      <c r="G948" s="39">
        <v>46081</v>
      </c>
      <c r="H948" s="40">
        <v>-146</v>
      </c>
      <c r="I948" s="40">
        <v>146</v>
      </c>
      <c r="J948" s="7">
        <v>-111</v>
      </c>
      <c r="K948" s="8">
        <v>0.12817695744525015</v>
      </c>
      <c r="L948" s="9">
        <v>6.7429584248449137E-2</v>
      </c>
      <c r="M948" s="10">
        <v>-146</v>
      </c>
      <c r="N948" s="11">
        <v>1.900900900900901</v>
      </c>
      <c r="O948" s="12">
        <v>42594.451946476998</v>
      </c>
      <c r="P948" s="32" t="s">
        <v>506</v>
      </c>
      <c r="Q948" s="80" t="s">
        <v>92</v>
      </c>
      <c r="R948" s="82" t="s">
        <v>607</v>
      </c>
      <c r="S948" s="32">
        <v>795</v>
      </c>
      <c r="T948" s="32">
        <v>556.5</v>
      </c>
      <c r="U948" s="32">
        <v>556.5</v>
      </c>
      <c r="V948" s="74" t="s">
        <v>77</v>
      </c>
      <c r="W948" s="15"/>
      <c r="X948" s="15"/>
      <c r="Y948" s="16"/>
      <c r="Z948" s="17"/>
      <c r="AA948" s="16"/>
      <c r="AB948" s="99">
        <v>501.35</v>
      </c>
      <c r="AC948" s="20">
        <v>71.33047681828171</v>
      </c>
      <c r="AD948" s="21">
        <v>46081</v>
      </c>
      <c r="AE948" s="22">
        <v>655740.92345310387</v>
      </c>
      <c r="AF948" s="23">
        <v>499257.64593333361</v>
      </c>
      <c r="AG948" s="24">
        <v>598756.29593333381</v>
      </c>
      <c r="AH948" s="15">
        <v>0.5</v>
      </c>
      <c r="AI948" s="76"/>
      <c r="AJ948" s="76"/>
      <c r="AK948" s="76"/>
      <c r="AL948" s="76"/>
      <c r="AM948" s="76"/>
      <c r="AN948" s="76"/>
      <c r="AO948" s="76"/>
      <c r="AP948" s="77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  <c r="BK948" s="77"/>
      <c r="BL948" s="77"/>
      <c r="BM948" s="77"/>
      <c r="BN948" s="77"/>
      <c r="BO948" s="77"/>
      <c r="BP948" s="76"/>
    </row>
    <row r="949" spans="1:68" ht="15" customHeight="1" x14ac:dyDescent="0.25">
      <c r="A949" s="1">
        <f t="shared" si="59"/>
        <v>494</v>
      </c>
      <c r="B949" s="1" t="str">
        <f t="shared" si="56"/>
        <v xml:space="preserve">IUPUI </v>
      </c>
      <c r="C949" s="1">
        <f t="shared" si="57"/>
        <v>0</v>
      </c>
      <c r="D949" s="2" t="str">
        <f t="shared" si="58"/>
        <v>2026-02</v>
      </c>
      <c r="E949" s="3" t="s">
        <v>1344</v>
      </c>
      <c r="F949" s="4" t="s">
        <v>1197</v>
      </c>
      <c r="G949" s="102">
        <v>46081</v>
      </c>
      <c r="H949" s="4">
        <v>195</v>
      </c>
      <c r="I949" s="4">
        <v>-195</v>
      </c>
      <c r="J949" s="7">
        <v>260</v>
      </c>
      <c r="K949" s="8">
        <v>0.22033898305084734</v>
      </c>
      <c r="L949" s="9">
        <v>6.1205273069679822E-2</v>
      </c>
      <c r="M949" s="10">
        <v>195.00000000000003</v>
      </c>
      <c r="N949" s="11">
        <v>3.6</v>
      </c>
      <c r="O949" s="12">
        <v>25674.884997175159</v>
      </c>
      <c r="P949" s="13" t="s">
        <v>506</v>
      </c>
      <c r="Q949" s="13" t="s">
        <v>81</v>
      </c>
      <c r="R949" s="14" t="s">
        <v>1345</v>
      </c>
      <c r="S949" s="13">
        <v>136</v>
      </c>
      <c r="T949" s="13">
        <v>95.199999999999989</v>
      </c>
      <c r="U949" s="13">
        <v>95.199999999999989</v>
      </c>
      <c r="V949" s="31" t="s">
        <v>82</v>
      </c>
      <c r="W949" s="105"/>
      <c r="X949" s="105"/>
      <c r="Y949" s="114"/>
      <c r="Z949" s="8"/>
      <c r="AA949" s="10"/>
      <c r="AB949" s="106">
        <v>-95.199999999999989</v>
      </c>
      <c r="AC949" s="107">
        <v>20.976271186440666</v>
      </c>
      <c r="AD949" s="108">
        <v>46081</v>
      </c>
      <c r="AE949" s="109">
        <v>656914.19789486192</v>
      </c>
      <c r="AF949" s="110">
        <v>505832.08593333355</v>
      </c>
      <c r="AG949" s="106">
        <v>605927.28593333403</v>
      </c>
      <c r="AH949" s="15">
        <v>0.5</v>
      </c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</row>
    <row r="950" spans="1:68" ht="15" customHeight="1" x14ac:dyDescent="0.25">
      <c r="A950" s="1">
        <f t="shared" si="59"/>
        <v>494</v>
      </c>
      <c r="B950" s="1" t="str">
        <f t="shared" si="56"/>
        <v xml:space="preserve">IUPUI </v>
      </c>
      <c r="C950" s="1">
        <f t="shared" si="57"/>
        <v>0</v>
      </c>
      <c r="D950" s="2" t="str">
        <f t="shared" si="58"/>
        <v>2026-02</v>
      </c>
      <c r="E950" s="3" t="s">
        <v>1346</v>
      </c>
      <c r="F950" s="4" t="s">
        <v>1197</v>
      </c>
      <c r="G950" s="102">
        <v>46081</v>
      </c>
      <c r="H950" s="4">
        <v>-104</v>
      </c>
      <c r="I950" s="4">
        <v>104</v>
      </c>
      <c r="J950" s="7">
        <v>115</v>
      </c>
      <c r="K950" s="8">
        <v>9.6078431372548956E-2</v>
      </c>
      <c r="L950" s="9">
        <v>4.4687642498859981E-2</v>
      </c>
      <c r="M950" s="10">
        <v>-103.99999999999999</v>
      </c>
      <c r="N950" s="11">
        <v>2.15</v>
      </c>
      <c r="O950" s="12">
        <v>25307.563692014792</v>
      </c>
      <c r="P950" s="13" t="s">
        <v>506</v>
      </c>
      <c r="Q950" s="13" t="s">
        <v>76</v>
      </c>
      <c r="R950" s="14" t="s">
        <v>1345</v>
      </c>
      <c r="S950" s="13">
        <v>207</v>
      </c>
      <c r="T950" s="13">
        <v>144.89999999999998</v>
      </c>
      <c r="U950" s="13">
        <v>144.89999999999998</v>
      </c>
      <c r="V950" s="127" t="s">
        <v>82</v>
      </c>
      <c r="W950" s="105"/>
      <c r="X950" s="105"/>
      <c r="Y950" s="114"/>
      <c r="Z950" s="8"/>
      <c r="AA950" s="10"/>
      <c r="AB950" s="106">
        <v>-144.89999999999998</v>
      </c>
      <c r="AC950" s="107">
        <v>13.921764705882342</v>
      </c>
      <c r="AD950" s="108">
        <v>46081</v>
      </c>
      <c r="AE950" s="109">
        <v>656928.11965956783</v>
      </c>
      <c r="AF950" s="110">
        <v>505687.18593333353</v>
      </c>
      <c r="AG950" s="106">
        <v>605832.08593333408</v>
      </c>
      <c r="AH950" s="15">
        <v>0.5</v>
      </c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</row>
    <row r="951" spans="1:68" ht="15" customHeight="1" x14ac:dyDescent="0.25">
      <c r="A951" s="1">
        <f t="shared" si="59"/>
        <v>495</v>
      </c>
      <c r="B951" s="1" t="str">
        <f t="shared" si="56"/>
        <v xml:space="preserve">Lafayette </v>
      </c>
      <c r="C951" s="1">
        <f t="shared" si="57"/>
        <v>0</v>
      </c>
      <c r="D951" s="2" t="str">
        <f t="shared" si="58"/>
        <v>2026-02</v>
      </c>
      <c r="E951" s="3" t="s">
        <v>1347</v>
      </c>
      <c r="F951" s="4" t="s">
        <v>1197</v>
      </c>
      <c r="G951" s="39">
        <v>46081</v>
      </c>
      <c r="H951" s="40">
        <v>-104</v>
      </c>
      <c r="I951" s="40">
        <v>104</v>
      </c>
      <c r="J951" s="7">
        <v>116</v>
      </c>
      <c r="K951" s="8">
        <v>0.10117647058823534</v>
      </c>
      <c r="L951" s="9">
        <v>4.6840958605664507E-2</v>
      </c>
      <c r="M951" s="10">
        <v>-103.99999999999999</v>
      </c>
      <c r="N951" s="11">
        <v>2.16</v>
      </c>
      <c r="O951" s="12">
        <v>26124.694741514566</v>
      </c>
      <c r="P951" s="32" t="s">
        <v>506</v>
      </c>
      <c r="Q951" s="80" t="s">
        <v>76</v>
      </c>
      <c r="R951" s="82" t="s">
        <v>1348</v>
      </c>
      <c r="S951" s="32">
        <v>205</v>
      </c>
      <c r="T951" s="32">
        <v>143.5</v>
      </c>
      <c r="U951" s="32">
        <v>143.5</v>
      </c>
      <c r="V951" s="74" t="s">
        <v>82</v>
      </c>
      <c r="W951" s="15"/>
      <c r="X951" s="15"/>
      <c r="Y951" s="16"/>
      <c r="Z951" s="17"/>
      <c r="AA951" s="16"/>
      <c r="AB951" s="99">
        <v>-143.5</v>
      </c>
      <c r="AC951" s="20">
        <v>14.518823529411771</v>
      </c>
      <c r="AD951" s="21">
        <v>46081</v>
      </c>
      <c r="AE951" s="22">
        <v>655852.42567473627</v>
      </c>
      <c r="AF951" s="23">
        <v>498901.8259333336</v>
      </c>
      <c r="AG951" s="24">
        <v>599045.32593333384</v>
      </c>
      <c r="AH951" s="15">
        <v>0.5</v>
      </c>
      <c r="AI951" s="76"/>
      <c r="AJ951" s="77"/>
      <c r="AK951" s="77"/>
      <c r="AL951" s="77"/>
      <c r="AM951" s="77"/>
      <c r="AN951" s="76"/>
      <c r="AO951" s="76"/>
      <c r="AP951" s="77"/>
      <c r="AQ951" s="77"/>
      <c r="AR951" s="77"/>
      <c r="AS951" s="77"/>
      <c r="AT951" s="77"/>
      <c r="AU951" s="77"/>
      <c r="AV951" s="77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  <c r="BK951" s="77"/>
      <c r="BL951" s="77"/>
      <c r="BM951" s="77"/>
      <c r="BN951" s="77"/>
      <c r="BO951" s="77"/>
      <c r="BP951" s="77"/>
    </row>
    <row r="952" spans="1:68" ht="15" customHeight="1" x14ac:dyDescent="0.25">
      <c r="A952" s="1">
        <f t="shared" si="59"/>
        <v>496</v>
      </c>
      <c r="B952" s="1" t="str">
        <f t="shared" si="56"/>
        <v xml:space="preserve">Lamar </v>
      </c>
      <c r="C952" s="1">
        <f t="shared" si="57"/>
        <v>0</v>
      </c>
      <c r="D952" s="2" t="str">
        <f t="shared" si="58"/>
        <v>2026-02</v>
      </c>
      <c r="E952" s="100" t="s">
        <v>1349</v>
      </c>
      <c r="F952" s="101" t="s">
        <v>1197</v>
      </c>
      <c r="G952" s="102">
        <v>46081</v>
      </c>
      <c r="H952" s="6">
        <v>-102</v>
      </c>
      <c r="I952" s="6">
        <v>102</v>
      </c>
      <c r="J952" s="115">
        <v>118</v>
      </c>
      <c r="K952" s="8">
        <v>0.1007920792079206</v>
      </c>
      <c r="L952" s="9">
        <v>4.6234898719229645E-2</v>
      </c>
      <c r="M952" s="10">
        <v>-102</v>
      </c>
      <c r="N952" s="11">
        <v>2.1799999999999997</v>
      </c>
      <c r="O952" s="12">
        <v>25625.650097337348</v>
      </c>
      <c r="P952" s="13" t="s">
        <v>506</v>
      </c>
      <c r="Q952" s="13" t="s">
        <v>76</v>
      </c>
      <c r="R952" s="14" t="s">
        <v>1350</v>
      </c>
      <c r="S952" s="13">
        <v>305</v>
      </c>
      <c r="T952" s="13">
        <v>213.5</v>
      </c>
      <c r="U952" s="104">
        <v>213.5</v>
      </c>
      <c r="V952" s="31" t="s">
        <v>82</v>
      </c>
      <c r="W952" s="15"/>
      <c r="X952" s="15"/>
      <c r="Y952" s="16"/>
      <c r="Z952" s="17"/>
      <c r="AA952" s="16"/>
      <c r="AB952" s="24">
        <v>-213.5</v>
      </c>
      <c r="AC952" s="20">
        <v>21.519108910891049</v>
      </c>
      <c r="AD952" s="21">
        <v>46081</v>
      </c>
      <c r="AE952" s="22">
        <v>658576.28785491327</v>
      </c>
      <c r="AF952" s="23">
        <v>499799.26593333361</v>
      </c>
      <c r="AG952" s="24">
        <v>600012.76593333401</v>
      </c>
      <c r="AH952" s="15">
        <v>0.5</v>
      </c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</row>
    <row r="953" spans="1:68" ht="15" customHeight="1" x14ac:dyDescent="0.25">
      <c r="A953" s="1">
        <f t="shared" si="59"/>
        <v>497</v>
      </c>
      <c r="B953" s="1" t="str">
        <f t="shared" si="56"/>
        <v xml:space="preserve">Le </v>
      </c>
      <c r="C953" s="1">
        <f t="shared" si="57"/>
        <v>0</v>
      </c>
      <c r="D953" s="2" t="str">
        <f t="shared" si="58"/>
        <v>2026-02</v>
      </c>
      <c r="E953" s="3" t="s">
        <v>1351</v>
      </c>
      <c r="F953" s="4" t="s">
        <v>1197</v>
      </c>
      <c r="G953" s="39">
        <v>46081</v>
      </c>
      <c r="H953" s="40">
        <v>-156</v>
      </c>
      <c r="I953" s="40">
        <v>156</v>
      </c>
      <c r="J953" s="7">
        <v>-118</v>
      </c>
      <c r="K953" s="8">
        <v>0.12579449152542377</v>
      </c>
      <c r="L953" s="9">
        <v>6.8090596330275255E-2</v>
      </c>
      <c r="M953" s="10">
        <v>-156</v>
      </c>
      <c r="N953" s="11">
        <v>1.847457627118644</v>
      </c>
      <c r="O953" s="12">
        <v>44673.02606536464</v>
      </c>
      <c r="P953" s="32" t="s">
        <v>506</v>
      </c>
      <c r="Q953" s="81" t="s">
        <v>81</v>
      </c>
      <c r="R953" s="82" t="s">
        <v>1352</v>
      </c>
      <c r="S953" s="32">
        <v>416</v>
      </c>
      <c r="T953" s="32">
        <v>291.2</v>
      </c>
      <c r="U953" s="32">
        <v>291.2</v>
      </c>
      <c r="V953" s="74" t="s">
        <v>82</v>
      </c>
      <c r="W953" s="15"/>
      <c r="X953" s="15"/>
      <c r="Y953" s="16"/>
      <c r="Z953" s="17"/>
      <c r="AA953" s="16"/>
      <c r="AB953" s="99">
        <v>-291.2</v>
      </c>
      <c r="AC953" s="20">
        <v>36.631355932203398</v>
      </c>
      <c r="AD953" s="21">
        <v>46081</v>
      </c>
      <c r="AE953" s="22">
        <v>656131.02841146872</v>
      </c>
      <c r="AF953" s="23">
        <v>501619.04593333357</v>
      </c>
      <c r="AG953" s="24">
        <v>601910.24593333388</v>
      </c>
      <c r="AH953" s="15">
        <v>0.5</v>
      </c>
      <c r="AI953" s="76"/>
      <c r="AJ953" s="83"/>
      <c r="AK953" s="83"/>
      <c r="AL953" s="83"/>
      <c r="AM953" s="83"/>
      <c r="AN953" s="83"/>
      <c r="AO953" s="83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83"/>
      <c r="BC953" s="83"/>
      <c r="BD953" s="83"/>
      <c r="BE953" s="83"/>
      <c r="BF953" s="77"/>
      <c r="BG953" s="77"/>
      <c r="BH953" s="77"/>
      <c r="BI953" s="77"/>
      <c r="BJ953" s="77"/>
      <c r="BK953" s="77"/>
      <c r="BL953" s="77"/>
      <c r="BM953" s="77"/>
      <c r="BN953" s="77"/>
      <c r="BO953" s="77"/>
      <c r="BP953" s="77"/>
    </row>
    <row r="954" spans="1:68" ht="15" customHeight="1" x14ac:dyDescent="0.25">
      <c r="A954" s="1">
        <f t="shared" si="59"/>
        <v>498</v>
      </c>
      <c r="B954" s="1" t="str">
        <f t="shared" si="56"/>
        <v xml:space="preserve">Long </v>
      </c>
      <c r="C954" s="1">
        <f t="shared" si="57"/>
        <v>0</v>
      </c>
      <c r="D954" s="2" t="str">
        <f t="shared" si="58"/>
        <v>2026-02</v>
      </c>
      <c r="E954" s="3" t="s">
        <v>1353</v>
      </c>
      <c r="F954" s="4" t="s">
        <v>1315</v>
      </c>
      <c r="G954" s="5">
        <v>46081</v>
      </c>
      <c r="H954" s="4">
        <v>-107</v>
      </c>
      <c r="I954" s="4">
        <v>107</v>
      </c>
      <c r="J954" s="7">
        <v>120</v>
      </c>
      <c r="K954" s="8">
        <v>0.13719806763285045</v>
      </c>
      <c r="L954" s="9">
        <v>6.2362758014932018E-2</v>
      </c>
      <c r="M954" s="10">
        <v>-107.00000000000003</v>
      </c>
      <c r="N954" s="11">
        <v>2.2000000000000002</v>
      </c>
      <c r="O954" s="12">
        <v>34709.434775577101</v>
      </c>
      <c r="P954" s="13" t="s">
        <v>506</v>
      </c>
      <c r="Q954" s="13" t="s">
        <v>81</v>
      </c>
      <c r="R954" s="14" t="s">
        <v>544</v>
      </c>
      <c r="S954" s="13">
        <v>885</v>
      </c>
      <c r="T954" s="13">
        <v>619.5</v>
      </c>
      <c r="U954" s="13">
        <v>619.5</v>
      </c>
      <c r="V954" s="120" t="s">
        <v>77</v>
      </c>
      <c r="W954" s="15"/>
      <c r="X954" s="15"/>
      <c r="Y954" s="16"/>
      <c r="Z954" s="17"/>
      <c r="AA954" s="16"/>
      <c r="AB954" s="24">
        <v>743.4</v>
      </c>
      <c r="AC954" s="20">
        <v>84.994202898550853</v>
      </c>
      <c r="AD954" s="21">
        <v>46081</v>
      </c>
      <c r="AE954" s="22">
        <v>664337.4483820966</v>
      </c>
      <c r="AF954" s="23">
        <v>507914.07593333372</v>
      </c>
      <c r="AG954" s="24">
        <v>607170.67593333381</v>
      </c>
      <c r="AH954" s="15">
        <v>0.5</v>
      </c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</row>
    <row r="955" spans="1:68" ht="15" customHeight="1" x14ac:dyDescent="0.25">
      <c r="A955" s="1">
        <f t="shared" si="59"/>
        <v>499</v>
      </c>
      <c r="B955" s="1" t="str">
        <f t="shared" si="56"/>
        <v xml:space="preserve">Louisville </v>
      </c>
      <c r="C955" s="1">
        <f t="shared" si="57"/>
        <v>0</v>
      </c>
      <c r="D955" s="2" t="str">
        <f t="shared" si="58"/>
        <v>2026-02</v>
      </c>
      <c r="E955" s="100" t="s">
        <v>1354</v>
      </c>
      <c r="F955" s="101" t="s">
        <v>1197</v>
      </c>
      <c r="G955" s="102">
        <v>46081</v>
      </c>
      <c r="H955" s="6">
        <v>126</v>
      </c>
      <c r="I955" s="6">
        <v>-126</v>
      </c>
      <c r="J955" s="115">
        <v>165</v>
      </c>
      <c r="K955" s="8">
        <v>0.17256637168141589</v>
      </c>
      <c r="L955" s="9">
        <v>6.5119385540156949E-2</v>
      </c>
      <c r="M955" s="10">
        <v>126</v>
      </c>
      <c r="N955" s="11">
        <v>2.65</v>
      </c>
      <c r="O955" s="12">
        <v>31660.595644140551</v>
      </c>
      <c r="P955" s="13" t="s">
        <v>506</v>
      </c>
      <c r="Q955" s="13" t="s">
        <v>81</v>
      </c>
      <c r="R955" s="14" t="s">
        <v>605</v>
      </c>
      <c r="S955" s="13">
        <v>715</v>
      </c>
      <c r="T955" s="13">
        <v>500.49999999999994</v>
      </c>
      <c r="U955" s="13">
        <v>500.49999999999994</v>
      </c>
      <c r="V955" s="31" t="s">
        <v>82</v>
      </c>
      <c r="W955" s="105"/>
      <c r="X955" s="105"/>
      <c r="Y955" s="114"/>
      <c r="Z955" s="8"/>
      <c r="AA955" s="10"/>
      <c r="AB955" s="106">
        <v>-500.49999999999994</v>
      </c>
      <c r="AC955" s="107">
        <v>86.369469026548643</v>
      </c>
      <c r="AD955" s="108">
        <v>46081</v>
      </c>
      <c r="AE955" s="109">
        <v>656746.39151370747</v>
      </c>
      <c r="AF955" s="110">
        <v>504947.5059333336</v>
      </c>
      <c r="AG955" s="106">
        <v>605448.005933334</v>
      </c>
      <c r="AH955" s="15">
        <v>0.5</v>
      </c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</row>
    <row r="956" spans="1:68" ht="15" customHeight="1" x14ac:dyDescent="0.25">
      <c r="A956" s="1">
        <f t="shared" si="59"/>
        <v>500</v>
      </c>
      <c r="B956" s="1" t="str">
        <f t="shared" si="56"/>
        <v xml:space="preserve">Loyola </v>
      </c>
      <c r="C956" s="1">
        <f t="shared" si="57"/>
        <v>1</v>
      </c>
      <c r="D956" s="2" t="str">
        <f t="shared" si="58"/>
        <v>2026-02</v>
      </c>
      <c r="E956" s="3" t="s">
        <v>1355</v>
      </c>
      <c r="F956" s="4" t="s">
        <v>1197</v>
      </c>
      <c r="G956" s="39">
        <v>46081</v>
      </c>
      <c r="H956" s="40">
        <v>-133</v>
      </c>
      <c r="I956" s="40">
        <v>100</v>
      </c>
      <c r="J956" s="7">
        <v>-133</v>
      </c>
      <c r="K956" s="8">
        <v>-6.6132264529058141E-2</v>
      </c>
      <c r="L956" s="9">
        <v>-3.7749318379247776E-2</v>
      </c>
      <c r="M956" s="10">
        <v>-114.16309012875536</v>
      </c>
      <c r="N956" s="11">
        <v>1.7518796992481203</v>
      </c>
      <c r="O956" s="12">
        <v>-26337.748941897826</v>
      </c>
      <c r="P956" s="32" t="s">
        <v>506</v>
      </c>
      <c r="Q956" s="80" t="s">
        <v>92</v>
      </c>
      <c r="R956" s="82" t="s">
        <v>1170</v>
      </c>
      <c r="S956" s="32">
        <v>319</v>
      </c>
      <c r="T956" s="32">
        <v>223.29999999999998</v>
      </c>
      <c r="U956" s="32">
        <v>223.29999999999998</v>
      </c>
      <c r="V956" s="74" t="s">
        <v>77</v>
      </c>
      <c r="W956" s="15"/>
      <c r="X956" s="15"/>
      <c r="Y956" s="16"/>
      <c r="Z956" s="17"/>
      <c r="AA956" s="16"/>
      <c r="AB956" s="99">
        <v>167.89</v>
      </c>
      <c r="AC956" s="20">
        <v>-14.767334669338682</v>
      </c>
      <c r="AD956" s="21">
        <v>46081</v>
      </c>
      <c r="AE956" s="22">
        <v>655760.50369124999</v>
      </c>
      <c r="AF956" s="23">
        <v>499053.1359333336</v>
      </c>
      <c r="AG956" s="24">
        <v>598885.24593333376</v>
      </c>
      <c r="AH956" s="15">
        <v>0.5</v>
      </c>
      <c r="AI956" s="76"/>
      <c r="AJ956" s="76"/>
      <c r="AK956" s="76"/>
      <c r="AL956" s="76"/>
      <c r="AM956" s="76"/>
      <c r="AN956" s="76"/>
      <c r="AO956" s="76"/>
      <c r="AP956" s="77"/>
      <c r="AQ956" s="77"/>
      <c r="AR956" s="77"/>
      <c r="AS956" s="77"/>
      <c r="AT956" s="77"/>
      <c r="AU956" s="77"/>
      <c r="AV956" s="77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  <c r="BK956" s="77"/>
      <c r="BL956" s="77"/>
      <c r="BM956" s="77"/>
      <c r="BN956" s="77"/>
      <c r="BO956" s="77"/>
      <c r="BP956" s="77"/>
    </row>
    <row r="957" spans="1:68" ht="15" customHeight="1" x14ac:dyDescent="0.25">
      <c r="A957" s="1">
        <f t="shared" si="59"/>
        <v>500</v>
      </c>
      <c r="B957" s="1" t="str">
        <f t="shared" si="56"/>
        <v xml:space="preserve">Loyola </v>
      </c>
      <c r="C957" s="1">
        <f t="shared" si="57"/>
        <v>1</v>
      </c>
      <c r="D957" s="2" t="str">
        <f t="shared" si="58"/>
        <v>2026-02</v>
      </c>
      <c r="E957" s="3" t="s">
        <v>1356</v>
      </c>
      <c r="F957" s="4" t="s">
        <v>1197</v>
      </c>
      <c r="G957" s="39">
        <v>46081</v>
      </c>
      <c r="H957" s="40">
        <v>-232</v>
      </c>
      <c r="I957" s="40">
        <v>232</v>
      </c>
      <c r="J957" s="7">
        <v>-123</v>
      </c>
      <c r="K957" s="8">
        <v>0.26692134391223427</v>
      </c>
      <c r="L957" s="9">
        <v>0.14722567399643416</v>
      </c>
      <c r="M957" s="10">
        <v>-232.00000000000003</v>
      </c>
      <c r="N957" s="11">
        <v>1.8130081300813008</v>
      </c>
      <c r="O957" s="12">
        <v>98309.699573393649</v>
      </c>
      <c r="P957" s="32" t="s">
        <v>506</v>
      </c>
      <c r="Q957" s="80" t="s">
        <v>92</v>
      </c>
      <c r="R957" s="82" t="s">
        <v>1170</v>
      </c>
      <c r="S957" s="32">
        <v>295</v>
      </c>
      <c r="T957" s="32">
        <v>206.5</v>
      </c>
      <c r="U957" s="32">
        <v>206.5</v>
      </c>
      <c r="V957" s="74" t="s">
        <v>77</v>
      </c>
      <c r="W957" s="15"/>
      <c r="X957" s="15"/>
      <c r="Y957" s="16"/>
      <c r="Z957" s="17"/>
      <c r="AA957" s="16"/>
      <c r="AB957" s="99">
        <v>167.89</v>
      </c>
      <c r="AC957" s="20">
        <v>55.119257517876378</v>
      </c>
      <c r="AD957" s="21">
        <v>46081</v>
      </c>
      <c r="AE957" s="22">
        <v>655837.90685120691</v>
      </c>
      <c r="AF957" s="23">
        <v>499045.3259333336</v>
      </c>
      <c r="AG957" s="24">
        <v>598877.43593333382</v>
      </c>
      <c r="AH957" s="15">
        <v>0.5</v>
      </c>
      <c r="AI957" s="76"/>
      <c r="AJ957" s="76"/>
      <c r="AK957" s="76"/>
      <c r="AL957" s="76"/>
      <c r="AM957" s="76"/>
      <c r="AN957" s="76"/>
      <c r="AO957" s="76"/>
      <c r="AP957" s="77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  <c r="BK957" s="77"/>
      <c r="BL957" s="77"/>
      <c r="BM957" s="77"/>
      <c r="BN957" s="77"/>
      <c r="BO957" s="77"/>
      <c r="BP957" s="77"/>
    </row>
    <row r="958" spans="1:68" ht="15" customHeight="1" x14ac:dyDescent="0.25">
      <c r="A958" s="1">
        <f t="shared" si="59"/>
        <v>501</v>
      </c>
      <c r="B958" s="1" t="str">
        <f t="shared" si="56"/>
        <v xml:space="preserve">Massachusetts </v>
      </c>
      <c r="C958" s="1">
        <f t="shared" si="57"/>
        <v>1</v>
      </c>
      <c r="D958" s="2" t="str">
        <f t="shared" si="58"/>
        <v>2026-02</v>
      </c>
      <c r="E958" s="3" t="s">
        <v>1357</v>
      </c>
      <c r="F958" s="4" t="s">
        <v>1197</v>
      </c>
      <c r="G958" s="102">
        <v>46081</v>
      </c>
      <c r="H958" s="4">
        <v>104</v>
      </c>
      <c r="I958" s="4">
        <v>-104</v>
      </c>
      <c r="J958" s="7">
        <v>133</v>
      </c>
      <c r="K958" s="8">
        <v>0.14215686274509795</v>
      </c>
      <c r="L958" s="9">
        <v>6.101152907514934E-2</v>
      </c>
      <c r="M958" s="10">
        <v>104.00000000000001</v>
      </c>
      <c r="N958" s="11">
        <v>2.33</v>
      </c>
      <c r="O958" s="12">
        <v>32370.43425119172</v>
      </c>
      <c r="P958" s="13" t="s">
        <v>506</v>
      </c>
      <c r="Q958" s="13" t="s">
        <v>92</v>
      </c>
      <c r="R958" s="14" t="s">
        <v>1017</v>
      </c>
      <c r="S958" s="13">
        <v>237</v>
      </c>
      <c r="T958" s="13">
        <v>165.89999999999998</v>
      </c>
      <c r="U958" s="13">
        <v>165.89999999999998</v>
      </c>
      <c r="V958" s="127" t="s">
        <v>77</v>
      </c>
      <c r="W958" s="105"/>
      <c r="X958" s="105"/>
      <c r="Y958" s="114"/>
      <c r="Z958" s="8"/>
      <c r="AA958" s="10"/>
      <c r="AB958" s="106">
        <v>220.65</v>
      </c>
      <c r="AC958" s="107">
        <v>23.583823529411745</v>
      </c>
      <c r="AD958" s="108">
        <v>46081</v>
      </c>
      <c r="AE958" s="109">
        <v>656893.22162367543</v>
      </c>
      <c r="AF958" s="110">
        <v>505927.28593333357</v>
      </c>
      <c r="AG958" s="106">
        <v>605706.63593333401</v>
      </c>
      <c r="AH958" s="15">
        <v>0.5</v>
      </c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</row>
    <row r="959" spans="1:68" ht="15" customHeight="1" x14ac:dyDescent="0.25">
      <c r="A959" s="1">
        <f t="shared" si="59"/>
        <v>502</v>
      </c>
      <c r="B959" s="1" t="str">
        <f t="shared" si="56"/>
        <v xml:space="preserve">Missouri </v>
      </c>
      <c r="C959" s="1">
        <f t="shared" si="57"/>
        <v>0</v>
      </c>
      <c r="D959" s="2" t="str">
        <f t="shared" si="58"/>
        <v>2026-02</v>
      </c>
      <c r="E959" s="3" t="s">
        <v>1358</v>
      </c>
      <c r="F959" s="4" t="s">
        <v>1197</v>
      </c>
      <c r="G959" s="39">
        <v>46081</v>
      </c>
      <c r="H959" s="40">
        <v>101</v>
      </c>
      <c r="I959" s="40">
        <v>-101</v>
      </c>
      <c r="J959" s="7">
        <v>118</v>
      </c>
      <c r="K959" s="8">
        <v>8.4577114427860645E-2</v>
      </c>
      <c r="L959" s="9">
        <v>3.879684148067003E-2</v>
      </c>
      <c r="M959" s="10">
        <v>100.99999999999997</v>
      </c>
      <c r="N959" s="11">
        <v>2.1799999999999997</v>
      </c>
      <c r="O959" s="12">
        <v>21523.558796835045</v>
      </c>
      <c r="P959" s="32" t="s">
        <v>506</v>
      </c>
      <c r="Q959" s="81" t="s">
        <v>76</v>
      </c>
      <c r="R959" s="82" t="s">
        <v>1042</v>
      </c>
      <c r="S959" s="32">
        <v>1008</v>
      </c>
      <c r="T959" s="32">
        <v>705.59999999999991</v>
      </c>
      <c r="U959" s="32">
        <v>705.59999999999991</v>
      </c>
      <c r="V959" s="74" t="s">
        <v>77</v>
      </c>
      <c r="W959" s="15"/>
      <c r="X959" s="15"/>
      <c r="Y959" s="16"/>
      <c r="Z959" s="17"/>
      <c r="AA959" s="16"/>
      <c r="AB959" s="99">
        <v>832.61</v>
      </c>
      <c r="AC959" s="20">
        <v>59.677611940298462</v>
      </c>
      <c r="AD959" s="21">
        <v>46081</v>
      </c>
      <c r="AE959" s="22">
        <v>656040.55423375429</v>
      </c>
      <c r="AF959" s="23">
        <v>501415.86593333358</v>
      </c>
      <c r="AG959" s="24">
        <v>600583.25593333389</v>
      </c>
      <c r="AH959" s="15">
        <v>0.5</v>
      </c>
      <c r="AI959" s="76"/>
      <c r="AJ959" s="77"/>
      <c r="AK959" s="77"/>
      <c r="AL959" s="77"/>
      <c r="AM959" s="77"/>
      <c r="AN959" s="76"/>
      <c r="AO959" s="76"/>
      <c r="AP959" s="77"/>
      <c r="AQ959" s="77"/>
      <c r="AR959" s="77"/>
      <c r="AS959" s="77"/>
      <c r="AT959" s="77"/>
      <c r="AU959" s="77"/>
      <c r="AV959" s="77"/>
      <c r="AW959" s="77"/>
      <c r="AX959" s="77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  <c r="BK959" s="77"/>
      <c r="BL959" s="77"/>
      <c r="BM959" s="77"/>
      <c r="BN959" s="77"/>
      <c r="BO959" s="77"/>
      <c r="BP959" s="77"/>
    </row>
    <row r="960" spans="1:68" ht="15" customHeight="1" x14ac:dyDescent="0.25">
      <c r="A960" s="1">
        <f t="shared" si="59"/>
        <v>503</v>
      </c>
      <c r="B960" s="1" t="str">
        <f t="shared" si="56"/>
        <v xml:space="preserve">Missouri </v>
      </c>
      <c r="C960" s="1">
        <f t="shared" si="57"/>
        <v>1</v>
      </c>
      <c r="D960" s="2" t="str">
        <f t="shared" si="58"/>
        <v>2026-02</v>
      </c>
      <c r="E960" s="100" t="s">
        <v>1359</v>
      </c>
      <c r="F960" s="101" t="s">
        <v>1197</v>
      </c>
      <c r="G960" s="102">
        <v>46081</v>
      </c>
      <c r="H960" s="6">
        <v>-103</v>
      </c>
      <c r="I960" s="6">
        <v>103</v>
      </c>
      <c r="J960" s="115">
        <v>112</v>
      </c>
      <c r="K960" s="8">
        <v>7.5665024630542088E-2</v>
      </c>
      <c r="L960" s="9">
        <v>3.5691049354029281E-2</v>
      </c>
      <c r="M960" s="10">
        <v>-103.00000000000001</v>
      </c>
      <c r="N960" s="11">
        <v>2.12</v>
      </c>
      <c r="O960" s="12">
        <v>20443.030291907187</v>
      </c>
      <c r="P960" s="13" t="s">
        <v>506</v>
      </c>
      <c r="Q960" s="13" t="s">
        <v>92</v>
      </c>
      <c r="R960" s="14" t="s">
        <v>1042</v>
      </c>
      <c r="S960" s="13">
        <v>643</v>
      </c>
      <c r="T960" s="13">
        <v>450.09999999999997</v>
      </c>
      <c r="U960" s="13">
        <v>450.09999999999997</v>
      </c>
      <c r="V960" s="31" t="s">
        <v>77</v>
      </c>
      <c r="W960" s="105"/>
      <c r="X960" s="105"/>
      <c r="Y960" s="114"/>
      <c r="Z960" s="8"/>
      <c r="AA960" s="10"/>
      <c r="AB960" s="106">
        <v>504.11</v>
      </c>
      <c r="AC960" s="107">
        <v>34.056827586206992</v>
      </c>
      <c r="AD960" s="108">
        <v>46081</v>
      </c>
      <c r="AE960" s="109">
        <v>656802.61500796035</v>
      </c>
      <c r="AF960" s="110">
        <v>505702.98593333358</v>
      </c>
      <c r="AG960" s="106">
        <v>605198.875933334</v>
      </c>
      <c r="AH960" s="15">
        <v>0.5</v>
      </c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</row>
    <row r="961" spans="1:68" ht="15" customHeight="1" x14ac:dyDescent="0.25">
      <c r="A961" s="1">
        <f t="shared" si="59"/>
        <v>504</v>
      </c>
      <c r="B961" s="1" t="str">
        <f t="shared" si="56"/>
        <v xml:space="preserve">NC </v>
      </c>
      <c r="C961" s="1">
        <f t="shared" si="57"/>
        <v>0</v>
      </c>
      <c r="D961" s="2" t="str">
        <f t="shared" si="58"/>
        <v>2026-02</v>
      </c>
      <c r="E961" s="3" t="s">
        <v>1360</v>
      </c>
      <c r="F961" s="4" t="s">
        <v>1197</v>
      </c>
      <c r="G961" s="39">
        <v>46081</v>
      </c>
      <c r="H961" s="40">
        <v>-102</v>
      </c>
      <c r="I961" s="40">
        <v>102</v>
      </c>
      <c r="J961" s="7">
        <v>138</v>
      </c>
      <c r="K961" s="8">
        <v>0.20178217821782177</v>
      </c>
      <c r="L961" s="9">
        <v>8.4782427822614193E-2</v>
      </c>
      <c r="M961" s="10">
        <v>-102</v>
      </c>
      <c r="N961" s="11">
        <v>2.38</v>
      </c>
      <c r="O961" s="12">
        <v>43984.058531070972</v>
      </c>
      <c r="P961" s="32" t="s">
        <v>506</v>
      </c>
      <c r="Q961" s="81" t="s">
        <v>76</v>
      </c>
      <c r="R961" s="82" t="s">
        <v>818</v>
      </c>
      <c r="S961" s="32">
        <v>262</v>
      </c>
      <c r="T961" s="32">
        <v>183.39999999999998</v>
      </c>
      <c r="U961" s="32">
        <v>183.39999999999998</v>
      </c>
      <c r="V961" s="74" t="s">
        <v>82</v>
      </c>
      <c r="W961" s="15"/>
      <c r="X961" s="15"/>
      <c r="Y961" s="16"/>
      <c r="Z961" s="17"/>
      <c r="AA961" s="16"/>
      <c r="AB961" s="99">
        <v>-183.39999999999998</v>
      </c>
      <c r="AC961" s="20">
        <v>37.006851485148509</v>
      </c>
      <c r="AD961" s="21">
        <v>46081</v>
      </c>
      <c r="AE961" s="22">
        <v>656168.03526295384</v>
      </c>
      <c r="AF961" s="23">
        <v>501435.64593333355</v>
      </c>
      <c r="AG961" s="24">
        <v>601619.04593333392</v>
      </c>
      <c r="AH961" s="15">
        <v>0.5</v>
      </c>
      <c r="AI961" s="76"/>
      <c r="AJ961" s="77"/>
      <c r="AK961" s="77"/>
      <c r="AL961" s="77"/>
      <c r="AM961" s="77"/>
      <c r="AN961" s="83"/>
      <c r="AO961" s="83"/>
      <c r="AP961" s="77"/>
      <c r="AQ961" s="77"/>
      <c r="AR961" s="77"/>
      <c r="AS961" s="77"/>
      <c r="AT961" s="77"/>
      <c r="AU961" s="77"/>
      <c r="AV961" s="77"/>
      <c r="AW961" s="77"/>
      <c r="AX961" s="77"/>
      <c r="AY961" s="77"/>
      <c r="AZ961" s="77"/>
      <c r="BA961" s="77"/>
      <c r="BB961" s="83"/>
      <c r="BC961" s="83"/>
      <c r="BD961" s="77"/>
      <c r="BE961" s="77"/>
      <c r="BF961" s="77"/>
      <c r="BG961" s="77"/>
      <c r="BH961" s="77"/>
      <c r="BI961" s="77"/>
      <c r="BJ961" s="77"/>
      <c r="BK961" s="77"/>
      <c r="BL961" s="77"/>
      <c r="BM961" s="77"/>
      <c r="BN961" s="77"/>
      <c r="BO961" s="77"/>
      <c r="BP961" s="77"/>
    </row>
    <row r="962" spans="1:68" ht="15" customHeight="1" x14ac:dyDescent="0.25">
      <c r="A962" s="1">
        <f t="shared" si="59"/>
        <v>504</v>
      </c>
      <c r="B962" s="1" t="str">
        <f t="shared" ref="B962:B1025" si="60">LEFT(E962, FIND(" ", E962))</f>
        <v xml:space="preserve">NC </v>
      </c>
      <c r="C962" s="1">
        <f t="shared" ref="C962:C1025" si="61">IF(Q962="total", 1, 0)</f>
        <v>0</v>
      </c>
      <c r="D962" s="2" t="str">
        <f t="shared" ref="D962:D1025" si="62">YEAR(G962)&amp;"-"&amp;IF(MONTH(G962)&lt;10, "0", "")&amp;MONTH(G962)</f>
        <v>2026-02</v>
      </c>
      <c r="E962" s="100" t="s">
        <v>618</v>
      </c>
      <c r="F962" s="101" t="s">
        <v>1197</v>
      </c>
      <c r="G962" s="102">
        <v>46081</v>
      </c>
      <c r="H962" s="6">
        <v>238</v>
      </c>
      <c r="I962" s="6">
        <v>-310</v>
      </c>
      <c r="J962" s="115">
        <v>360</v>
      </c>
      <c r="K962" s="8">
        <v>0.29373027850185213</v>
      </c>
      <c r="L962" s="9">
        <v>6.3854408369967863E-2</v>
      </c>
      <c r="M962" s="10">
        <v>255.56097560975604</v>
      </c>
      <c r="N962" s="11">
        <v>4.5999999999999996</v>
      </c>
      <c r="O962" s="119">
        <v>24590.205728633486</v>
      </c>
      <c r="P962" s="13" t="s">
        <v>506</v>
      </c>
      <c r="Q962" s="13" t="s">
        <v>81</v>
      </c>
      <c r="R962" s="14" t="s">
        <v>818</v>
      </c>
      <c r="S962" s="13">
        <v>163</v>
      </c>
      <c r="T962" s="13">
        <v>114.1</v>
      </c>
      <c r="U962" s="13">
        <v>114.1</v>
      </c>
      <c r="V962" s="31" t="s">
        <v>82</v>
      </c>
      <c r="W962" s="105"/>
      <c r="X962" s="105"/>
      <c r="Y962" s="114"/>
      <c r="Z962" s="8"/>
      <c r="AA962" s="10"/>
      <c r="AB962" s="106">
        <v>-114.1</v>
      </c>
      <c r="AC962" s="107">
        <v>33.514624777061329</v>
      </c>
      <c r="AD962" s="108">
        <v>46081</v>
      </c>
      <c r="AE962" s="109">
        <v>656584.57667281094</v>
      </c>
      <c r="AF962" s="110">
        <v>502648.0059333336</v>
      </c>
      <c r="AG962" s="106">
        <v>602762.10593333398</v>
      </c>
      <c r="AH962" s="15">
        <v>0.5</v>
      </c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</row>
    <row r="963" spans="1:68" ht="15" customHeight="1" x14ac:dyDescent="0.25">
      <c r="A963" s="1">
        <f t="shared" si="59"/>
        <v>505</v>
      </c>
      <c r="B963" s="1" t="str">
        <f t="shared" si="60"/>
        <v xml:space="preserve">Nebraska </v>
      </c>
      <c r="C963" s="1">
        <f t="shared" si="61"/>
        <v>1</v>
      </c>
      <c r="D963" s="2" t="str">
        <f t="shared" si="62"/>
        <v>2026-02</v>
      </c>
      <c r="E963" s="100" t="s">
        <v>1361</v>
      </c>
      <c r="F963" s="101" t="s">
        <v>1197</v>
      </c>
      <c r="G963" s="5">
        <v>46081</v>
      </c>
      <c r="H963" s="6">
        <v>-104</v>
      </c>
      <c r="I963" s="6">
        <v>104</v>
      </c>
      <c r="J963" s="115">
        <v>114</v>
      </c>
      <c r="K963" s="8">
        <v>9.0980392156862544E-2</v>
      </c>
      <c r="L963" s="9">
        <v>4.251420194245914E-2</v>
      </c>
      <c r="M963" s="10">
        <v>-103.99999999999999</v>
      </c>
      <c r="N963" s="11">
        <v>2.1399999999999997</v>
      </c>
      <c r="O963" s="12">
        <v>24096.533790253387</v>
      </c>
      <c r="P963" s="13" t="s">
        <v>506</v>
      </c>
      <c r="Q963" s="13" t="s">
        <v>92</v>
      </c>
      <c r="R963" s="14" t="s">
        <v>729</v>
      </c>
      <c r="S963" s="13">
        <v>316</v>
      </c>
      <c r="T963" s="13">
        <v>221.2</v>
      </c>
      <c r="U963" s="13">
        <v>221.2</v>
      </c>
      <c r="V963" s="31" t="s">
        <v>82</v>
      </c>
      <c r="W963" s="105"/>
      <c r="X963" s="105"/>
      <c r="Y963" s="114"/>
      <c r="Z963" s="8"/>
      <c r="AA963" s="10"/>
      <c r="AB963" s="106">
        <v>-221.2</v>
      </c>
      <c r="AC963" s="107">
        <v>20.124862745097992</v>
      </c>
      <c r="AD963" s="108">
        <v>46081</v>
      </c>
      <c r="AE963" s="109">
        <v>657925.13710863446</v>
      </c>
      <c r="AF963" s="110">
        <v>503646.24593333359</v>
      </c>
      <c r="AG963" s="24">
        <v>603867.44593333395</v>
      </c>
      <c r="AH963" s="15">
        <v>0.5</v>
      </c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</row>
    <row r="964" spans="1:68" ht="15" customHeight="1" x14ac:dyDescent="0.25">
      <c r="A964" s="1">
        <f t="shared" ref="A964:A1027" si="63">IF(AND(B964=B963, C964=C963, G964=G963), A963, A963+1)</f>
        <v>505</v>
      </c>
      <c r="B964" s="1" t="str">
        <f t="shared" si="60"/>
        <v xml:space="preserve">Nebraska </v>
      </c>
      <c r="C964" s="1">
        <f t="shared" si="61"/>
        <v>1</v>
      </c>
      <c r="D964" s="2" t="str">
        <f t="shared" si="62"/>
        <v>2026-02</v>
      </c>
      <c r="E964" s="100" t="s">
        <v>1362</v>
      </c>
      <c r="F964" s="101" t="s">
        <v>1197</v>
      </c>
      <c r="G964" s="5">
        <v>46081</v>
      </c>
      <c r="H964" s="6">
        <v>106</v>
      </c>
      <c r="I964" s="6">
        <v>-106</v>
      </c>
      <c r="J964" s="115">
        <v>125</v>
      </c>
      <c r="K964" s="8">
        <v>9.2233009708738184E-2</v>
      </c>
      <c r="L964" s="9">
        <v>4.0992448759439193E-2</v>
      </c>
      <c r="M964" s="10">
        <v>105.99999999999999</v>
      </c>
      <c r="N964" s="11">
        <v>2.25</v>
      </c>
      <c r="O964" s="12">
        <v>22270.444024725024</v>
      </c>
      <c r="P964" s="13" t="s">
        <v>506</v>
      </c>
      <c r="Q964" s="13" t="s">
        <v>92</v>
      </c>
      <c r="R964" s="14" t="s">
        <v>729</v>
      </c>
      <c r="S964" s="13">
        <v>283</v>
      </c>
      <c r="T964" s="13">
        <v>198.1</v>
      </c>
      <c r="U964" s="13">
        <v>198.1</v>
      </c>
      <c r="V964" s="31" t="s">
        <v>82</v>
      </c>
      <c r="W964" s="105"/>
      <c r="X964" s="105"/>
      <c r="Y964" s="114"/>
      <c r="Z964" s="8"/>
      <c r="AA964" s="10"/>
      <c r="AB964" s="106">
        <v>-198.1</v>
      </c>
      <c r="AC964" s="107">
        <v>18.271359223301033</v>
      </c>
      <c r="AD964" s="108">
        <v>46081</v>
      </c>
      <c r="AE964" s="109">
        <v>657943.40846785775</v>
      </c>
      <c r="AF964" s="110">
        <v>503448.14593333361</v>
      </c>
      <c r="AG964" s="24">
        <v>603646.24593333399</v>
      </c>
      <c r="AH964" s="15">
        <v>0.5</v>
      </c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</row>
    <row r="965" spans="1:68" ht="15" customHeight="1" x14ac:dyDescent="0.25">
      <c r="A965" s="1">
        <f t="shared" si="63"/>
        <v>505</v>
      </c>
      <c r="B965" s="1" t="str">
        <f t="shared" si="60"/>
        <v xml:space="preserve">Nebraska </v>
      </c>
      <c r="C965" s="1">
        <f t="shared" si="61"/>
        <v>1</v>
      </c>
      <c r="D965" s="2" t="str">
        <f t="shared" si="62"/>
        <v>2026-02</v>
      </c>
      <c r="E965" s="100" t="s">
        <v>1363</v>
      </c>
      <c r="F965" s="101" t="s">
        <v>1315</v>
      </c>
      <c r="G965" s="5">
        <v>46081</v>
      </c>
      <c r="H965" s="6">
        <v>-111</v>
      </c>
      <c r="I965" s="6">
        <v>111</v>
      </c>
      <c r="J965" s="115">
        <v>120</v>
      </c>
      <c r="K965" s="8">
        <v>0.15734597156398106</v>
      </c>
      <c r="L965" s="9">
        <v>7.1520896165445935E-2</v>
      </c>
      <c r="M965" s="10">
        <v>-111</v>
      </c>
      <c r="N965" s="11">
        <v>2.2000000000000002</v>
      </c>
      <c r="O965" s="12">
        <v>39562.556170984768</v>
      </c>
      <c r="P965" s="13" t="s">
        <v>506</v>
      </c>
      <c r="Q965" s="13" t="s">
        <v>92</v>
      </c>
      <c r="R965" s="14" t="s">
        <v>729</v>
      </c>
      <c r="S965" s="13">
        <v>900</v>
      </c>
      <c r="T965" s="13">
        <v>630</v>
      </c>
      <c r="U965" s="13">
        <v>630</v>
      </c>
      <c r="V965" s="31" t="s">
        <v>82</v>
      </c>
      <c r="W965" s="105"/>
      <c r="X965" s="105"/>
      <c r="Y965" s="114"/>
      <c r="Z965" s="8"/>
      <c r="AA965" s="10"/>
      <c r="AB965" s="106">
        <v>-630</v>
      </c>
      <c r="AC965" s="107">
        <v>99.12796208530807</v>
      </c>
      <c r="AD965" s="108">
        <v>46081</v>
      </c>
      <c r="AE965" s="109">
        <v>658042.53642994305</v>
      </c>
      <c r="AF965" s="110">
        <v>502818.14593333361</v>
      </c>
      <c r="AG965" s="24">
        <v>603448.14593333402</v>
      </c>
      <c r="AH965" s="15">
        <v>0.5</v>
      </c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</row>
    <row r="966" spans="1:68" ht="15" customHeight="1" x14ac:dyDescent="0.25">
      <c r="A966" s="1">
        <f t="shared" si="63"/>
        <v>506</v>
      </c>
      <c r="B966" s="1" t="str">
        <f t="shared" si="60"/>
        <v xml:space="preserve">Nebraska-Omaha </v>
      </c>
      <c r="C966" s="1">
        <f t="shared" si="61"/>
        <v>1</v>
      </c>
      <c r="D966" s="2" t="str">
        <f t="shared" si="62"/>
        <v>2026-02</v>
      </c>
      <c r="E966" s="28" t="s">
        <v>1364</v>
      </c>
      <c r="F966" s="29" t="s">
        <v>1315</v>
      </c>
      <c r="G966" s="5">
        <v>46081</v>
      </c>
      <c r="H966" s="6">
        <v>-106</v>
      </c>
      <c r="I966" s="6">
        <v>106</v>
      </c>
      <c r="J966" s="30">
        <v>125</v>
      </c>
      <c r="K966" s="8">
        <v>0.15776699029126193</v>
      </c>
      <c r="L966" s="9">
        <v>7.0118662351671968E-2</v>
      </c>
      <c r="M966" s="10">
        <v>-105.99999999999999</v>
      </c>
      <c r="N966" s="11">
        <v>2.25</v>
      </c>
      <c r="O966" s="12">
        <v>38195.872753074415</v>
      </c>
      <c r="P966" s="13" t="s">
        <v>506</v>
      </c>
      <c r="Q966" s="13" t="s">
        <v>92</v>
      </c>
      <c r="R966" s="14" t="s">
        <v>1365</v>
      </c>
      <c r="S966" s="13">
        <v>849</v>
      </c>
      <c r="T966" s="13">
        <v>594.29999999999995</v>
      </c>
      <c r="U966" s="13">
        <v>594.29999999999995</v>
      </c>
      <c r="V966" s="31" t="s">
        <v>77</v>
      </c>
      <c r="W966" s="15"/>
      <c r="X966" s="15"/>
      <c r="Y966" s="16"/>
      <c r="Z966" s="17"/>
      <c r="AA966" s="16"/>
      <c r="AB966" s="24">
        <v>742.88</v>
      </c>
      <c r="AC966" s="20">
        <v>93.76092233009696</v>
      </c>
      <c r="AD966" s="21">
        <v>46081</v>
      </c>
      <c r="AE966" s="22">
        <v>663515.09359626018</v>
      </c>
      <c r="AF966" s="23">
        <v>506000.5559333337</v>
      </c>
      <c r="AG966" s="24">
        <v>605257.67593333381</v>
      </c>
      <c r="AH966" s="15">
        <v>0.5</v>
      </c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</row>
    <row r="967" spans="1:68" ht="15" customHeight="1" x14ac:dyDescent="0.25">
      <c r="A967" s="1">
        <f t="shared" si="63"/>
        <v>507</v>
      </c>
      <c r="B967" s="1" t="str">
        <f t="shared" si="60"/>
        <v xml:space="preserve">New </v>
      </c>
      <c r="C967" s="1">
        <f t="shared" si="61"/>
        <v>0</v>
      </c>
      <c r="D967" s="2" t="str">
        <f t="shared" si="62"/>
        <v>2026-02</v>
      </c>
      <c r="E967" s="3" t="s">
        <v>1366</v>
      </c>
      <c r="F967" s="4" t="s">
        <v>1197</v>
      </c>
      <c r="G967" s="102">
        <v>46081</v>
      </c>
      <c r="H967" s="4">
        <v>117</v>
      </c>
      <c r="I967" s="4">
        <v>-117</v>
      </c>
      <c r="J967" s="7">
        <v>135</v>
      </c>
      <c r="K967" s="8">
        <v>8.294930875576037E-2</v>
      </c>
      <c r="L967" s="9">
        <v>3.5297578193940582E-2</v>
      </c>
      <c r="M967" s="10">
        <v>117</v>
      </c>
      <c r="N967" s="11">
        <v>2.35</v>
      </c>
      <c r="O967" s="12">
        <v>18618.649337429615</v>
      </c>
      <c r="P967" s="13" t="s">
        <v>506</v>
      </c>
      <c r="Q967" s="13" t="s">
        <v>76</v>
      </c>
      <c r="R967" s="14" t="s">
        <v>1367</v>
      </c>
      <c r="S967" s="13">
        <v>262</v>
      </c>
      <c r="T967" s="13">
        <v>183.39999999999998</v>
      </c>
      <c r="U967" s="13">
        <v>183.39999999999998</v>
      </c>
      <c r="V967" s="127" t="s">
        <v>82</v>
      </c>
      <c r="W967" s="105"/>
      <c r="X967" s="105"/>
      <c r="Y967" s="114"/>
      <c r="Z967" s="8"/>
      <c r="AA967" s="10"/>
      <c r="AB967" s="106">
        <v>-183.39999999999998</v>
      </c>
      <c r="AC967" s="107">
        <v>15.21290322580645</v>
      </c>
      <c r="AD967" s="108">
        <v>46081</v>
      </c>
      <c r="AE967" s="109">
        <v>656856.26368249895</v>
      </c>
      <c r="AF967" s="110">
        <v>505853.63593333354</v>
      </c>
      <c r="AG967" s="106">
        <v>606037.03593333403</v>
      </c>
      <c r="AH967" s="15">
        <v>0.5</v>
      </c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</row>
    <row r="968" spans="1:68" ht="15" customHeight="1" x14ac:dyDescent="0.25">
      <c r="A968" s="1">
        <f t="shared" si="63"/>
        <v>508</v>
      </c>
      <c r="B968" s="1" t="str">
        <f t="shared" si="60"/>
        <v xml:space="preserve">North </v>
      </c>
      <c r="C968" s="1">
        <f t="shared" si="61"/>
        <v>0</v>
      </c>
      <c r="D968" s="2" t="str">
        <f t="shared" si="62"/>
        <v>2026-02</v>
      </c>
      <c r="E968" s="100" t="s">
        <v>1368</v>
      </c>
      <c r="F968" s="128" t="s">
        <v>1197</v>
      </c>
      <c r="G968" s="5">
        <v>46081</v>
      </c>
      <c r="H968" s="6">
        <v>-156</v>
      </c>
      <c r="I968" s="6">
        <v>156</v>
      </c>
      <c r="J968" s="115">
        <v>-119</v>
      </c>
      <c r="K968" s="8">
        <v>0.12145483193277329</v>
      </c>
      <c r="L968" s="9">
        <v>6.5996004566210131E-2</v>
      </c>
      <c r="M968" s="10">
        <v>-156</v>
      </c>
      <c r="N968" s="11">
        <v>1.8403361344537816</v>
      </c>
      <c r="O968" s="12">
        <v>43783.572479557399</v>
      </c>
      <c r="P968" s="13" t="s">
        <v>506</v>
      </c>
      <c r="Q968" s="13" t="s">
        <v>76</v>
      </c>
      <c r="R968" s="14" t="s">
        <v>1369</v>
      </c>
      <c r="S968" s="13">
        <v>284</v>
      </c>
      <c r="T968" s="13">
        <v>198.79999999999998</v>
      </c>
      <c r="U968" s="13">
        <v>198.79999999999998</v>
      </c>
      <c r="V968" s="74" t="s">
        <v>77</v>
      </c>
      <c r="W968" s="105"/>
      <c r="X968" s="105"/>
      <c r="Y968" s="114"/>
      <c r="Z968" s="8"/>
      <c r="AA968" s="10"/>
      <c r="AB968" s="106">
        <v>167.06</v>
      </c>
      <c r="AC968" s="107">
        <v>24.145220588235329</v>
      </c>
      <c r="AD968" s="108">
        <v>46081</v>
      </c>
      <c r="AE968" s="109">
        <v>656841.05077927315</v>
      </c>
      <c r="AF968" s="110">
        <v>506037.03593333357</v>
      </c>
      <c r="AG968" s="106">
        <v>605869.97593333398</v>
      </c>
      <c r="AH968" s="15">
        <v>0.5</v>
      </c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</row>
    <row r="969" spans="1:68" ht="15" customHeight="1" x14ac:dyDescent="0.25">
      <c r="A969" s="1">
        <f t="shared" si="63"/>
        <v>508</v>
      </c>
      <c r="B969" s="1" t="str">
        <f t="shared" si="60"/>
        <v xml:space="preserve">North </v>
      </c>
      <c r="C969" s="1">
        <f t="shared" si="61"/>
        <v>0</v>
      </c>
      <c r="D969" s="2" t="str">
        <f t="shared" si="62"/>
        <v>2026-02</v>
      </c>
      <c r="E969" s="3" t="s">
        <v>1370</v>
      </c>
      <c r="F969" s="4" t="s">
        <v>1197</v>
      </c>
      <c r="G969" s="102">
        <v>46081</v>
      </c>
      <c r="H969" s="4">
        <v>-117</v>
      </c>
      <c r="I969" s="4">
        <v>117</v>
      </c>
      <c r="J969" s="7">
        <v>100</v>
      </c>
      <c r="K969" s="8">
        <v>7.8341013824884786E-2</v>
      </c>
      <c r="L969" s="9">
        <v>3.9170506912442393E-2</v>
      </c>
      <c r="M969" s="10">
        <v>-117</v>
      </c>
      <c r="N969" s="11">
        <v>2</v>
      </c>
      <c r="O969" s="12">
        <v>23683.179287711238</v>
      </c>
      <c r="P969" s="13" t="s">
        <v>506</v>
      </c>
      <c r="Q969" s="13" t="s">
        <v>76</v>
      </c>
      <c r="R969" s="14" t="s">
        <v>1369</v>
      </c>
      <c r="S969" s="13">
        <v>240</v>
      </c>
      <c r="T969" s="13">
        <v>168</v>
      </c>
      <c r="U969" s="13">
        <v>168</v>
      </c>
      <c r="V969" s="129" t="s">
        <v>77</v>
      </c>
      <c r="W969" s="105"/>
      <c r="X969" s="105"/>
      <c r="Y969" s="114"/>
      <c r="Z969" s="8"/>
      <c r="AA969" s="10"/>
      <c r="AB969" s="106">
        <v>168</v>
      </c>
      <c r="AC969" s="107">
        <v>13.161290322580644</v>
      </c>
      <c r="AD969" s="108">
        <v>46081</v>
      </c>
      <c r="AE969" s="109">
        <v>657202.73858064506</v>
      </c>
      <c r="AF969" s="110">
        <v>504785.6359333336</v>
      </c>
      <c r="AG969" s="106">
        <v>604617.63593333401</v>
      </c>
      <c r="AH969" s="15">
        <v>0.5</v>
      </c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</row>
    <row r="970" spans="1:68" ht="15" customHeight="1" x14ac:dyDescent="0.25">
      <c r="A970" s="1">
        <f t="shared" si="63"/>
        <v>509</v>
      </c>
      <c r="B970" s="1" t="str">
        <f t="shared" si="60"/>
        <v xml:space="preserve">Northern </v>
      </c>
      <c r="C970" s="1">
        <f t="shared" si="61"/>
        <v>0</v>
      </c>
      <c r="D970" s="2" t="str">
        <f t="shared" si="62"/>
        <v>2026-02</v>
      </c>
      <c r="E970" s="100" t="s">
        <v>1371</v>
      </c>
      <c r="F970" s="101" t="s">
        <v>1197</v>
      </c>
      <c r="G970" s="5">
        <v>46081</v>
      </c>
      <c r="H970" s="6">
        <v>116</v>
      </c>
      <c r="I970" s="6">
        <v>-116</v>
      </c>
      <c r="J970" s="115">
        <v>140</v>
      </c>
      <c r="K970" s="8">
        <v>0.11111111111111094</v>
      </c>
      <c r="L970" s="9">
        <v>4.6296296296296224E-2</v>
      </c>
      <c r="M970" s="10">
        <v>116.00000000000003</v>
      </c>
      <c r="N970" s="11">
        <v>2.4</v>
      </c>
      <c r="O970" s="12">
        <v>23952.999441798933</v>
      </c>
      <c r="P970" s="13" t="s">
        <v>506</v>
      </c>
      <c r="Q970" s="13" t="s">
        <v>81</v>
      </c>
      <c r="R970" s="14" t="s">
        <v>1372</v>
      </c>
      <c r="S970" s="13">
        <v>257</v>
      </c>
      <c r="T970" s="13">
        <v>179.89999999999998</v>
      </c>
      <c r="U970" s="13">
        <v>179.89999999999998</v>
      </c>
      <c r="V970" s="6" t="s">
        <v>77</v>
      </c>
      <c r="W970" s="105"/>
      <c r="X970" s="105"/>
      <c r="Y970" s="114"/>
      <c r="Z970" s="8"/>
      <c r="AA970" s="10"/>
      <c r="AB970" s="106">
        <v>251.86</v>
      </c>
      <c r="AC970" s="107">
        <v>19.988888888888855</v>
      </c>
      <c r="AD970" s="108">
        <v>46081</v>
      </c>
      <c r="AE970" s="109">
        <v>657905.0122458894</v>
      </c>
      <c r="AF970" s="110">
        <v>503867.4459333336</v>
      </c>
      <c r="AG970" s="24">
        <v>603615.58593333396</v>
      </c>
      <c r="AH970" s="15">
        <v>0.5</v>
      </c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</row>
    <row r="971" spans="1:68" ht="15" customHeight="1" x14ac:dyDescent="0.25">
      <c r="A971" s="1">
        <f t="shared" si="63"/>
        <v>510</v>
      </c>
      <c r="B971" s="1" t="str">
        <f t="shared" si="60"/>
        <v xml:space="preserve">Ole </v>
      </c>
      <c r="C971" s="1">
        <f t="shared" si="61"/>
        <v>0</v>
      </c>
      <c r="D971" s="2" t="str">
        <f t="shared" si="62"/>
        <v>2026-02</v>
      </c>
      <c r="E971" s="3" t="s">
        <v>1373</v>
      </c>
      <c r="F971" s="4" t="s">
        <v>1197</v>
      </c>
      <c r="G971" s="5">
        <v>46081</v>
      </c>
      <c r="H971" s="4">
        <v>-112</v>
      </c>
      <c r="I971" s="4">
        <v>112</v>
      </c>
      <c r="J971" s="7">
        <v>120</v>
      </c>
      <c r="K971" s="8">
        <v>0.16226415094339625</v>
      </c>
      <c r="L971" s="9">
        <v>7.3756432246998294E-2</v>
      </c>
      <c r="M971" s="10">
        <v>-112</v>
      </c>
      <c r="N971" s="11">
        <v>2.2000000000000002</v>
      </c>
      <c r="O971" s="12">
        <v>41002.384693605898</v>
      </c>
      <c r="P971" s="13" t="s">
        <v>506</v>
      </c>
      <c r="Q971" s="13" t="s">
        <v>76</v>
      </c>
      <c r="R971" s="14" t="s">
        <v>560</v>
      </c>
      <c r="S971" s="13">
        <v>983</v>
      </c>
      <c r="T971" s="13">
        <v>688.09999999999991</v>
      </c>
      <c r="U971" s="13">
        <v>688.09999999999991</v>
      </c>
      <c r="V971" s="4" t="s">
        <v>77</v>
      </c>
      <c r="W971" s="15"/>
      <c r="X971" s="15"/>
      <c r="Y971" s="16"/>
      <c r="Z971" s="17"/>
      <c r="AA971" s="16"/>
      <c r="AB971" s="24">
        <v>825.72</v>
      </c>
      <c r="AC971" s="20">
        <v>111.65396226415095</v>
      </c>
      <c r="AD971" s="21">
        <v>46081</v>
      </c>
      <c r="AE971" s="22">
        <v>664131.70161636721</v>
      </c>
      <c r="AF971" s="23">
        <v>507279.59593333368</v>
      </c>
      <c r="AG971" s="24">
        <v>606453.87593333377</v>
      </c>
      <c r="AH971" s="15">
        <v>0.5</v>
      </c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</row>
    <row r="972" spans="1:68" ht="15" customHeight="1" x14ac:dyDescent="0.25">
      <c r="A972" s="1">
        <f t="shared" si="63"/>
        <v>511</v>
      </c>
      <c r="B972" s="1" t="str">
        <f t="shared" si="60"/>
        <v xml:space="preserve">Pacific </v>
      </c>
      <c r="C972" s="1">
        <f t="shared" si="61"/>
        <v>0</v>
      </c>
      <c r="D972" s="2" t="str">
        <f t="shared" si="62"/>
        <v>2026-02</v>
      </c>
      <c r="E972" s="100" t="s">
        <v>1374</v>
      </c>
      <c r="F972" s="101" t="s">
        <v>1197</v>
      </c>
      <c r="G972" s="102">
        <v>46081</v>
      </c>
      <c r="H972" s="6">
        <v>-103</v>
      </c>
      <c r="I972" s="6">
        <v>103</v>
      </c>
      <c r="J972" s="115">
        <v>116</v>
      </c>
      <c r="K972" s="8">
        <v>9.5960591133005146E-2</v>
      </c>
      <c r="L972" s="9">
        <v>4.4426199598613492E-2</v>
      </c>
      <c r="M972" s="10">
        <v>-103.00000000000001</v>
      </c>
      <c r="N972" s="11">
        <v>2.16</v>
      </c>
      <c r="O972" s="12">
        <v>25298.641418339921</v>
      </c>
      <c r="P972" s="13" t="s">
        <v>506</v>
      </c>
      <c r="Q972" s="13" t="s">
        <v>76</v>
      </c>
      <c r="R972" s="14" t="s">
        <v>1375</v>
      </c>
      <c r="S972" s="13">
        <v>205</v>
      </c>
      <c r="T972" s="13">
        <v>143.5</v>
      </c>
      <c r="U972" s="104">
        <v>143.5</v>
      </c>
      <c r="V972" s="6" t="s">
        <v>82</v>
      </c>
      <c r="W972" s="15"/>
      <c r="X972" s="15"/>
      <c r="Y972" s="16"/>
      <c r="Z972" s="17"/>
      <c r="AA972" s="16"/>
      <c r="AB972" s="24">
        <v>-143.5</v>
      </c>
      <c r="AC972" s="20">
        <v>13.770344827586239</v>
      </c>
      <c r="AD972" s="21">
        <v>46081</v>
      </c>
      <c r="AE972" s="22">
        <v>661217.2460439842</v>
      </c>
      <c r="AF972" s="23">
        <v>511491.41593333363</v>
      </c>
      <c r="AG972" s="24">
        <v>611634.91593333392</v>
      </c>
      <c r="AH972" s="15">
        <v>0.5</v>
      </c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</row>
    <row r="973" spans="1:68" ht="15" customHeight="1" x14ac:dyDescent="0.25">
      <c r="A973" s="1">
        <f t="shared" si="63"/>
        <v>512</v>
      </c>
      <c r="B973" s="1" t="str">
        <f t="shared" si="60"/>
        <v xml:space="preserve">Penn </v>
      </c>
      <c r="C973" s="1">
        <f t="shared" si="61"/>
        <v>0</v>
      </c>
      <c r="D973" s="2" t="str">
        <f t="shared" si="62"/>
        <v>2026-02</v>
      </c>
      <c r="E973" s="3" t="s">
        <v>1376</v>
      </c>
      <c r="F973" s="4" t="s">
        <v>1197</v>
      </c>
      <c r="G973" s="39">
        <v>46081</v>
      </c>
      <c r="H973" s="40">
        <v>-112</v>
      </c>
      <c r="I973" s="40">
        <v>112</v>
      </c>
      <c r="J973" s="7">
        <v>104</v>
      </c>
      <c r="K973" s="8">
        <v>7.7735849056603801E-2</v>
      </c>
      <c r="L973" s="9">
        <v>3.8105808361080296E-2</v>
      </c>
      <c r="M973" s="10">
        <v>-112</v>
      </c>
      <c r="N973" s="11">
        <v>2.04</v>
      </c>
      <c r="O973" s="12">
        <v>22382.760548306753</v>
      </c>
      <c r="P973" s="32" t="s">
        <v>506</v>
      </c>
      <c r="Q973" s="81" t="s">
        <v>76</v>
      </c>
      <c r="R973" s="82" t="s">
        <v>1377</v>
      </c>
      <c r="S973" s="32">
        <v>1157</v>
      </c>
      <c r="T973" s="32">
        <v>809.9</v>
      </c>
      <c r="U973" s="32">
        <v>809.9</v>
      </c>
      <c r="V973" s="40" t="s">
        <v>77</v>
      </c>
      <c r="W973" s="15"/>
      <c r="X973" s="15"/>
      <c r="Y973" s="16"/>
      <c r="Z973" s="17"/>
      <c r="AA973" s="16"/>
      <c r="AB973" s="99">
        <v>842.3</v>
      </c>
      <c r="AC973" s="20">
        <v>62.958264150943414</v>
      </c>
      <c r="AD973" s="21">
        <v>46081</v>
      </c>
      <c r="AE973" s="22">
        <v>655915.38393888716</v>
      </c>
      <c r="AF973" s="23">
        <v>499744.12593333359</v>
      </c>
      <c r="AG973" s="24">
        <v>598901.82593333384</v>
      </c>
      <c r="AH973" s="15">
        <v>0.5</v>
      </c>
      <c r="AI973" s="76"/>
      <c r="AJ973" s="77"/>
      <c r="AK973" s="77"/>
      <c r="AL973" s="77"/>
      <c r="AM973" s="77"/>
      <c r="AN973" s="76"/>
      <c r="AO973" s="76"/>
      <c r="AP973" s="77"/>
      <c r="AQ973" s="77"/>
      <c r="AR973" s="77"/>
      <c r="AS973" s="77"/>
      <c r="AT973" s="77"/>
      <c r="AU973" s="77"/>
      <c r="AV973" s="77"/>
      <c r="AW973" s="77"/>
      <c r="AX973" s="77"/>
      <c r="AY973" s="77"/>
      <c r="AZ973" s="77"/>
      <c r="BA973" s="77"/>
      <c r="BB973" s="77"/>
      <c r="BC973" s="77"/>
      <c r="BD973" s="77"/>
      <c r="BE973" s="77"/>
      <c r="BF973" s="77"/>
      <c r="BG973" s="77"/>
      <c r="BH973" s="77"/>
      <c r="BI973" s="77"/>
      <c r="BJ973" s="77"/>
      <c r="BK973" s="77"/>
      <c r="BL973" s="77"/>
      <c r="BM973" s="77"/>
      <c r="BN973" s="77"/>
      <c r="BO973" s="77"/>
      <c r="BP973" s="77"/>
    </row>
    <row r="974" spans="1:68" ht="15" customHeight="1" x14ac:dyDescent="0.25">
      <c r="A974" s="1">
        <f t="shared" si="63"/>
        <v>512</v>
      </c>
      <c r="B974" s="1" t="str">
        <f t="shared" si="60"/>
        <v xml:space="preserve">Penn </v>
      </c>
      <c r="C974" s="1">
        <f t="shared" si="61"/>
        <v>0</v>
      </c>
      <c r="D974" s="2" t="str">
        <f t="shared" si="62"/>
        <v>2026-02</v>
      </c>
      <c r="E974" s="3" t="s">
        <v>1378</v>
      </c>
      <c r="F974" s="4" t="s">
        <v>1197</v>
      </c>
      <c r="G974" s="39">
        <v>46081</v>
      </c>
      <c r="H974" s="40">
        <v>105</v>
      </c>
      <c r="I974" s="40">
        <v>-105</v>
      </c>
      <c r="J974" s="7">
        <v>125</v>
      </c>
      <c r="K974" s="8">
        <v>9.7560975609756254E-2</v>
      </c>
      <c r="L974" s="9">
        <v>4.3360433604336113E-2</v>
      </c>
      <c r="M974" s="10">
        <v>104.99999999999997</v>
      </c>
      <c r="N974" s="11">
        <v>2.25</v>
      </c>
      <c r="O974" s="12">
        <v>23404.648816910627</v>
      </c>
      <c r="P974" s="32" t="s">
        <v>506</v>
      </c>
      <c r="Q974" s="81" t="s">
        <v>76</v>
      </c>
      <c r="R974" s="82" t="s">
        <v>1377</v>
      </c>
      <c r="S974" s="32">
        <v>959</v>
      </c>
      <c r="T974" s="32">
        <v>671.3</v>
      </c>
      <c r="U974" s="32">
        <v>671.3</v>
      </c>
      <c r="V974" s="40" t="s">
        <v>77</v>
      </c>
      <c r="W974" s="15"/>
      <c r="X974" s="15"/>
      <c r="Y974" s="16"/>
      <c r="Z974" s="17"/>
      <c r="AA974" s="16"/>
      <c r="AB974" s="99">
        <v>839.13</v>
      </c>
      <c r="AC974" s="20">
        <v>65.492682926829374</v>
      </c>
      <c r="AD974" s="21">
        <v>46081</v>
      </c>
      <c r="AE974" s="22">
        <v>655980.87662181398</v>
      </c>
      <c r="AF974" s="23">
        <v>500583.2559333336</v>
      </c>
      <c r="AG974" s="24">
        <v>599744.12593333388</v>
      </c>
      <c r="AH974" s="15">
        <v>0.5</v>
      </c>
      <c r="AI974" s="76"/>
      <c r="AJ974" s="77"/>
      <c r="AK974" s="77"/>
      <c r="AL974" s="77"/>
      <c r="AM974" s="77"/>
      <c r="AN974" s="76"/>
      <c r="AO974" s="76"/>
      <c r="AP974" s="77"/>
      <c r="AQ974" s="77"/>
      <c r="AR974" s="77"/>
      <c r="AS974" s="77"/>
      <c r="AT974" s="77"/>
      <c r="AU974" s="77"/>
      <c r="AV974" s="77"/>
      <c r="AW974" s="77"/>
      <c r="AX974" s="77"/>
      <c r="AY974" s="77"/>
      <c r="AZ974" s="77"/>
      <c r="BA974" s="77"/>
      <c r="BB974" s="77"/>
      <c r="BC974" s="77"/>
      <c r="BD974" s="77"/>
      <c r="BE974" s="77"/>
      <c r="BF974" s="77"/>
      <c r="BG974" s="77"/>
      <c r="BH974" s="77"/>
      <c r="BI974" s="77"/>
      <c r="BJ974" s="77"/>
      <c r="BK974" s="77"/>
      <c r="BL974" s="77"/>
      <c r="BM974" s="77"/>
      <c r="BN974" s="77"/>
      <c r="BO974" s="77"/>
      <c r="BP974" s="77"/>
    </row>
    <row r="975" spans="1:68" ht="15" customHeight="1" x14ac:dyDescent="0.25">
      <c r="A975" s="1">
        <f t="shared" si="63"/>
        <v>513</v>
      </c>
      <c r="B975" s="1" t="str">
        <f t="shared" si="60"/>
        <v xml:space="preserve">Portland </v>
      </c>
      <c r="C975" s="1">
        <f t="shared" si="61"/>
        <v>0</v>
      </c>
      <c r="D975" s="2" t="str">
        <f t="shared" si="62"/>
        <v>2026-02</v>
      </c>
      <c r="E975" s="100" t="s">
        <v>1379</v>
      </c>
      <c r="F975" s="101" t="s">
        <v>1315</v>
      </c>
      <c r="G975" s="102">
        <v>46081</v>
      </c>
      <c r="H975" s="6">
        <v>130</v>
      </c>
      <c r="I975" s="6">
        <v>-130</v>
      </c>
      <c r="J975" s="115">
        <v>120</v>
      </c>
      <c r="K975" s="8">
        <v>-4.3478260869565091E-2</v>
      </c>
      <c r="L975" s="9">
        <v>-1.9762845849802313E-2</v>
      </c>
      <c r="M975" s="10">
        <v>129.99999999999997</v>
      </c>
      <c r="N975" s="11">
        <v>2.2000000000000002</v>
      </c>
      <c r="O975" s="12">
        <v>-10862.606266908191</v>
      </c>
      <c r="P975" s="13" t="s">
        <v>506</v>
      </c>
      <c r="Q975" s="13" t="s">
        <v>76</v>
      </c>
      <c r="R975" s="14" t="s">
        <v>1380</v>
      </c>
      <c r="S975" s="13">
        <v>900</v>
      </c>
      <c r="T975" s="13">
        <v>630</v>
      </c>
      <c r="U975" s="104">
        <v>630</v>
      </c>
      <c r="V975" s="6" t="s">
        <v>77</v>
      </c>
      <c r="W975" s="15"/>
      <c r="X975" s="15"/>
      <c r="Y975" s="16"/>
      <c r="Z975" s="17"/>
      <c r="AA975" s="16"/>
      <c r="AB975" s="24">
        <v>756</v>
      </c>
      <c r="AC975" s="20">
        <v>-27.391304347826008</v>
      </c>
      <c r="AD975" s="21">
        <v>46081</v>
      </c>
      <c r="AE975" s="22">
        <v>658563.76682083576</v>
      </c>
      <c r="AF975" s="23">
        <v>500371.86593333358</v>
      </c>
      <c r="AG975" s="24">
        <v>599615.86593333399</v>
      </c>
      <c r="AH975" s="15">
        <v>0.5</v>
      </c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</row>
    <row r="976" spans="1:68" ht="15" customHeight="1" x14ac:dyDescent="0.25">
      <c r="A976" s="1">
        <f t="shared" si="63"/>
        <v>514</v>
      </c>
      <c r="B976" s="1" t="str">
        <f t="shared" si="60"/>
        <v xml:space="preserve">Providence </v>
      </c>
      <c r="C976" s="1">
        <f t="shared" si="61"/>
        <v>0</v>
      </c>
      <c r="D976" s="2" t="str">
        <f t="shared" si="62"/>
        <v>2026-02</v>
      </c>
      <c r="E976" s="100" t="s">
        <v>1381</v>
      </c>
      <c r="F976" s="101" t="s">
        <v>1315</v>
      </c>
      <c r="G976" s="102">
        <v>46081</v>
      </c>
      <c r="H976" s="6">
        <v>-143</v>
      </c>
      <c r="I976" s="6">
        <v>143</v>
      </c>
      <c r="J976" s="115">
        <v>-121</v>
      </c>
      <c r="K976" s="8">
        <v>7.4822297044519342E-2</v>
      </c>
      <c r="L976" s="9">
        <v>4.0966054037949506E-2</v>
      </c>
      <c r="M976" s="10">
        <v>-143</v>
      </c>
      <c r="N976" s="11">
        <v>1.8264462809917354</v>
      </c>
      <c r="O976" s="12">
        <v>27226.518540192101</v>
      </c>
      <c r="P976" s="13" t="s">
        <v>506</v>
      </c>
      <c r="Q976" s="13" t="s">
        <v>76</v>
      </c>
      <c r="R976" s="14" t="s">
        <v>597</v>
      </c>
      <c r="S976" s="13">
        <v>4235</v>
      </c>
      <c r="T976" s="13">
        <v>2964.5</v>
      </c>
      <c r="U976" s="104">
        <v>2964.5</v>
      </c>
      <c r="V976" s="6" t="s">
        <v>77</v>
      </c>
      <c r="W976" s="15"/>
      <c r="X976" s="15"/>
      <c r="Y976" s="16"/>
      <c r="Z976" s="17"/>
      <c r="AA976" s="16"/>
      <c r="AB976" s="24">
        <v>2450</v>
      </c>
      <c r="AC976" s="20">
        <v>221.8106995884776</v>
      </c>
      <c r="AD976" s="21">
        <v>46081</v>
      </c>
      <c r="AE976" s="22">
        <v>660536.48308573861</v>
      </c>
      <c r="AF976" s="23">
        <v>503908.54593333363</v>
      </c>
      <c r="AG976" s="24">
        <v>601458.54593333392</v>
      </c>
      <c r="AH976" s="15">
        <v>0.5</v>
      </c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</row>
    <row r="977" spans="1:68" ht="15" customHeight="1" x14ac:dyDescent="0.25">
      <c r="A977" s="1">
        <f t="shared" si="63"/>
        <v>514</v>
      </c>
      <c r="B977" s="1" t="str">
        <f t="shared" si="60"/>
        <v xml:space="preserve">Providence </v>
      </c>
      <c r="C977" s="1">
        <f t="shared" si="61"/>
        <v>0</v>
      </c>
      <c r="D977" s="2" t="str">
        <f t="shared" si="62"/>
        <v>2026-02</v>
      </c>
      <c r="E977" s="100" t="s">
        <v>1382</v>
      </c>
      <c r="F977" s="101" t="s">
        <v>1315</v>
      </c>
      <c r="G977" s="102">
        <v>46081</v>
      </c>
      <c r="H977" s="6">
        <v>-113</v>
      </c>
      <c r="I977" s="6">
        <v>113</v>
      </c>
      <c r="J977" s="115">
        <v>104</v>
      </c>
      <c r="K977" s="8">
        <v>8.2253521126760598E-2</v>
      </c>
      <c r="L977" s="9">
        <v>4.0320353493510097E-2</v>
      </c>
      <c r="M977" s="10">
        <v>-113</v>
      </c>
      <c r="N977" s="11">
        <v>2.04</v>
      </c>
      <c r="O977" s="12">
        <v>23881.540548826324</v>
      </c>
      <c r="P977" s="13" t="s">
        <v>506</v>
      </c>
      <c r="Q977" s="13" t="s">
        <v>76</v>
      </c>
      <c r="R977" s="14" t="s">
        <v>597</v>
      </c>
      <c r="S977" s="13">
        <v>3365</v>
      </c>
      <c r="T977" s="13">
        <v>2355.5</v>
      </c>
      <c r="U977" s="104">
        <v>2355.5</v>
      </c>
      <c r="V977" s="6" t="s">
        <v>77</v>
      </c>
      <c r="W977" s="15"/>
      <c r="X977" s="15"/>
      <c r="Y977" s="16"/>
      <c r="Z977" s="17"/>
      <c r="AA977" s="16"/>
      <c r="AB977" s="24">
        <v>2449.7199999999998</v>
      </c>
      <c r="AC977" s="20">
        <v>193.7481690140846</v>
      </c>
      <c r="AD977" s="21">
        <v>46081</v>
      </c>
      <c r="AE977" s="22">
        <v>660730.23125475273</v>
      </c>
      <c r="AF977" s="23">
        <v>506358.26593333361</v>
      </c>
      <c r="AG977" s="24">
        <v>603908.54593333392</v>
      </c>
      <c r="AH977" s="15">
        <v>0.5</v>
      </c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</row>
    <row r="978" spans="1:68" ht="15" customHeight="1" x14ac:dyDescent="0.25">
      <c r="A978" s="1">
        <f t="shared" si="63"/>
        <v>514</v>
      </c>
      <c r="B978" s="1" t="str">
        <f t="shared" si="60"/>
        <v xml:space="preserve">Providence </v>
      </c>
      <c r="C978" s="1">
        <f t="shared" si="61"/>
        <v>0</v>
      </c>
      <c r="D978" s="2" t="str">
        <f t="shared" si="62"/>
        <v>2026-02</v>
      </c>
      <c r="E978" s="100" t="s">
        <v>652</v>
      </c>
      <c r="F978" s="101" t="s">
        <v>1315</v>
      </c>
      <c r="G978" s="5">
        <v>46081</v>
      </c>
      <c r="H978" s="6">
        <v>-109</v>
      </c>
      <c r="I978" s="6">
        <v>109</v>
      </c>
      <c r="J978" s="115">
        <v>107</v>
      </c>
      <c r="K978" s="8">
        <v>7.9569377990430679E-2</v>
      </c>
      <c r="L978" s="9">
        <v>3.8439313038855394E-2</v>
      </c>
      <c r="M978" s="10">
        <v>-108.99999999999999</v>
      </c>
      <c r="N978" s="11">
        <v>2.0700000000000003</v>
      </c>
      <c r="O978" s="12">
        <v>22547.6693039202</v>
      </c>
      <c r="P978" s="13" t="s">
        <v>506</v>
      </c>
      <c r="Q978" s="13" t="s">
        <v>81</v>
      </c>
      <c r="R978" s="14" t="s">
        <v>597</v>
      </c>
      <c r="S978" s="13">
        <v>3333</v>
      </c>
      <c r="T978" s="13">
        <v>2333.1</v>
      </c>
      <c r="U978" s="104">
        <v>2333.1</v>
      </c>
      <c r="V978" s="6" t="s">
        <v>77</v>
      </c>
      <c r="W978" s="15"/>
      <c r="X978" s="15"/>
      <c r="Y978" s="16"/>
      <c r="Z978" s="17"/>
      <c r="AA978" s="16"/>
      <c r="AB978" s="24">
        <v>2496.42</v>
      </c>
      <c r="AC978" s="20">
        <v>185.6433157894738</v>
      </c>
      <c r="AD978" s="21">
        <v>46081</v>
      </c>
      <c r="AE978" s="22">
        <v>660962.09588397515</v>
      </c>
      <c r="AF978" s="23">
        <v>508910.76593333361</v>
      </c>
      <c r="AG978" s="24">
        <v>606414.34593333397</v>
      </c>
      <c r="AH978" s="15">
        <v>0.5</v>
      </c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</row>
    <row r="979" spans="1:68" ht="15" customHeight="1" x14ac:dyDescent="0.25">
      <c r="A979" s="1">
        <f t="shared" si="63"/>
        <v>515</v>
      </c>
      <c r="B979" s="1" t="str">
        <f t="shared" si="60"/>
        <v xml:space="preserve">Queens </v>
      </c>
      <c r="C979" s="1">
        <f t="shared" si="61"/>
        <v>1</v>
      </c>
      <c r="D979" s="2" t="str">
        <f t="shared" si="62"/>
        <v>2026-02</v>
      </c>
      <c r="E979" s="100" t="s">
        <v>1383</v>
      </c>
      <c r="F979" s="101" t="s">
        <v>1197</v>
      </c>
      <c r="G979" s="102">
        <v>46081</v>
      </c>
      <c r="H979" s="6">
        <v>-107</v>
      </c>
      <c r="I979" s="6">
        <v>107</v>
      </c>
      <c r="J979" s="115">
        <v>112</v>
      </c>
      <c r="K979" s="121">
        <v>9.5845410628019601E-2</v>
      </c>
      <c r="L979" s="117">
        <v>4.5210099352839428E-2</v>
      </c>
      <c r="M979" s="118">
        <v>-107.00000000000003</v>
      </c>
      <c r="N979" s="116">
        <v>2.12</v>
      </c>
      <c r="O979" s="119">
        <v>25916.897948838381</v>
      </c>
      <c r="P979" s="13" t="s">
        <v>506</v>
      </c>
      <c r="Q979" s="13" t="s">
        <v>92</v>
      </c>
      <c r="R979" s="14" t="s">
        <v>1384</v>
      </c>
      <c r="S979" s="13">
        <v>213</v>
      </c>
      <c r="T979" s="13">
        <v>149.1</v>
      </c>
      <c r="U979" s="13">
        <v>149.1</v>
      </c>
      <c r="V979" s="6" t="s">
        <v>77</v>
      </c>
      <c r="W979" s="105"/>
      <c r="X979" s="105"/>
      <c r="Y979" s="114"/>
      <c r="Z979" s="8"/>
      <c r="AA979" s="10"/>
      <c r="AB979" s="106">
        <v>166.99</v>
      </c>
      <c r="AC979" s="107">
        <v>14.290550724637722</v>
      </c>
      <c r="AD979" s="108">
        <v>46081</v>
      </c>
      <c r="AE979" s="109">
        <v>656816.90555868496</v>
      </c>
      <c r="AF979" s="110">
        <v>505869.97593333357</v>
      </c>
      <c r="AG979" s="106">
        <v>605702.98593333398</v>
      </c>
      <c r="AH979" s="15">
        <v>0.5</v>
      </c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</row>
    <row r="980" spans="1:68" ht="15" customHeight="1" x14ac:dyDescent="0.25">
      <c r="A980" s="1">
        <f t="shared" si="63"/>
        <v>516</v>
      </c>
      <c r="B980" s="1" t="str">
        <f t="shared" si="60"/>
        <v xml:space="preserve">Samford </v>
      </c>
      <c r="C980" s="1">
        <f t="shared" si="61"/>
        <v>0</v>
      </c>
      <c r="D980" s="2" t="str">
        <f t="shared" si="62"/>
        <v>2026-02</v>
      </c>
      <c r="E980" s="100" t="s">
        <v>1385</v>
      </c>
      <c r="F980" s="101" t="s">
        <v>1197</v>
      </c>
      <c r="G980" s="5">
        <v>46081</v>
      </c>
      <c r="H980" s="6">
        <v>101</v>
      </c>
      <c r="I980" s="6">
        <v>-101</v>
      </c>
      <c r="J980" s="115">
        <v>130</v>
      </c>
      <c r="K980" s="8">
        <v>0.14427860696517417</v>
      </c>
      <c r="L980" s="9">
        <v>6.2729829115293123E-2</v>
      </c>
      <c r="M980" s="10">
        <v>100.99999999999997</v>
      </c>
      <c r="N980" s="11">
        <v>2.2999999999999998</v>
      </c>
      <c r="O980" s="12">
        <v>33661.727577624741</v>
      </c>
      <c r="P980" s="13" t="s">
        <v>506</v>
      </c>
      <c r="Q980" s="13" t="s">
        <v>76</v>
      </c>
      <c r="R980" s="14" t="s">
        <v>1386</v>
      </c>
      <c r="S980" s="13">
        <v>276</v>
      </c>
      <c r="T980" s="13">
        <v>193.2</v>
      </c>
      <c r="U980" s="104">
        <v>193.2</v>
      </c>
      <c r="V980" s="6" t="s">
        <v>82</v>
      </c>
      <c r="W980" s="15"/>
      <c r="X980" s="15"/>
      <c r="Y980" s="16"/>
      <c r="Z980" s="17"/>
      <c r="AA980" s="16"/>
      <c r="AB980" s="24">
        <v>-193.2</v>
      </c>
      <c r="AC980" s="20">
        <v>27.874626865671647</v>
      </c>
      <c r="AD980" s="21">
        <v>46081</v>
      </c>
      <c r="AE980" s="22">
        <v>660776.45256818563</v>
      </c>
      <c r="AF980" s="23">
        <v>506414.34593333362</v>
      </c>
      <c r="AG980" s="24">
        <v>606607.54593333392</v>
      </c>
      <c r="AH980" s="15">
        <v>0.5</v>
      </c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</row>
    <row r="981" spans="1:68" ht="15" customHeight="1" x14ac:dyDescent="0.25">
      <c r="A981" s="1">
        <f t="shared" si="63"/>
        <v>517</v>
      </c>
      <c r="B981" s="1" t="str">
        <f t="shared" si="60"/>
        <v xml:space="preserve">San </v>
      </c>
      <c r="C981" s="1">
        <f t="shared" si="61"/>
        <v>0</v>
      </c>
      <c r="D981" s="2" t="str">
        <f t="shared" si="62"/>
        <v>2026-02</v>
      </c>
      <c r="E981" s="100" t="s">
        <v>1387</v>
      </c>
      <c r="F981" s="101" t="s">
        <v>1315</v>
      </c>
      <c r="G981" s="5">
        <v>46081</v>
      </c>
      <c r="H981" s="6">
        <v>260</v>
      </c>
      <c r="I981" s="6">
        <v>-260</v>
      </c>
      <c r="J981" s="115">
        <v>500</v>
      </c>
      <c r="K981" s="8">
        <v>0.66666666666666685</v>
      </c>
      <c r="L981" s="9">
        <v>0.11111111111111113</v>
      </c>
      <c r="M981" s="10">
        <v>260</v>
      </c>
      <c r="N981" s="11">
        <v>6</v>
      </c>
      <c r="O981" s="12">
        <v>40273.705728888941</v>
      </c>
      <c r="P981" s="13" t="s">
        <v>506</v>
      </c>
      <c r="Q981" s="13" t="s">
        <v>81</v>
      </c>
      <c r="R981" s="14" t="s">
        <v>1388</v>
      </c>
      <c r="S981" s="13">
        <v>700</v>
      </c>
      <c r="T981" s="13">
        <v>489.99999999999994</v>
      </c>
      <c r="U981" s="13">
        <v>489.99999999999994</v>
      </c>
      <c r="V981" s="6" t="s">
        <v>82</v>
      </c>
      <c r="W981" s="105"/>
      <c r="X981" s="105"/>
      <c r="Y981" s="114"/>
      <c r="Z981" s="8"/>
      <c r="AA981" s="10"/>
      <c r="AB981" s="106">
        <v>-489.99999999999994</v>
      </c>
      <c r="AC981" s="107">
        <v>326.66666666666674</v>
      </c>
      <c r="AD981" s="108">
        <v>46081</v>
      </c>
      <c r="AE981" s="109">
        <v>657885.02335700055</v>
      </c>
      <c r="AF981" s="110">
        <v>503615.58593333361</v>
      </c>
      <c r="AG981" s="106">
        <v>604105.58593333396</v>
      </c>
      <c r="AH981" s="15">
        <v>0.5</v>
      </c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</row>
    <row r="982" spans="1:68" ht="15" customHeight="1" x14ac:dyDescent="0.25">
      <c r="A982" s="1">
        <f t="shared" si="63"/>
        <v>518</v>
      </c>
      <c r="B982" s="1" t="str">
        <f t="shared" si="60"/>
        <v xml:space="preserve">San </v>
      </c>
      <c r="C982" s="1">
        <f t="shared" si="61"/>
        <v>1</v>
      </c>
      <c r="D982" s="2" t="str">
        <f t="shared" si="62"/>
        <v>2026-02</v>
      </c>
      <c r="E982" s="100" t="s">
        <v>1389</v>
      </c>
      <c r="F982" s="101" t="s">
        <v>1315</v>
      </c>
      <c r="G982" s="5">
        <v>46081</v>
      </c>
      <c r="H982" s="6">
        <v>-115</v>
      </c>
      <c r="I982" s="6">
        <v>-115</v>
      </c>
      <c r="J982" s="115">
        <v>100</v>
      </c>
      <c r="K982" s="8">
        <v>0</v>
      </c>
      <c r="L982" s="9">
        <v>0</v>
      </c>
      <c r="M982" s="10">
        <v>100</v>
      </c>
      <c r="N982" s="11">
        <v>2</v>
      </c>
      <c r="O982" s="12">
        <v>0</v>
      </c>
      <c r="P982" s="13" t="s">
        <v>506</v>
      </c>
      <c r="Q982" s="13" t="s">
        <v>92</v>
      </c>
      <c r="R982" s="14" t="s">
        <v>984</v>
      </c>
      <c r="S982" s="13">
        <v>655</v>
      </c>
      <c r="T982" s="13">
        <v>458.49999999999994</v>
      </c>
      <c r="U982" s="104">
        <v>458.49999999999994</v>
      </c>
      <c r="V982" s="6" t="s">
        <v>77</v>
      </c>
      <c r="W982" s="15"/>
      <c r="X982" s="15"/>
      <c r="Y982" s="16"/>
      <c r="Z982" s="17"/>
      <c r="AA982" s="16"/>
      <c r="AB982" s="24">
        <v>458.5</v>
      </c>
      <c r="AC982" s="20">
        <v>0</v>
      </c>
      <c r="AD982" s="21">
        <v>46081</v>
      </c>
      <c r="AE982" s="22">
        <v>660242.6516964949</v>
      </c>
      <c r="AF982" s="23">
        <v>500715.14593333361</v>
      </c>
      <c r="AG982" s="24">
        <v>600256.6459333339</v>
      </c>
      <c r="AH982" s="15">
        <v>0.5</v>
      </c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</row>
    <row r="983" spans="1:68" ht="15" customHeight="1" x14ac:dyDescent="0.25">
      <c r="A983" s="1">
        <f t="shared" si="63"/>
        <v>519</v>
      </c>
      <c r="B983" s="1" t="str">
        <f t="shared" si="60"/>
        <v xml:space="preserve">Seton </v>
      </c>
      <c r="C983" s="1">
        <f t="shared" si="61"/>
        <v>1</v>
      </c>
      <c r="D983" s="2" t="str">
        <f t="shared" si="62"/>
        <v>2026-02</v>
      </c>
      <c r="E983" s="3" t="s">
        <v>1390</v>
      </c>
      <c r="F983" s="4" t="s">
        <v>1197</v>
      </c>
      <c r="G983" s="39">
        <v>46081</v>
      </c>
      <c r="H983" s="40">
        <v>106</v>
      </c>
      <c r="I983" s="40">
        <v>-106</v>
      </c>
      <c r="J983" s="7">
        <v>125</v>
      </c>
      <c r="K983" s="8">
        <v>9.2233009708738184E-2</v>
      </c>
      <c r="L983" s="9">
        <v>4.0992448759439193E-2</v>
      </c>
      <c r="M983" s="10">
        <v>105.99999999999999</v>
      </c>
      <c r="N983" s="11">
        <v>2.25</v>
      </c>
      <c r="O983" s="12">
        <v>22108.534510161906</v>
      </c>
      <c r="P983" s="32" t="s">
        <v>506</v>
      </c>
      <c r="Q983" s="80" t="s">
        <v>92</v>
      </c>
      <c r="R983" s="82" t="s">
        <v>1050</v>
      </c>
      <c r="S983" s="32">
        <v>532</v>
      </c>
      <c r="T983" s="32">
        <v>372.4</v>
      </c>
      <c r="U983" s="32">
        <v>372.4</v>
      </c>
      <c r="V983" s="40" t="s">
        <v>82</v>
      </c>
      <c r="W983" s="15"/>
      <c r="X983" s="15"/>
      <c r="Y983" s="16"/>
      <c r="Z983" s="17"/>
      <c r="AA983" s="16"/>
      <c r="AB983" s="99">
        <v>-372.4</v>
      </c>
      <c r="AC983" s="20">
        <v>34.3475728155341</v>
      </c>
      <c r="AD983" s="21">
        <v>46081</v>
      </c>
      <c r="AE983" s="22">
        <v>655775.27102591936</v>
      </c>
      <c r="AF983" s="23">
        <v>498885.24593333359</v>
      </c>
      <c r="AG983" s="24">
        <v>599257.64593333378</v>
      </c>
      <c r="AH983" s="15">
        <v>0.5</v>
      </c>
      <c r="AI983" s="76"/>
      <c r="AJ983" s="76"/>
      <c r="AK983" s="76"/>
      <c r="AL983" s="76"/>
      <c r="AM983" s="76"/>
      <c r="AN983" s="77"/>
      <c r="AO983" s="77"/>
      <c r="AP983" s="77"/>
      <c r="AQ983" s="77"/>
      <c r="AR983" s="77"/>
      <c r="AS983" s="77"/>
      <c r="AT983" s="77"/>
      <c r="AU983" s="77"/>
      <c r="AV983" s="77"/>
      <c r="AW983" s="77"/>
      <c r="AX983" s="77"/>
      <c r="AY983" s="77"/>
      <c r="AZ983" s="77"/>
      <c r="BA983" s="77"/>
      <c r="BB983" s="76"/>
      <c r="BC983" s="76"/>
      <c r="BD983" s="77"/>
      <c r="BE983" s="77"/>
      <c r="BF983" s="77"/>
      <c r="BG983" s="77"/>
      <c r="BH983" s="77"/>
      <c r="BI983" s="77"/>
      <c r="BJ983" s="77"/>
      <c r="BK983" s="77"/>
      <c r="BL983" s="77"/>
      <c r="BM983" s="77"/>
      <c r="BN983" s="77"/>
      <c r="BO983" s="77"/>
      <c r="BP983" s="76"/>
    </row>
    <row r="984" spans="1:68" ht="15" customHeight="1" x14ac:dyDescent="0.25">
      <c r="A984" s="1">
        <f t="shared" si="63"/>
        <v>520</v>
      </c>
      <c r="B984" s="1" t="str">
        <f t="shared" si="60"/>
        <v xml:space="preserve">St. </v>
      </c>
      <c r="C984" s="1">
        <f t="shared" si="61"/>
        <v>0</v>
      </c>
      <c r="D984" s="2" t="str">
        <f t="shared" si="62"/>
        <v>2026-02</v>
      </c>
      <c r="E984" s="28" t="s">
        <v>1391</v>
      </c>
      <c r="F984" s="101" t="s">
        <v>1315</v>
      </c>
      <c r="G984" s="5">
        <v>46081</v>
      </c>
      <c r="H984" s="6">
        <v>-102</v>
      </c>
      <c r="I984" s="6">
        <v>102</v>
      </c>
      <c r="J984" s="30">
        <v>128</v>
      </c>
      <c r="K984" s="8">
        <v>0.15128712871287137</v>
      </c>
      <c r="L984" s="9">
        <v>6.6354003821434804E-2</v>
      </c>
      <c r="M984" s="10">
        <v>-102</v>
      </c>
      <c r="N984" s="11">
        <v>2.2800000000000002</v>
      </c>
      <c r="O984" s="12">
        <v>35815.117736159285</v>
      </c>
      <c r="P984" s="13" t="s">
        <v>506</v>
      </c>
      <c r="Q984" s="13" t="s">
        <v>76</v>
      </c>
      <c r="R984" s="14" t="s">
        <v>1392</v>
      </c>
      <c r="S984" s="13">
        <v>2800</v>
      </c>
      <c r="T984" s="13">
        <v>1959.9999999999998</v>
      </c>
      <c r="U984" s="13">
        <v>1959.9999999999998</v>
      </c>
      <c r="V984" s="6" t="s">
        <v>82</v>
      </c>
      <c r="W984" s="15"/>
      <c r="X984" s="15"/>
      <c r="Y984" s="16"/>
      <c r="Z984" s="17"/>
      <c r="AA984" s="16"/>
      <c r="AB984" s="24">
        <v>-1959.9999999999998</v>
      </c>
      <c r="AC984" s="20">
        <v>296.52277227722783</v>
      </c>
      <c r="AD984" s="21">
        <v>46081</v>
      </c>
      <c r="AE984" s="22">
        <v>662477.40947062406</v>
      </c>
      <c r="AF984" s="23">
        <v>504084.29593333369</v>
      </c>
      <c r="AG984" s="24">
        <v>606044.29593333392</v>
      </c>
      <c r="AH984" s="15">
        <v>0.5</v>
      </c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</row>
    <row r="985" spans="1:68" ht="15" customHeight="1" x14ac:dyDescent="0.25">
      <c r="A985" s="1">
        <f t="shared" si="63"/>
        <v>521</v>
      </c>
      <c r="B985" s="1" t="str">
        <f t="shared" si="60"/>
        <v xml:space="preserve">Stetson </v>
      </c>
      <c r="C985" s="1">
        <f t="shared" si="61"/>
        <v>0</v>
      </c>
      <c r="D985" s="2" t="str">
        <f t="shared" si="62"/>
        <v>2026-02</v>
      </c>
      <c r="E985" s="3" t="s">
        <v>1393</v>
      </c>
      <c r="F985" s="4" t="s">
        <v>1197</v>
      </c>
      <c r="G985" s="102">
        <v>46081</v>
      </c>
      <c r="H985" s="4">
        <v>-109</v>
      </c>
      <c r="I985" s="4">
        <v>109</v>
      </c>
      <c r="J985" s="7">
        <v>112</v>
      </c>
      <c r="K985" s="8">
        <v>0.10564593301435407</v>
      </c>
      <c r="L985" s="9">
        <v>4.9832987270921725E-2</v>
      </c>
      <c r="M985" s="10">
        <v>-108.99999999999999</v>
      </c>
      <c r="N985" s="11">
        <v>2.12</v>
      </c>
      <c r="O985" s="12">
        <v>28566.244586056084</v>
      </c>
      <c r="P985" s="13" t="s">
        <v>506</v>
      </c>
      <c r="Q985" s="13" t="s">
        <v>76</v>
      </c>
      <c r="R985" s="14" t="s">
        <v>1394</v>
      </c>
      <c r="S985" s="13">
        <v>214</v>
      </c>
      <c r="T985" s="13">
        <v>149.79999999999998</v>
      </c>
      <c r="U985" s="13">
        <v>149.79999999999998</v>
      </c>
      <c r="V985" s="129" t="s">
        <v>77</v>
      </c>
      <c r="W985" s="105"/>
      <c r="X985" s="105"/>
      <c r="Y985" s="114"/>
      <c r="Z985" s="8"/>
      <c r="AA985" s="10"/>
      <c r="AB985" s="106">
        <v>167.78</v>
      </c>
      <c r="AC985" s="107">
        <v>15.825760765550237</v>
      </c>
      <c r="AD985" s="108">
        <v>46081</v>
      </c>
      <c r="AE985" s="109">
        <v>656943.94542033342</v>
      </c>
      <c r="AF985" s="110">
        <v>505854.96593333356</v>
      </c>
      <c r="AG985" s="106">
        <v>605687.18593333405</v>
      </c>
      <c r="AH985" s="15">
        <v>0.5</v>
      </c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</row>
    <row r="986" spans="1:68" ht="15" customHeight="1" x14ac:dyDescent="0.25">
      <c r="A986" s="1">
        <f t="shared" si="63"/>
        <v>521</v>
      </c>
      <c r="B986" s="1" t="str">
        <f t="shared" si="60"/>
        <v xml:space="preserve">Stetson </v>
      </c>
      <c r="C986" s="1">
        <f t="shared" si="61"/>
        <v>0</v>
      </c>
      <c r="D986" s="2" t="str">
        <f t="shared" si="62"/>
        <v>2026-02</v>
      </c>
      <c r="E986" s="3" t="s">
        <v>1395</v>
      </c>
      <c r="F986" s="4" t="s">
        <v>1197</v>
      </c>
      <c r="G986" s="102">
        <v>46081</v>
      </c>
      <c r="H986" s="4">
        <v>-108</v>
      </c>
      <c r="I986" s="4">
        <v>108</v>
      </c>
      <c r="J986" s="7">
        <v>112</v>
      </c>
      <c r="K986" s="8">
        <v>0.10076923076923097</v>
      </c>
      <c r="L986" s="9">
        <v>4.7532656023222153E-2</v>
      </c>
      <c r="M986" s="10">
        <v>-108.00000000000001</v>
      </c>
      <c r="N986" s="11">
        <v>2.12</v>
      </c>
      <c r="O986" s="12">
        <v>27193.272227770223</v>
      </c>
      <c r="P986" s="13" t="s">
        <v>506</v>
      </c>
      <c r="Q986" s="13" t="s">
        <v>76</v>
      </c>
      <c r="R986" s="14" t="s">
        <v>1394</v>
      </c>
      <c r="S986" s="13">
        <v>214</v>
      </c>
      <c r="T986" s="13">
        <v>149.79999999999998</v>
      </c>
      <c r="U986" s="13">
        <v>149.79999999999998</v>
      </c>
      <c r="V986" s="129" t="s">
        <v>77</v>
      </c>
      <c r="W986" s="105"/>
      <c r="X986" s="105"/>
      <c r="Y986" s="114"/>
      <c r="Z986" s="8"/>
      <c r="AA986" s="10"/>
      <c r="AB986" s="106">
        <v>167.78</v>
      </c>
      <c r="AC986" s="107">
        <v>15.095230769230797</v>
      </c>
      <c r="AD986" s="108">
        <v>46081</v>
      </c>
      <c r="AE986" s="109">
        <v>657142.91514812957</v>
      </c>
      <c r="AF986" s="110">
        <v>504647.23593333358</v>
      </c>
      <c r="AG986" s="24">
        <v>604479.45593333396</v>
      </c>
      <c r="AH986" s="15">
        <v>0.5</v>
      </c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</row>
    <row r="987" spans="1:68" ht="15" customHeight="1" x14ac:dyDescent="0.25">
      <c r="A987" s="1">
        <f t="shared" si="63"/>
        <v>522</v>
      </c>
      <c r="B987" s="1" t="str">
        <f t="shared" si="60"/>
        <v xml:space="preserve">Stony </v>
      </c>
      <c r="C987" s="1">
        <f t="shared" si="61"/>
        <v>1</v>
      </c>
      <c r="D987" s="2" t="str">
        <f t="shared" si="62"/>
        <v>2026-02</v>
      </c>
      <c r="E987" s="28" t="s">
        <v>1396</v>
      </c>
      <c r="F987" s="29" t="s">
        <v>1315</v>
      </c>
      <c r="G987" s="5">
        <v>46081</v>
      </c>
      <c r="H987" s="6">
        <v>-104</v>
      </c>
      <c r="I987" s="6">
        <v>104</v>
      </c>
      <c r="J987" s="30">
        <v>120</v>
      </c>
      <c r="K987" s="8">
        <v>0.12156862745098035</v>
      </c>
      <c r="L987" s="9">
        <v>5.5258467023172886E-2</v>
      </c>
      <c r="M987" s="10">
        <v>-103.99999999999999</v>
      </c>
      <c r="N987" s="11">
        <v>2.2000000000000002</v>
      </c>
      <c r="O987" s="12">
        <v>30918.229695969512</v>
      </c>
      <c r="P987" s="13" t="s">
        <v>506</v>
      </c>
      <c r="Q987" s="13" t="s">
        <v>92</v>
      </c>
      <c r="R987" s="14" t="s">
        <v>1078</v>
      </c>
      <c r="S987" s="13">
        <v>885</v>
      </c>
      <c r="T987" s="13">
        <v>619.5</v>
      </c>
      <c r="U987" s="13">
        <v>619.5</v>
      </c>
      <c r="V987" s="6" t="s">
        <v>82</v>
      </c>
      <c r="W987" s="15"/>
      <c r="X987" s="15"/>
      <c r="Y987" s="16"/>
      <c r="Z987" s="17"/>
      <c r="AA987" s="16"/>
      <c r="AB987" s="24">
        <v>-619.5</v>
      </c>
      <c r="AC987" s="20">
        <v>75.311764705882325</v>
      </c>
      <c r="AD987" s="21">
        <v>46081</v>
      </c>
      <c r="AE987" s="22">
        <v>661578.24181722477</v>
      </c>
      <c r="AF987" s="23">
        <v>509766.19593333366</v>
      </c>
      <c r="AG987" s="24">
        <v>610385.69593333395</v>
      </c>
      <c r="AH987" s="15">
        <v>0.5</v>
      </c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</row>
    <row r="988" spans="1:68" ht="15" customHeight="1" x14ac:dyDescent="0.25">
      <c r="A988" s="1">
        <f t="shared" si="63"/>
        <v>523</v>
      </c>
      <c r="B988" s="1" t="str">
        <f t="shared" si="60"/>
        <v xml:space="preserve">Tarleton </v>
      </c>
      <c r="C988" s="1">
        <f t="shared" si="61"/>
        <v>1</v>
      </c>
      <c r="D988" s="2" t="str">
        <f t="shared" si="62"/>
        <v>2026-02</v>
      </c>
      <c r="E988" s="3" t="s">
        <v>1397</v>
      </c>
      <c r="F988" s="4" t="s">
        <v>1315</v>
      </c>
      <c r="G988" s="5">
        <v>46081</v>
      </c>
      <c r="H988" s="4">
        <v>-104</v>
      </c>
      <c r="I988" s="4">
        <v>104</v>
      </c>
      <c r="J988" s="7">
        <v>125</v>
      </c>
      <c r="K988" s="8">
        <v>0.14705882352941174</v>
      </c>
      <c r="L988" s="9">
        <v>6.5359477124182996E-2</v>
      </c>
      <c r="M988" s="10">
        <v>-103.99999999999999</v>
      </c>
      <c r="N988" s="11">
        <v>2.25</v>
      </c>
      <c r="O988" s="12">
        <v>35751.457407843161</v>
      </c>
      <c r="P988" s="13" t="s">
        <v>506</v>
      </c>
      <c r="Q988" s="13" t="s">
        <v>92</v>
      </c>
      <c r="R988" s="14" t="s">
        <v>1398</v>
      </c>
      <c r="S988" s="13">
        <v>863</v>
      </c>
      <c r="T988" s="13">
        <v>604.09999999999991</v>
      </c>
      <c r="U988" s="13">
        <v>604.09999999999991</v>
      </c>
      <c r="V988" s="4" t="s">
        <v>82</v>
      </c>
      <c r="W988" s="15"/>
      <c r="X988" s="15"/>
      <c r="Y988" s="16"/>
      <c r="Z988" s="17"/>
      <c r="AA988" s="16"/>
      <c r="AB988" s="24">
        <v>-604.09999999999991</v>
      </c>
      <c r="AC988" s="20">
        <v>88.838235294117624</v>
      </c>
      <c r="AD988" s="21">
        <v>46081</v>
      </c>
      <c r="AE988" s="22">
        <v>664252.45417919802</v>
      </c>
      <c r="AF988" s="23">
        <v>507170.6759333337</v>
      </c>
      <c r="AG988" s="24">
        <v>607774.77593333379</v>
      </c>
      <c r="AH988" s="15">
        <v>0.5</v>
      </c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</row>
    <row r="989" spans="1:68" ht="15" customHeight="1" x14ac:dyDescent="0.25">
      <c r="A989" s="1">
        <f t="shared" si="63"/>
        <v>524</v>
      </c>
      <c r="B989" s="1" t="str">
        <f t="shared" si="60"/>
        <v xml:space="preserve">Tennessee </v>
      </c>
      <c r="C989" s="1">
        <f t="shared" si="61"/>
        <v>0</v>
      </c>
      <c r="D989" s="2" t="str">
        <f t="shared" si="62"/>
        <v>2026-02</v>
      </c>
      <c r="E989" s="3" t="s">
        <v>1399</v>
      </c>
      <c r="F989" s="4" t="s">
        <v>1197</v>
      </c>
      <c r="G989" s="102">
        <v>46081</v>
      </c>
      <c r="H989" s="4">
        <v>-108</v>
      </c>
      <c r="I989" s="4">
        <v>108</v>
      </c>
      <c r="J989" s="7">
        <v>114</v>
      </c>
      <c r="K989" s="8">
        <v>0.11115384615384612</v>
      </c>
      <c r="L989" s="9">
        <v>5.1941049604600997E-2</v>
      </c>
      <c r="M989" s="10">
        <v>-108.00000000000001</v>
      </c>
      <c r="N989" s="11">
        <v>2.1399999999999997</v>
      </c>
      <c r="O989" s="12">
        <v>29536.451611797154</v>
      </c>
      <c r="P989" s="13" t="s">
        <v>506</v>
      </c>
      <c r="Q989" s="13" t="s">
        <v>76</v>
      </c>
      <c r="R989" s="14" t="s">
        <v>1400</v>
      </c>
      <c r="S989" s="13">
        <v>207</v>
      </c>
      <c r="T989" s="13">
        <v>144.89999999999998</v>
      </c>
      <c r="U989" s="13">
        <v>144.89999999999998</v>
      </c>
      <c r="V989" s="129" t="s">
        <v>77</v>
      </c>
      <c r="W989" s="105"/>
      <c r="X989" s="105"/>
      <c r="Y989" s="114"/>
      <c r="Z989" s="8"/>
      <c r="AA989" s="10"/>
      <c r="AB989" s="106">
        <v>165.19</v>
      </c>
      <c r="AC989" s="107">
        <v>16.1061923076923</v>
      </c>
      <c r="AD989" s="108">
        <v>46081</v>
      </c>
      <c r="AE989" s="109">
        <v>656960.05161264108</v>
      </c>
      <c r="AF989" s="110">
        <v>506020.15593333356</v>
      </c>
      <c r="AG989" s="106">
        <v>605854.96593333408</v>
      </c>
      <c r="AH989" s="15">
        <v>0.5</v>
      </c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</row>
    <row r="990" spans="1:68" ht="15" customHeight="1" x14ac:dyDescent="0.25">
      <c r="A990" s="1">
        <f t="shared" si="63"/>
        <v>525</v>
      </c>
      <c r="B990" s="1" t="str">
        <f t="shared" si="60"/>
        <v xml:space="preserve">Texas </v>
      </c>
      <c r="C990" s="1">
        <f t="shared" si="61"/>
        <v>0</v>
      </c>
      <c r="D990" s="2" t="str">
        <f t="shared" si="62"/>
        <v>2026-02</v>
      </c>
      <c r="E990" s="100" t="s">
        <v>1401</v>
      </c>
      <c r="F990" s="101" t="s">
        <v>1197</v>
      </c>
      <c r="G990" s="5">
        <v>46081</v>
      </c>
      <c r="H990" s="6">
        <v>109</v>
      </c>
      <c r="I990" s="6">
        <v>-109</v>
      </c>
      <c r="J990" s="115">
        <v>148</v>
      </c>
      <c r="K990" s="8">
        <v>0.18660287081339719</v>
      </c>
      <c r="L990" s="9">
        <v>7.5243093069918221E-2</v>
      </c>
      <c r="M990" s="10">
        <v>108.99999999999999</v>
      </c>
      <c r="N990" s="11">
        <v>2.48</v>
      </c>
      <c r="O990" s="12">
        <v>37964.483045713234</v>
      </c>
      <c r="P990" s="13" t="s">
        <v>506</v>
      </c>
      <c r="Q990" s="13" t="s">
        <v>81</v>
      </c>
      <c r="R990" s="14" t="s">
        <v>987</v>
      </c>
      <c r="S990" s="13">
        <v>797</v>
      </c>
      <c r="T990" s="13">
        <v>557.9</v>
      </c>
      <c r="U990" s="13">
        <v>557.9</v>
      </c>
      <c r="V990" s="6" t="s">
        <v>77</v>
      </c>
      <c r="W990" s="105"/>
      <c r="X990" s="105"/>
      <c r="Y990" s="114"/>
      <c r="Z990" s="8"/>
      <c r="AA990" s="10"/>
      <c r="AB990" s="106">
        <v>825.69</v>
      </c>
      <c r="AC990" s="107">
        <v>104.10574162679428</v>
      </c>
      <c r="AD990" s="108">
        <v>46081</v>
      </c>
      <c r="AE990" s="109">
        <v>658202.90638725611</v>
      </c>
      <c r="AF990" s="110">
        <v>503039.73593333364</v>
      </c>
      <c r="AG990" s="24">
        <v>602214.04593333404</v>
      </c>
      <c r="AH990" s="15">
        <v>0.5</v>
      </c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</row>
    <row r="991" spans="1:68" ht="15" customHeight="1" x14ac:dyDescent="0.25">
      <c r="A991" s="1">
        <f t="shared" si="63"/>
        <v>525</v>
      </c>
      <c r="B991" s="1" t="str">
        <f t="shared" si="60"/>
        <v xml:space="preserve">Texas </v>
      </c>
      <c r="C991" s="1">
        <f t="shared" si="61"/>
        <v>0</v>
      </c>
      <c r="D991" s="2" t="str">
        <f t="shared" si="62"/>
        <v>2026-02</v>
      </c>
      <c r="E991" s="28" t="s">
        <v>1402</v>
      </c>
      <c r="F991" s="29" t="s">
        <v>1315</v>
      </c>
      <c r="G991" s="102">
        <v>46081</v>
      </c>
      <c r="H991" s="6">
        <v>105</v>
      </c>
      <c r="I991" s="6">
        <v>-105</v>
      </c>
      <c r="J991" s="30">
        <v>125</v>
      </c>
      <c r="K991" s="8">
        <v>9.7560975609756254E-2</v>
      </c>
      <c r="L991" s="9">
        <v>4.3360433604336113E-2</v>
      </c>
      <c r="M991" s="10">
        <v>104.99999999999997</v>
      </c>
      <c r="N991" s="11">
        <v>2.25</v>
      </c>
      <c r="O991" s="12">
        <v>23481.956524227706</v>
      </c>
      <c r="P991" s="13" t="s">
        <v>506</v>
      </c>
      <c r="Q991" s="13" t="s">
        <v>81</v>
      </c>
      <c r="R991" s="14" t="s">
        <v>895</v>
      </c>
      <c r="S991" s="13">
        <v>2800</v>
      </c>
      <c r="T991" s="13">
        <v>1959.9999999999998</v>
      </c>
      <c r="U991" s="104">
        <v>1959.9999999999998</v>
      </c>
      <c r="V991" s="6" t="s">
        <v>82</v>
      </c>
      <c r="W991" s="105"/>
      <c r="X991" s="105"/>
      <c r="Y991" s="114"/>
      <c r="Z991" s="8"/>
      <c r="AA991" s="10"/>
      <c r="AB991" s="106">
        <v>-1959.9999999999998</v>
      </c>
      <c r="AC991" s="107">
        <v>191.21951219512223</v>
      </c>
      <c r="AD991" s="108">
        <v>46081</v>
      </c>
      <c r="AE991" s="109">
        <v>658533.2997804851</v>
      </c>
      <c r="AF991" s="110">
        <v>499765.1359333336</v>
      </c>
      <c r="AG991" s="24">
        <v>601725.13593333401</v>
      </c>
      <c r="AH991" s="15">
        <v>0.5</v>
      </c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</row>
    <row r="992" spans="1:68" ht="15" customHeight="1" x14ac:dyDescent="0.25">
      <c r="A992" s="1">
        <f t="shared" si="63"/>
        <v>525</v>
      </c>
      <c r="B992" s="1" t="str">
        <f t="shared" si="60"/>
        <v xml:space="preserve">Texas </v>
      </c>
      <c r="C992" s="1">
        <f t="shared" si="61"/>
        <v>0</v>
      </c>
      <c r="D992" s="2" t="str">
        <f t="shared" si="62"/>
        <v>2026-02</v>
      </c>
      <c r="E992" s="100" t="s">
        <v>1403</v>
      </c>
      <c r="F992" s="101" t="s">
        <v>1315</v>
      </c>
      <c r="G992" s="102">
        <v>46081</v>
      </c>
      <c r="H992" s="6">
        <v>105</v>
      </c>
      <c r="I992" s="6">
        <v>-105</v>
      </c>
      <c r="J992" s="115">
        <v>150</v>
      </c>
      <c r="K992" s="17">
        <v>0.21951219512195128</v>
      </c>
      <c r="L992" s="111">
        <v>8.780487804878051E-2</v>
      </c>
      <c r="M992" s="16">
        <v>104.99999999999997</v>
      </c>
      <c r="N992" s="112">
        <v>2.5</v>
      </c>
      <c r="O992" s="113">
        <v>43620.917995122007</v>
      </c>
      <c r="P992" s="13" t="s">
        <v>506</v>
      </c>
      <c r="Q992" s="13" t="s">
        <v>76</v>
      </c>
      <c r="R992" s="14" t="s">
        <v>507</v>
      </c>
      <c r="S992" s="13">
        <v>2364</v>
      </c>
      <c r="T992" s="13">
        <v>1654.8</v>
      </c>
      <c r="U992" s="104">
        <v>1654.8</v>
      </c>
      <c r="V992" s="6" t="s">
        <v>77</v>
      </c>
      <c r="W992" s="15"/>
      <c r="X992" s="15"/>
      <c r="Y992" s="16"/>
      <c r="Z992" s="17"/>
      <c r="AA992" s="16"/>
      <c r="AB992" s="24">
        <v>2482.1999999999998</v>
      </c>
      <c r="AC992" s="20">
        <v>363.24878048780494</v>
      </c>
      <c r="AD992" s="21">
        <v>46081</v>
      </c>
      <c r="AE992" s="22">
        <v>659316.31959473866</v>
      </c>
      <c r="AF992" s="23">
        <v>498634.74593333359</v>
      </c>
      <c r="AG992" s="24">
        <v>596152.54593333392</v>
      </c>
      <c r="AH992" s="15">
        <v>0.5</v>
      </c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</row>
    <row r="993" spans="1:68" ht="15" customHeight="1" x14ac:dyDescent="0.25">
      <c r="A993" s="1">
        <f t="shared" si="63"/>
        <v>525</v>
      </c>
      <c r="B993" s="1" t="str">
        <f t="shared" si="60"/>
        <v xml:space="preserve">Texas </v>
      </c>
      <c r="C993" s="1">
        <f t="shared" si="61"/>
        <v>0</v>
      </c>
      <c r="D993" s="2" t="str">
        <f t="shared" si="62"/>
        <v>2026-02</v>
      </c>
      <c r="E993" s="100" t="s">
        <v>1011</v>
      </c>
      <c r="F993" s="101" t="s">
        <v>1315</v>
      </c>
      <c r="G993" s="5">
        <v>46081</v>
      </c>
      <c r="H993" s="6">
        <v>-875</v>
      </c>
      <c r="I993" s="6">
        <v>875</v>
      </c>
      <c r="J993" s="115">
        <v>-400</v>
      </c>
      <c r="K993" s="8">
        <v>0.12179487179487164</v>
      </c>
      <c r="L993" s="9">
        <v>9.7435897435897312E-2</v>
      </c>
      <c r="M993" s="10">
        <v>-875.00000000000034</v>
      </c>
      <c r="N993" s="11">
        <v>1.25</v>
      </c>
      <c r="O993" s="12">
        <v>145821.2842658119</v>
      </c>
      <c r="P993" s="13" t="s">
        <v>506</v>
      </c>
      <c r="Q993" s="13" t="s">
        <v>81</v>
      </c>
      <c r="R993" s="14" t="s">
        <v>507</v>
      </c>
      <c r="S993" s="13">
        <v>6000</v>
      </c>
      <c r="T993" s="13">
        <v>4200</v>
      </c>
      <c r="U993" s="13">
        <v>4200</v>
      </c>
      <c r="V993" s="6" t="s">
        <v>77</v>
      </c>
      <c r="W993" s="15"/>
      <c r="X993" s="15"/>
      <c r="Y993" s="16"/>
      <c r="Z993" s="17"/>
      <c r="AA993" s="16"/>
      <c r="AB993" s="24">
        <v>1050</v>
      </c>
      <c r="AC993" s="20">
        <v>511.53846153846087</v>
      </c>
      <c r="AD993" s="21">
        <v>46081</v>
      </c>
      <c r="AE993" s="22">
        <v>659827.85805627715</v>
      </c>
      <c r="AF993" s="23">
        <v>499684.74593333359</v>
      </c>
      <c r="AG993" s="24">
        <v>598634.74593333388</v>
      </c>
      <c r="AH993" s="15">
        <v>0.5</v>
      </c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</row>
    <row r="994" spans="1:68" ht="15" customHeight="1" x14ac:dyDescent="0.25">
      <c r="A994" s="1">
        <f t="shared" si="63"/>
        <v>526</v>
      </c>
      <c r="B994" s="1" t="str">
        <f t="shared" si="60"/>
        <v xml:space="preserve">Texas </v>
      </c>
      <c r="C994" s="1">
        <f t="shared" si="61"/>
        <v>1</v>
      </c>
      <c r="D994" s="2" t="str">
        <f t="shared" si="62"/>
        <v>2026-02</v>
      </c>
      <c r="E994" s="100" t="s">
        <v>1404</v>
      </c>
      <c r="F994" s="101" t="s">
        <v>1197</v>
      </c>
      <c r="G994" s="5">
        <v>46081</v>
      </c>
      <c r="H994" s="6">
        <v>103</v>
      </c>
      <c r="I994" s="6">
        <v>-103</v>
      </c>
      <c r="J994" s="115">
        <v>128</v>
      </c>
      <c r="K994" s="8">
        <v>0.12315270935960587</v>
      </c>
      <c r="L994" s="9">
        <v>5.4014346210353448E-2</v>
      </c>
      <c r="M994" s="10">
        <v>103.00000000000001</v>
      </c>
      <c r="N994" s="11">
        <v>2.2800000000000002</v>
      </c>
      <c r="O994" s="12">
        <v>29010.147395191932</v>
      </c>
      <c r="P994" s="13" t="s">
        <v>506</v>
      </c>
      <c r="Q994" s="13" t="s">
        <v>92</v>
      </c>
      <c r="R994" s="14" t="s">
        <v>507</v>
      </c>
      <c r="S994" s="13">
        <v>566</v>
      </c>
      <c r="T994" s="13">
        <v>396.2</v>
      </c>
      <c r="U994" s="13">
        <v>396.2</v>
      </c>
      <c r="V994" s="6" t="s">
        <v>82</v>
      </c>
      <c r="W994" s="105"/>
      <c r="X994" s="105"/>
      <c r="Y994" s="114"/>
      <c r="Z994" s="8"/>
      <c r="AA994" s="10"/>
      <c r="AB994" s="106">
        <v>-396.2</v>
      </c>
      <c r="AC994" s="107">
        <v>48.793103448275843</v>
      </c>
      <c r="AD994" s="108">
        <v>46081</v>
      </c>
      <c r="AE994" s="109">
        <v>658251.69949070434</v>
      </c>
      <c r="AF994" s="110">
        <v>502643.53593333362</v>
      </c>
      <c r="AG994" s="24">
        <v>603039.73593333398</v>
      </c>
      <c r="AH994" s="15">
        <v>0.5</v>
      </c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</row>
    <row r="995" spans="1:68" ht="15" customHeight="1" x14ac:dyDescent="0.25">
      <c r="A995" s="1">
        <f t="shared" si="63"/>
        <v>526</v>
      </c>
      <c r="B995" s="1" t="str">
        <f t="shared" si="60"/>
        <v xml:space="preserve">Texas </v>
      </c>
      <c r="C995" s="1">
        <f t="shared" si="61"/>
        <v>1</v>
      </c>
      <c r="D995" s="2" t="str">
        <f t="shared" si="62"/>
        <v>2026-02</v>
      </c>
      <c r="E995" s="100" t="s">
        <v>1405</v>
      </c>
      <c r="F995" s="101" t="s">
        <v>1197</v>
      </c>
      <c r="G995" s="5">
        <v>46081</v>
      </c>
      <c r="H995" s="6">
        <v>-106</v>
      </c>
      <c r="I995" s="6">
        <v>106</v>
      </c>
      <c r="J995" s="115">
        <v>120</v>
      </c>
      <c r="K995" s="8">
        <v>0.1320388349514561</v>
      </c>
      <c r="L995" s="9">
        <v>6.0017652250661857E-2</v>
      </c>
      <c r="M995" s="10">
        <v>-105.99999999999999</v>
      </c>
      <c r="N995" s="11">
        <v>2.2000000000000002</v>
      </c>
      <c r="O995" s="12">
        <v>33155.145989859739</v>
      </c>
      <c r="P995" s="13" t="s">
        <v>506</v>
      </c>
      <c r="Q995" s="13" t="s">
        <v>92</v>
      </c>
      <c r="R995" s="14" t="s">
        <v>507</v>
      </c>
      <c r="S995" s="13">
        <v>590</v>
      </c>
      <c r="T995" s="13">
        <v>413</v>
      </c>
      <c r="U995" s="13">
        <v>413</v>
      </c>
      <c r="V995" s="6" t="s">
        <v>82</v>
      </c>
      <c r="W995" s="105"/>
      <c r="X995" s="105"/>
      <c r="Y995" s="114"/>
      <c r="Z995" s="8"/>
      <c r="AA995" s="10"/>
      <c r="AB995" s="106">
        <v>-413</v>
      </c>
      <c r="AC995" s="107">
        <v>54.532038834951372</v>
      </c>
      <c r="AD995" s="108">
        <v>46081</v>
      </c>
      <c r="AE995" s="109">
        <v>658306.23152953933</v>
      </c>
      <c r="AF995" s="110">
        <v>502230.53593333362</v>
      </c>
      <c r="AG995" s="24">
        <v>602643.53593333403</v>
      </c>
      <c r="AH995" s="15">
        <v>0.5</v>
      </c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</row>
    <row r="996" spans="1:68" ht="15" customHeight="1" x14ac:dyDescent="0.25">
      <c r="A996" s="1">
        <f t="shared" si="63"/>
        <v>526</v>
      </c>
      <c r="B996" s="1" t="str">
        <f t="shared" si="60"/>
        <v xml:space="preserve">Texas </v>
      </c>
      <c r="C996" s="1">
        <f t="shared" si="61"/>
        <v>1</v>
      </c>
      <c r="D996" s="2" t="str">
        <f t="shared" si="62"/>
        <v>2026-02</v>
      </c>
      <c r="E996" s="28" t="s">
        <v>1406</v>
      </c>
      <c r="F996" s="29" t="s">
        <v>1197</v>
      </c>
      <c r="G996" s="102">
        <v>46081</v>
      </c>
      <c r="H996" s="6">
        <v>-119</v>
      </c>
      <c r="I996" s="6">
        <v>119</v>
      </c>
      <c r="J996" s="30">
        <v>-103</v>
      </c>
      <c r="K996" s="8">
        <v>7.0931418185042075E-2</v>
      </c>
      <c r="L996" s="9">
        <v>3.5989832872213467E-2</v>
      </c>
      <c r="M996" s="10">
        <v>-118.99999999999996</v>
      </c>
      <c r="N996" s="11">
        <v>1.970873786407767</v>
      </c>
      <c r="O996" s="12">
        <v>21999.288983866001</v>
      </c>
      <c r="P996" s="13" t="s">
        <v>506</v>
      </c>
      <c r="Q996" s="13" t="s">
        <v>92</v>
      </c>
      <c r="R996" s="14" t="s">
        <v>507</v>
      </c>
      <c r="S996" s="13">
        <v>722</v>
      </c>
      <c r="T996" s="13">
        <v>505.4</v>
      </c>
      <c r="U996" s="104">
        <v>505.4</v>
      </c>
      <c r="V996" s="6" t="s">
        <v>82</v>
      </c>
      <c r="W996" s="105"/>
      <c r="X996" s="105"/>
      <c r="Y996" s="114"/>
      <c r="Z996" s="8"/>
      <c r="AA996" s="10"/>
      <c r="AB996" s="106">
        <v>-505.4</v>
      </c>
      <c r="AC996" s="107">
        <v>35.848738750720266</v>
      </c>
      <c r="AD996" s="108">
        <v>46081</v>
      </c>
      <c r="AE996" s="109">
        <v>658342.08026829001</v>
      </c>
      <c r="AF996" s="110">
        <v>501725.1359333336</v>
      </c>
      <c r="AG996" s="24">
        <v>602230.53593333403</v>
      </c>
      <c r="AH996" s="15">
        <v>0.5</v>
      </c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</row>
    <row r="997" spans="1:68" ht="15" customHeight="1" x14ac:dyDescent="0.25">
      <c r="A997" s="1">
        <f t="shared" si="63"/>
        <v>526</v>
      </c>
      <c r="B997" s="1" t="str">
        <f t="shared" si="60"/>
        <v xml:space="preserve">Texas </v>
      </c>
      <c r="C997" s="1">
        <f t="shared" si="61"/>
        <v>1</v>
      </c>
      <c r="D997" s="2" t="str">
        <f t="shared" si="62"/>
        <v>2026-02</v>
      </c>
      <c r="E997" s="100" t="s">
        <v>1407</v>
      </c>
      <c r="F997" s="101" t="s">
        <v>1315</v>
      </c>
      <c r="G997" s="102">
        <v>46081</v>
      </c>
      <c r="H997" s="101">
        <v>111</v>
      </c>
      <c r="I997" s="101">
        <v>-111</v>
      </c>
      <c r="J997" s="115">
        <v>143</v>
      </c>
      <c r="K997" s="17">
        <v>0.15165876777251153</v>
      </c>
      <c r="L997" s="111">
        <v>6.2411015544243442E-2</v>
      </c>
      <c r="M997" s="16">
        <v>111.00000000000003</v>
      </c>
      <c r="N997" s="112">
        <v>2.4299999999999997</v>
      </c>
      <c r="O997" s="113">
        <v>31762.799638528901</v>
      </c>
      <c r="P997" s="13" t="s">
        <v>506</v>
      </c>
      <c r="Q997" s="13" t="s">
        <v>92</v>
      </c>
      <c r="R997" s="14" t="s">
        <v>507</v>
      </c>
      <c r="S997" s="13">
        <v>1495</v>
      </c>
      <c r="T997" s="13">
        <v>1046.5</v>
      </c>
      <c r="U997" s="104">
        <v>1046.5</v>
      </c>
      <c r="V997" s="130" t="s">
        <v>82</v>
      </c>
      <c r="W997" s="15"/>
      <c r="X997" s="15"/>
      <c r="Y997" s="16"/>
      <c r="Z997" s="17"/>
      <c r="AA997" s="16"/>
      <c r="AB997" s="24">
        <v>-1046.5</v>
      </c>
      <c r="AC997" s="20">
        <v>158.71090047393332</v>
      </c>
      <c r="AD997" s="21">
        <v>46081</v>
      </c>
      <c r="AE997" s="22">
        <v>658766.01128103456</v>
      </c>
      <c r="AF997" s="23">
        <v>497940.34593333356</v>
      </c>
      <c r="AG997" s="24">
        <v>598986.84593333397</v>
      </c>
      <c r="AH997" s="15">
        <v>0.5</v>
      </c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</row>
    <row r="998" spans="1:68" ht="15" customHeight="1" x14ac:dyDescent="0.25">
      <c r="A998" s="1">
        <f t="shared" si="63"/>
        <v>526</v>
      </c>
      <c r="B998" s="1" t="str">
        <f t="shared" si="60"/>
        <v xml:space="preserve">Texas </v>
      </c>
      <c r="C998" s="1">
        <f t="shared" si="61"/>
        <v>1</v>
      </c>
      <c r="D998" s="2" t="str">
        <f t="shared" si="62"/>
        <v>2026-02</v>
      </c>
      <c r="E998" s="100" t="s">
        <v>1408</v>
      </c>
      <c r="F998" s="101" t="s">
        <v>1315</v>
      </c>
      <c r="G998" s="102">
        <v>46081</v>
      </c>
      <c r="H998" s="6">
        <v>-101</v>
      </c>
      <c r="I998" s="6">
        <v>101</v>
      </c>
      <c r="J998" s="115">
        <v>120</v>
      </c>
      <c r="K998" s="17">
        <v>0.10547263681592053</v>
      </c>
      <c r="L998" s="111">
        <v>4.794210764360024E-2</v>
      </c>
      <c r="M998" s="16">
        <v>-101.00000000000001</v>
      </c>
      <c r="N998" s="112">
        <v>2.2000000000000002</v>
      </c>
      <c r="O998" s="113">
        <v>26277.64372675517</v>
      </c>
      <c r="P998" s="13" t="s">
        <v>506</v>
      </c>
      <c r="Q998" s="13" t="s">
        <v>92</v>
      </c>
      <c r="R998" s="14" t="s">
        <v>507</v>
      </c>
      <c r="S998" s="13">
        <v>1705</v>
      </c>
      <c r="T998" s="13">
        <v>1193.5</v>
      </c>
      <c r="U998" s="104">
        <v>1193.5</v>
      </c>
      <c r="V998" s="130" t="s">
        <v>82</v>
      </c>
      <c r="W998" s="15"/>
      <c r="X998" s="15"/>
      <c r="Y998" s="16"/>
      <c r="Z998" s="17"/>
      <c r="AA998" s="16"/>
      <c r="AB998" s="24">
        <v>-1193.5</v>
      </c>
      <c r="AC998" s="20">
        <v>125.88159203980116</v>
      </c>
      <c r="AD998" s="21">
        <v>46081</v>
      </c>
      <c r="AE998" s="22">
        <v>658891.89287307439</v>
      </c>
      <c r="AF998" s="23">
        <v>496746.84593333356</v>
      </c>
      <c r="AG998" s="24">
        <v>597940.34593333397</v>
      </c>
      <c r="AH998" s="15">
        <v>0.5</v>
      </c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</row>
    <row r="999" spans="1:68" ht="15" customHeight="1" x14ac:dyDescent="0.25">
      <c r="A999" s="1">
        <f t="shared" si="63"/>
        <v>527</v>
      </c>
      <c r="B999" s="1" t="str">
        <f t="shared" si="60"/>
        <v xml:space="preserve">The </v>
      </c>
      <c r="C999" s="1">
        <f t="shared" si="61"/>
        <v>0</v>
      </c>
      <c r="D999" s="2" t="str">
        <f t="shared" si="62"/>
        <v>2026-02</v>
      </c>
      <c r="E999" s="100" t="s">
        <v>1409</v>
      </c>
      <c r="F999" s="101" t="s">
        <v>1197</v>
      </c>
      <c r="G999" s="102">
        <v>46081</v>
      </c>
      <c r="H999" s="6">
        <v>110</v>
      </c>
      <c r="I999" s="6">
        <v>-110</v>
      </c>
      <c r="J999" s="115">
        <v>135</v>
      </c>
      <c r="K999" s="8">
        <v>0.11904761904761897</v>
      </c>
      <c r="L999" s="9">
        <v>5.0658561296859139E-2</v>
      </c>
      <c r="M999" s="10">
        <v>110.00000000000001</v>
      </c>
      <c r="N999" s="11">
        <v>2.35</v>
      </c>
      <c r="O999" s="12">
        <v>26673.170455614356</v>
      </c>
      <c r="P999" s="13" t="s">
        <v>506</v>
      </c>
      <c r="Q999" s="13" t="s">
        <v>76</v>
      </c>
      <c r="R999" s="14" t="s">
        <v>943</v>
      </c>
      <c r="S999" s="13">
        <v>266</v>
      </c>
      <c r="T999" s="13">
        <v>186.2</v>
      </c>
      <c r="U999" s="13">
        <v>186.2</v>
      </c>
      <c r="V999" s="6" t="s">
        <v>77</v>
      </c>
      <c r="W999" s="105"/>
      <c r="X999" s="105"/>
      <c r="Y999" s="114"/>
      <c r="Z999" s="8"/>
      <c r="AA999" s="10"/>
      <c r="AB999" s="106">
        <v>251.37</v>
      </c>
      <c r="AC999" s="107">
        <v>22.16666666666665</v>
      </c>
      <c r="AD999" s="108">
        <v>46081</v>
      </c>
      <c r="AE999" s="109">
        <v>656768.55818037409</v>
      </c>
      <c r="AF999" s="110">
        <v>505198.87593333359</v>
      </c>
      <c r="AG999" s="106">
        <v>604947.505933334</v>
      </c>
      <c r="AH999" s="15">
        <v>0.5</v>
      </c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</row>
    <row r="1000" spans="1:68" ht="15" customHeight="1" x14ac:dyDescent="0.25">
      <c r="A1000" s="1">
        <f t="shared" si="63"/>
        <v>527</v>
      </c>
      <c r="B1000" s="1" t="str">
        <f t="shared" si="60"/>
        <v xml:space="preserve">The </v>
      </c>
      <c r="C1000" s="1">
        <f t="shared" si="61"/>
        <v>0</v>
      </c>
      <c r="D1000" s="2" t="str">
        <f t="shared" si="62"/>
        <v>2026-02</v>
      </c>
      <c r="E1000" s="100" t="s">
        <v>1410</v>
      </c>
      <c r="F1000" s="101" t="s">
        <v>1315</v>
      </c>
      <c r="G1000" s="5">
        <v>46081</v>
      </c>
      <c r="H1000" s="6">
        <v>-111</v>
      </c>
      <c r="I1000" s="6">
        <v>111</v>
      </c>
      <c r="J1000" s="115">
        <v>140</v>
      </c>
      <c r="K1000" s="8">
        <v>0.26255924170616107</v>
      </c>
      <c r="L1000" s="9">
        <v>0.10939968404423378</v>
      </c>
      <c r="M1000" s="10">
        <v>-111</v>
      </c>
      <c r="N1000" s="11">
        <v>2.4</v>
      </c>
      <c r="O1000" s="12">
        <v>56711.449273369501</v>
      </c>
      <c r="P1000" s="13" t="s">
        <v>506</v>
      </c>
      <c r="Q1000" s="13" t="s">
        <v>76</v>
      </c>
      <c r="R1000" s="14" t="s">
        <v>943</v>
      </c>
      <c r="S1000" s="13">
        <v>769</v>
      </c>
      <c r="T1000" s="13">
        <v>538.29999999999995</v>
      </c>
      <c r="U1000" s="13">
        <v>538.29999999999995</v>
      </c>
      <c r="V1000" s="6" t="s">
        <v>82</v>
      </c>
      <c r="W1000" s="105"/>
      <c r="X1000" s="105"/>
      <c r="Y1000" s="114"/>
      <c r="Z1000" s="8"/>
      <c r="AA1000" s="10"/>
      <c r="AB1000" s="106">
        <v>-538.29999999999995</v>
      </c>
      <c r="AC1000" s="107">
        <v>141.3356398104265</v>
      </c>
      <c r="AD1000" s="108">
        <v>46081</v>
      </c>
      <c r="AE1000" s="109">
        <v>657344.07422045548</v>
      </c>
      <c r="AF1000" s="110">
        <v>504247.33593333361</v>
      </c>
      <c r="AG1000" s="24">
        <v>604785.63593333401</v>
      </c>
      <c r="AH1000" s="15">
        <v>0.5</v>
      </c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</row>
    <row r="1001" spans="1:68" ht="15" customHeight="1" x14ac:dyDescent="0.25">
      <c r="A1001" s="1">
        <f t="shared" si="63"/>
        <v>528</v>
      </c>
      <c r="B1001" s="1" t="str">
        <f t="shared" si="60"/>
        <v xml:space="preserve">Toledo </v>
      </c>
      <c r="C1001" s="1">
        <f t="shared" si="61"/>
        <v>1</v>
      </c>
      <c r="D1001" s="2" t="str">
        <f t="shared" si="62"/>
        <v>2026-02</v>
      </c>
      <c r="E1001" s="100" t="s">
        <v>1411</v>
      </c>
      <c r="F1001" s="101" t="s">
        <v>1315</v>
      </c>
      <c r="G1001" s="102">
        <v>46081</v>
      </c>
      <c r="H1001" s="6">
        <v>-105</v>
      </c>
      <c r="I1001" s="6">
        <v>105</v>
      </c>
      <c r="J1001" s="115">
        <v>132</v>
      </c>
      <c r="K1001" s="17">
        <v>0.18829268292682938</v>
      </c>
      <c r="L1001" s="111">
        <v>8.116063919259886E-2</v>
      </c>
      <c r="M1001" s="16">
        <v>-105</v>
      </c>
      <c r="N1001" s="112">
        <v>2.3200000000000003</v>
      </c>
      <c r="O1001" s="113">
        <v>42762.320016679048</v>
      </c>
      <c r="P1001" s="13" t="s">
        <v>506</v>
      </c>
      <c r="Q1001" s="13" t="s">
        <v>92</v>
      </c>
      <c r="R1001" s="14" t="s">
        <v>1412</v>
      </c>
      <c r="S1001" s="13">
        <v>817</v>
      </c>
      <c r="T1001" s="13">
        <v>571.9</v>
      </c>
      <c r="U1001" s="104">
        <v>571.9</v>
      </c>
      <c r="V1001" s="6" t="s">
        <v>82</v>
      </c>
      <c r="W1001" s="15"/>
      <c r="X1001" s="15"/>
      <c r="Y1001" s="16"/>
      <c r="Z1001" s="17"/>
      <c r="AA1001" s="16"/>
      <c r="AB1001" s="24">
        <v>-571.9</v>
      </c>
      <c r="AC1001" s="20">
        <v>107.68458536585372</v>
      </c>
      <c r="AD1001" s="21">
        <v>46081</v>
      </c>
      <c r="AE1001" s="22">
        <v>658607.30038056057</v>
      </c>
      <c r="AF1001" s="23">
        <v>498986.84593333356</v>
      </c>
      <c r="AG1001" s="24">
        <v>599558.74593333399</v>
      </c>
      <c r="AH1001" s="15">
        <v>0.5</v>
      </c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</row>
    <row r="1002" spans="1:68" ht="15" customHeight="1" x14ac:dyDescent="0.25">
      <c r="A1002" s="1">
        <f t="shared" si="63"/>
        <v>529</v>
      </c>
      <c r="B1002" s="1" t="str">
        <f t="shared" si="60"/>
        <v xml:space="preserve">Toronto </v>
      </c>
      <c r="C1002" s="1">
        <f t="shared" si="61"/>
        <v>0</v>
      </c>
      <c r="D1002" s="2" t="str">
        <f t="shared" si="62"/>
        <v>2026-02</v>
      </c>
      <c r="E1002" s="28" t="s">
        <v>1413</v>
      </c>
      <c r="F1002" s="29" t="s">
        <v>1315</v>
      </c>
      <c r="G1002" s="5">
        <v>46081</v>
      </c>
      <c r="H1002" s="6">
        <v>247</v>
      </c>
      <c r="I1002" s="6">
        <v>-247</v>
      </c>
      <c r="J1002" s="30">
        <v>290</v>
      </c>
      <c r="K1002" s="8">
        <v>0.12391930835734857</v>
      </c>
      <c r="L1002" s="9">
        <v>3.1774181630089382E-2</v>
      </c>
      <c r="M1002" s="10">
        <v>246.99999999999997</v>
      </c>
      <c r="N1002" s="11">
        <v>3.9</v>
      </c>
      <c r="O1002" s="12">
        <v>13052.06001447547</v>
      </c>
      <c r="P1002" s="13" t="s">
        <v>506</v>
      </c>
      <c r="Q1002" s="13" t="s">
        <v>76</v>
      </c>
      <c r="R1002" s="14" t="s">
        <v>787</v>
      </c>
      <c r="S1002" s="13">
        <v>1793</v>
      </c>
      <c r="T1002" s="13">
        <v>1255.0999999999999</v>
      </c>
      <c r="U1002" s="13">
        <v>1255.0999999999999</v>
      </c>
      <c r="V1002" s="6" t="s">
        <v>82</v>
      </c>
      <c r="W1002" s="15"/>
      <c r="X1002" s="15"/>
      <c r="Y1002" s="16"/>
      <c r="Z1002" s="17"/>
      <c r="AA1002" s="16"/>
      <c r="AB1002" s="24">
        <v>-1255.0999999999999</v>
      </c>
      <c r="AC1002" s="20">
        <v>155.53112391930819</v>
      </c>
      <c r="AD1002" s="21">
        <v>46081</v>
      </c>
      <c r="AE1002" s="22">
        <v>661447.06466790347</v>
      </c>
      <c r="AF1002" s="23">
        <v>509642.01593333366</v>
      </c>
      <c r="AG1002" s="24">
        <v>610897.11593333387</v>
      </c>
      <c r="AH1002" s="15">
        <v>0.5</v>
      </c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</row>
    <row r="1003" spans="1:68" ht="15" customHeight="1" x14ac:dyDescent="0.25">
      <c r="A1003" s="1">
        <f t="shared" si="63"/>
        <v>530</v>
      </c>
      <c r="B1003" s="1" t="str">
        <f t="shared" si="60"/>
        <v xml:space="preserve">Toronto </v>
      </c>
      <c r="C1003" s="1">
        <f t="shared" si="61"/>
        <v>1</v>
      </c>
      <c r="D1003" s="2" t="str">
        <f t="shared" si="62"/>
        <v>2026-02</v>
      </c>
      <c r="E1003" s="28" t="s">
        <v>1414</v>
      </c>
      <c r="F1003" s="29" t="s">
        <v>1315</v>
      </c>
      <c r="G1003" s="5">
        <v>46081</v>
      </c>
      <c r="H1003" s="6">
        <v>111</v>
      </c>
      <c r="I1003" s="6">
        <v>-111</v>
      </c>
      <c r="J1003" s="30">
        <v>155</v>
      </c>
      <c r="K1003" s="8">
        <v>0.20853080568720353</v>
      </c>
      <c r="L1003" s="9">
        <v>8.177678654400139E-2</v>
      </c>
      <c r="M1003" s="10">
        <v>111.00000000000003</v>
      </c>
      <c r="N1003" s="11">
        <v>2.5499999999999998</v>
      </c>
      <c r="O1003" s="12">
        <v>40984.133039392538</v>
      </c>
      <c r="P1003" s="13" t="s">
        <v>506</v>
      </c>
      <c r="Q1003" s="13" t="s">
        <v>92</v>
      </c>
      <c r="R1003" s="14" t="s">
        <v>787</v>
      </c>
      <c r="S1003" s="13">
        <v>1533</v>
      </c>
      <c r="T1003" s="13">
        <v>1073.0999999999999</v>
      </c>
      <c r="U1003" s="13">
        <v>1073.0999999999999</v>
      </c>
      <c r="V1003" s="6" t="s">
        <v>82</v>
      </c>
      <c r="W1003" s="15"/>
      <c r="X1003" s="15"/>
      <c r="Y1003" s="16"/>
      <c r="Z1003" s="17"/>
      <c r="AA1003" s="16"/>
      <c r="AB1003" s="24">
        <v>-1073.0999999999999</v>
      </c>
      <c r="AC1003" s="20">
        <v>223.7744075829381</v>
      </c>
      <c r="AD1003" s="21">
        <v>46081</v>
      </c>
      <c r="AE1003" s="22">
        <v>661867.12427078467</v>
      </c>
      <c r="AF1003" s="23">
        <v>508193.29593333369</v>
      </c>
      <c r="AG1003" s="24">
        <v>609266.3959333339</v>
      </c>
      <c r="AH1003" s="15">
        <v>0.5</v>
      </c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</row>
    <row r="1004" spans="1:68" ht="15" customHeight="1" x14ac:dyDescent="0.25">
      <c r="A1004" s="1">
        <f t="shared" si="63"/>
        <v>530</v>
      </c>
      <c r="B1004" s="1" t="str">
        <f t="shared" si="60"/>
        <v xml:space="preserve">Toronto </v>
      </c>
      <c r="C1004" s="1">
        <f t="shared" si="61"/>
        <v>1</v>
      </c>
      <c r="D1004" s="2" t="str">
        <f t="shared" si="62"/>
        <v>2026-02</v>
      </c>
      <c r="E1004" s="28" t="s">
        <v>1415</v>
      </c>
      <c r="F1004" s="29" t="s">
        <v>1315</v>
      </c>
      <c r="G1004" s="5">
        <v>46081</v>
      </c>
      <c r="H1004" s="6">
        <v>-103</v>
      </c>
      <c r="I1004" s="6">
        <v>103</v>
      </c>
      <c r="J1004" s="30">
        <v>125</v>
      </c>
      <c r="K1004" s="8">
        <v>0.14162561576354696</v>
      </c>
      <c r="L1004" s="9">
        <v>6.2944718117131981E-2</v>
      </c>
      <c r="M1004" s="10">
        <v>-103.00000000000001</v>
      </c>
      <c r="N1004" s="11">
        <v>2.25</v>
      </c>
      <c r="O1004" s="12">
        <v>34212.141740065752</v>
      </c>
      <c r="P1004" s="13" t="s">
        <v>506</v>
      </c>
      <c r="Q1004" s="13" t="s">
        <v>92</v>
      </c>
      <c r="R1004" s="14" t="s">
        <v>787</v>
      </c>
      <c r="S1004" s="13">
        <v>1699</v>
      </c>
      <c r="T1004" s="13">
        <v>1189.3</v>
      </c>
      <c r="U1004" s="13">
        <v>1189.3</v>
      </c>
      <c r="V1004" s="6" t="s">
        <v>82</v>
      </c>
      <c r="W1004" s="15"/>
      <c r="X1004" s="15"/>
      <c r="Y1004" s="16"/>
      <c r="Z1004" s="17"/>
      <c r="AA1004" s="16"/>
      <c r="AB1004" s="24">
        <v>-1189.3</v>
      </c>
      <c r="AC1004" s="20">
        <v>168.43534482758639</v>
      </c>
      <c r="AD1004" s="21">
        <v>46081</v>
      </c>
      <c r="AE1004" s="22">
        <v>662736.80293557676</v>
      </c>
      <c r="AF1004" s="23">
        <v>502729.37593333371</v>
      </c>
      <c r="AG1004" s="24">
        <v>603918.67593333393</v>
      </c>
      <c r="AH1004" s="15">
        <v>0.5</v>
      </c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</row>
    <row r="1005" spans="1:68" ht="15" customHeight="1" x14ac:dyDescent="0.25">
      <c r="A1005" s="1">
        <f t="shared" si="63"/>
        <v>531</v>
      </c>
      <c r="B1005" s="1" t="str">
        <f t="shared" si="60"/>
        <v xml:space="preserve">UC </v>
      </c>
      <c r="C1005" s="1">
        <f t="shared" si="61"/>
        <v>1</v>
      </c>
      <c r="D1005" s="2" t="str">
        <f t="shared" si="62"/>
        <v>2026-02</v>
      </c>
      <c r="E1005" s="3" t="s">
        <v>1416</v>
      </c>
      <c r="F1005" s="4" t="s">
        <v>1315</v>
      </c>
      <c r="G1005" s="5">
        <v>46081</v>
      </c>
      <c r="H1005" s="4">
        <v>103</v>
      </c>
      <c r="I1005" s="4">
        <v>-103</v>
      </c>
      <c r="J1005" s="7">
        <v>128</v>
      </c>
      <c r="K1005" s="8">
        <v>0.12315270935960587</v>
      </c>
      <c r="L1005" s="9">
        <v>5.4014346210353448E-2</v>
      </c>
      <c r="M1005" s="10">
        <v>103.00000000000001</v>
      </c>
      <c r="N1005" s="11">
        <v>2.2800000000000002</v>
      </c>
      <c r="O1005" s="12">
        <v>29244.634964465324</v>
      </c>
      <c r="P1005" s="13" t="s">
        <v>506</v>
      </c>
      <c r="Q1005" s="13" t="s">
        <v>92</v>
      </c>
      <c r="R1005" s="14" t="s">
        <v>1417</v>
      </c>
      <c r="S1005" s="13">
        <v>830</v>
      </c>
      <c r="T1005" s="13">
        <v>581</v>
      </c>
      <c r="U1005" s="13">
        <v>581</v>
      </c>
      <c r="V1005" s="4" t="s">
        <v>82</v>
      </c>
      <c r="W1005" s="15"/>
      <c r="X1005" s="15"/>
      <c r="Y1005" s="16"/>
      <c r="Z1005" s="17"/>
      <c r="AA1005" s="16"/>
      <c r="AB1005" s="24">
        <v>-581</v>
      </c>
      <c r="AC1005" s="20">
        <v>71.551724137931018</v>
      </c>
      <c r="AD1005" s="21">
        <v>46081</v>
      </c>
      <c r="AE1005" s="22">
        <v>664409.00010623457</v>
      </c>
      <c r="AF1005" s="23">
        <v>507333.07593333372</v>
      </c>
      <c r="AG1005" s="24">
        <v>607914.07593333384</v>
      </c>
      <c r="AH1005" s="15">
        <v>0.5</v>
      </c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25"/>
      <c r="BP1005" s="25"/>
    </row>
    <row r="1006" spans="1:68" ht="15" customHeight="1" x14ac:dyDescent="0.25">
      <c r="A1006" s="1">
        <f t="shared" si="63"/>
        <v>531</v>
      </c>
      <c r="B1006" s="1" t="str">
        <f t="shared" si="60"/>
        <v xml:space="preserve">UC </v>
      </c>
      <c r="C1006" s="1">
        <f t="shared" si="61"/>
        <v>1</v>
      </c>
      <c r="D1006" s="2" t="str">
        <f t="shared" si="62"/>
        <v>2026-02</v>
      </c>
      <c r="E1006" s="3" t="s">
        <v>1416</v>
      </c>
      <c r="F1006" s="4" t="s">
        <v>1315</v>
      </c>
      <c r="G1006" s="5">
        <v>46081</v>
      </c>
      <c r="H1006" s="4">
        <v>-104</v>
      </c>
      <c r="I1006" s="4">
        <v>104</v>
      </c>
      <c r="J1006" s="7">
        <v>112</v>
      </c>
      <c r="K1006" s="8">
        <v>8.0784313725490234E-2</v>
      </c>
      <c r="L1006" s="9">
        <v>3.8105808361080296E-2</v>
      </c>
      <c r="M1006" s="10">
        <v>-103.99999999999999</v>
      </c>
      <c r="N1006" s="11">
        <v>2.12</v>
      </c>
      <c r="O1006" s="12">
        <v>21903.118634850631</v>
      </c>
      <c r="P1006" s="13" t="s">
        <v>506</v>
      </c>
      <c r="Q1006" s="13" t="s">
        <v>92</v>
      </c>
      <c r="R1006" s="14" t="s">
        <v>1417</v>
      </c>
      <c r="S1006" s="13">
        <v>863</v>
      </c>
      <c r="T1006" s="13">
        <v>604.09999999999991</v>
      </c>
      <c r="U1006" s="13">
        <v>604.09999999999991</v>
      </c>
      <c r="V1006" s="4" t="s">
        <v>82</v>
      </c>
      <c r="W1006" s="15"/>
      <c r="X1006" s="15"/>
      <c r="Y1006" s="16"/>
      <c r="Z1006" s="17"/>
      <c r="AA1006" s="16"/>
      <c r="AB1006" s="24">
        <v>-604.09999999999991</v>
      </c>
      <c r="AC1006" s="20">
        <v>48.801803921568641</v>
      </c>
      <c r="AD1006" s="21">
        <v>46081</v>
      </c>
      <c r="AE1006" s="22">
        <v>664457.80191015615</v>
      </c>
      <c r="AF1006" s="23">
        <v>506728.97593333374</v>
      </c>
      <c r="AG1006" s="24">
        <v>607333.07593333384</v>
      </c>
      <c r="AH1006" s="15">
        <v>0.5</v>
      </c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</row>
    <row r="1007" spans="1:68" ht="15" customHeight="1" x14ac:dyDescent="0.25">
      <c r="A1007" s="1">
        <f t="shared" si="63"/>
        <v>532</v>
      </c>
      <c r="B1007" s="1" t="str">
        <f t="shared" si="60"/>
        <v xml:space="preserve">UMBC </v>
      </c>
      <c r="C1007" s="1">
        <f t="shared" si="61"/>
        <v>0</v>
      </c>
      <c r="D1007" s="2" t="str">
        <f t="shared" si="62"/>
        <v>2026-02</v>
      </c>
      <c r="E1007" s="3" t="s">
        <v>1418</v>
      </c>
      <c r="F1007" s="4" t="s">
        <v>1197</v>
      </c>
      <c r="G1007" s="39">
        <v>46081</v>
      </c>
      <c r="H1007" s="40">
        <v>-104</v>
      </c>
      <c r="I1007" s="40">
        <v>104</v>
      </c>
      <c r="J1007" s="7">
        <v>112</v>
      </c>
      <c r="K1007" s="8">
        <v>8.0784313725490234E-2</v>
      </c>
      <c r="L1007" s="9">
        <v>3.8105808361080296E-2</v>
      </c>
      <c r="M1007" s="10">
        <v>-103.99999999999999</v>
      </c>
      <c r="N1007" s="11">
        <v>2.12</v>
      </c>
      <c r="O1007" s="12">
        <v>21732.218337231589</v>
      </c>
      <c r="P1007" s="32" t="s">
        <v>506</v>
      </c>
      <c r="Q1007" s="81" t="s">
        <v>76</v>
      </c>
      <c r="R1007" s="82" t="s">
        <v>1419</v>
      </c>
      <c r="S1007" s="32">
        <v>214</v>
      </c>
      <c r="T1007" s="32">
        <v>149.79999999999998</v>
      </c>
      <c r="U1007" s="32">
        <v>149.79999999999998</v>
      </c>
      <c r="V1007" s="40" t="s">
        <v>77</v>
      </c>
      <c r="W1007" s="15"/>
      <c r="X1007" s="15"/>
      <c r="Y1007" s="16"/>
      <c r="Z1007" s="17"/>
      <c r="AA1007" s="16"/>
      <c r="AB1007" s="99">
        <v>167.78</v>
      </c>
      <c r="AC1007" s="20">
        <v>12.101490196078435</v>
      </c>
      <c r="AD1007" s="21">
        <v>46081</v>
      </c>
      <c r="AE1007" s="22">
        <v>656551.06204803393</v>
      </c>
      <c r="AF1007" s="23">
        <v>502762.10593333357</v>
      </c>
      <c r="AG1007" s="24">
        <v>602594.32593333395</v>
      </c>
      <c r="AH1007" s="15">
        <v>0.5</v>
      </c>
      <c r="AI1007" s="76"/>
      <c r="AJ1007" s="77"/>
      <c r="AK1007" s="77"/>
      <c r="AL1007" s="77"/>
      <c r="AM1007" s="77"/>
      <c r="AN1007" s="77"/>
      <c r="AO1007" s="77"/>
      <c r="AP1007" s="77"/>
      <c r="AQ1007" s="77"/>
      <c r="AR1007" s="77"/>
      <c r="AS1007" s="77"/>
      <c r="AT1007" s="77"/>
      <c r="AU1007" s="77"/>
      <c r="AV1007" s="77"/>
      <c r="AW1007" s="77"/>
      <c r="AX1007" s="77"/>
      <c r="AY1007" s="77"/>
      <c r="AZ1007" s="77"/>
      <c r="BA1007" s="77"/>
      <c r="BB1007" s="77"/>
      <c r="BC1007" s="77"/>
      <c r="BD1007" s="77"/>
      <c r="BE1007" s="77"/>
      <c r="BF1007" s="77"/>
      <c r="BG1007" s="77"/>
      <c r="BH1007" s="77"/>
      <c r="BI1007" s="77"/>
      <c r="BJ1007" s="77"/>
      <c r="BK1007" s="77"/>
      <c r="BL1007" s="77"/>
      <c r="BM1007" s="77"/>
      <c r="BN1007" s="77"/>
      <c r="BO1007" s="77"/>
      <c r="BP1007" s="77"/>
    </row>
    <row r="1008" spans="1:68" ht="15" customHeight="1" x14ac:dyDescent="0.25">
      <c r="A1008" s="1">
        <f t="shared" si="63"/>
        <v>533</v>
      </c>
      <c r="B1008" s="1" t="str">
        <f t="shared" si="60"/>
        <v xml:space="preserve">UMBC </v>
      </c>
      <c r="C1008" s="1">
        <f t="shared" si="61"/>
        <v>1</v>
      </c>
      <c r="D1008" s="2" t="str">
        <f t="shared" si="62"/>
        <v>2026-02</v>
      </c>
      <c r="E1008" s="3" t="s">
        <v>1420</v>
      </c>
      <c r="F1008" s="4" t="s">
        <v>1197</v>
      </c>
      <c r="G1008" s="39">
        <v>46081</v>
      </c>
      <c r="H1008" s="40">
        <v>-105</v>
      </c>
      <c r="I1008" s="40">
        <v>105</v>
      </c>
      <c r="J1008" s="7">
        <v>120</v>
      </c>
      <c r="K1008" s="8">
        <v>0.12682926829268298</v>
      </c>
      <c r="L1008" s="9">
        <v>5.7649667405764993E-2</v>
      </c>
      <c r="M1008" s="10">
        <v>-105</v>
      </c>
      <c r="N1008" s="11">
        <v>2.2000000000000002</v>
      </c>
      <c r="O1008" s="12">
        <v>31657.279541192445</v>
      </c>
      <c r="P1008" s="32" t="s">
        <v>506</v>
      </c>
      <c r="Q1008" s="80" t="s">
        <v>92</v>
      </c>
      <c r="R1008" s="82" t="s">
        <v>1419</v>
      </c>
      <c r="S1008" s="32">
        <v>251</v>
      </c>
      <c r="T1008" s="32">
        <v>175.7</v>
      </c>
      <c r="U1008" s="32">
        <v>175.7</v>
      </c>
      <c r="V1008" s="40" t="s">
        <v>82</v>
      </c>
      <c r="W1008" s="15"/>
      <c r="X1008" s="15"/>
      <c r="Y1008" s="16"/>
      <c r="Z1008" s="17"/>
      <c r="AA1008" s="16"/>
      <c r="AB1008" s="99">
        <v>-175.7</v>
      </c>
      <c r="AC1008" s="20">
        <v>22.283902439024398</v>
      </c>
      <c r="AD1008" s="21">
        <v>46081</v>
      </c>
      <c r="AE1008" s="22">
        <v>655782.78759368905</v>
      </c>
      <c r="AF1008" s="23">
        <v>498877.43593333359</v>
      </c>
      <c r="AG1008" s="24">
        <v>599053.13593333378</v>
      </c>
      <c r="AH1008" s="15">
        <v>0.5</v>
      </c>
      <c r="AI1008" s="76"/>
      <c r="AJ1008" s="76"/>
      <c r="AK1008" s="76"/>
      <c r="AL1008" s="76"/>
      <c r="AM1008" s="76"/>
      <c r="AN1008" s="76"/>
      <c r="AO1008" s="76"/>
      <c r="AP1008" s="77"/>
      <c r="AQ1008" s="77"/>
      <c r="AR1008" s="77"/>
      <c r="AS1008" s="77"/>
      <c r="AT1008" s="77"/>
      <c r="AU1008" s="77"/>
      <c r="AV1008" s="77"/>
      <c r="AW1008" s="77"/>
      <c r="AX1008" s="77"/>
      <c r="AY1008" s="77"/>
      <c r="AZ1008" s="77"/>
      <c r="BA1008" s="77"/>
      <c r="BB1008" s="77"/>
      <c r="BC1008" s="77"/>
      <c r="BD1008" s="77"/>
      <c r="BE1008" s="77"/>
      <c r="BF1008" s="77"/>
      <c r="BG1008" s="77"/>
      <c r="BH1008" s="77"/>
      <c r="BI1008" s="77"/>
      <c r="BJ1008" s="77"/>
      <c r="BK1008" s="77"/>
      <c r="BL1008" s="77"/>
      <c r="BM1008" s="77"/>
      <c r="BN1008" s="77"/>
      <c r="BO1008" s="77"/>
      <c r="BP1008" s="76"/>
    </row>
    <row r="1009" spans="1:68" ht="15" customHeight="1" x14ac:dyDescent="0.25">
      <c r="A1009" s="1">
        <f t="shared" si="63"/>
        <v>534</v>
      </c>
      <c r="B1009" s="1" t="str">
        <f t="shared" si="60"/>
        <v xml:space="preserve">UNC </v>
      </c>
      <c r="C1009" s="1">
        <f t="shared" si="61"/>
        <v>1</v>
      </c>
      <c r="D1009" s="2" t="str">
        <f t="shared" si="62"/>
        <v>2026-02</v>
      </c>
      <c r="E1009" s="100" t="s">
        <v>1421</v>
      </c>
      <c r="F1009" s="101" t="s">
        <v>1197</v>
      </c>
      <c r="G1009" s="102">
        <v>46081</v>
      </c>
      <c r="H1009" s="6">
        <v>-110</v>
      </c>
      <c r="I1009" s="6">
        <v>110</v>
      </c>
      <c r="J1009" s="115">
        <v>118</v>
      </c>
      <c r="K1009" s="8">
        <v>0.14190476190476176</v>
      </c>
      <c r="L1009" s="9">
        <v>6.5093927479248526E-2</v>
      </c>
      <c r="M1009" s="10">
        <v>-110.00000000000001</v>
      </c>
      <c r="N1009" s="11">
        <v>2.1799999999999997</v>
      </c>
      <c r="O1009" s="12">
        <v>36762.08007428034</v>
      </c>
      <c r="P1009" s="13" t="s">
        <v>506</v>
      </c>
      <c r="Q1009" s="13" t="s">
        <v>92</v>
      </c>
      <c r="R1009" s="14" t="s">
        <v>1422</v>
      </c>
      <c r="S1009" s="13">
        <v>302</v>
      </c>
      <c r="T1009" s="13">
        <v>211.39999999999998</v>
      </c>
      <c r="U1009" s="104">
        <v>211.39999999999998</v>
      </c>
      <c r="V1009" s="6" t="s">
        <v>77</v>
      </c>
      <c r="W1009" s="15"/>
      <c r="X1009" s="15"/>
      <c r="Y1009" s="16"/>
      <c r="Z1009" s="17"/>
      <c r="AA1009" s="16"/>
      <c r="AB1009" s="24">
        <v>249.45</v>
      </c>
      <c r="AC1009" s="20">
        <v>29.998666666666633</v>
      </c>
      <c r="AD1009" s="21">
        <v>46081</v>
      </c>
      <c r="AE1009" s="22">
        <v>661203.47569915664</v>
      </c>
      <c r="AF1009" s="23">
        <v>511634.91593333363</v>
      </c>
      <c r="AG1009" s="24">
        <v>611385.46593333397</v>
      </c>
      <c r="AH1009" s="15">
        <v>0.5</v>
      </c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25"/>
      <c r="BP1009" s="25"/>
    </row>
    <row r="1010" spans="1:68" ht="15" customHeight="1" x14ac:dyDescent="0.25">
      <c r="A1010" s="1">
        <f t="shared" si="63"/>
        <v>535</v>
      </c>
      <c r="B1010" s="1" t="str">
        <f t="shared" si="60"/>
        <v xml:space="preserve">USC </v>
      </c>
      <c r="C1010" s="1">
        <f t="shared" si="61"/>
        <v>0</v>
      </c>
      <c r="D1010" s="2" t="str">
        <f t="shared" si="62"/>
        <v>2026-02</v>
      </c>
      <c r="E1010" s="3" t="s">
        <v>1423</v>
      </c>
      <c r="F1010" s="4" t="s">
        <v>1197</v>
      </c>
      <c r="G1010" s="102">
        <v>46081</v>
      </c>
      <c r="H1010" s="4">
        <v>-102</v>
      </c>
      <c r="I1010" s="4">
        <v>102</v>
      </c>
      <c r="J1010" s="7">
        <v>117</v>
      </c>
      <c r="K1010" s="8">
        <v>9.5742574257425744E-2</v>
      </c>
      <c r="L1010" s="9">
        <v>4.4121001961947348E-2</v>
      </c>
      <c r="M1010" s="10">
        <v>-102</v>
      </c>
      <c r="N1010" s="11">
        <v>2.17</v>
      </c>
      <c r="O1010" s="12">
        <v>24780.889121077009</v>
      </c>
      <c r="P1010" s="13" t="s">
        <v>506</v>
      </c>
      <c r="Q1010" s="13" t="s">
        <v>76</v>
      </c>
      <c r="R1010" s="14" t="s">
        <v>1424</v>
      </c>
      <c r="S1010" s="13">
        <v>205</v>
      </c>
      <c r="T1010" s="13">
        <v>143.5</v>
      </c>
      <c r="U1010" s="13">
        <v>143.5</v>
      </c>
      <c r="V1010" s="129" t="s">
        <v>82</v>
      </c>
      <c r="W1010" s="105"/>
      <c r="X1010" s="105"/>
      <c r="Y1010" s="114"/>
      <c r="Z1010" s="8"/>
      <c r="AA1010" s="10"/>
      <c r="AB1010" s="106">
        <v>-143.5</v>
      </c>
      <c r="AC1010" s="107">
        <v>13.739059405940594</v>
      </c>
      <c r="AD1010" s="108">
        <v>46081</v>
      </c>
      <c r="AE1010" s="109">
        <v>657037.90101141355</v>
      </c>
      <c r="AF1010" s="110">
        <v>505514.75593333354</v>
      </c>
      <c r="AG1010" s="106">
        <v>605658.255933334</v>
      </c>
      <c r="AH1010" s="15">
        <v>0.5</v>
      </c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25"/>
      <c r="BP1010" s="25"/>
    </row>
    <row r="1011" spans="1:68" ht="15" customHeight="1" x14ac:dyDescent="0.25">
      <c r="A1011" s="1">
        <f t="shared" si="63"/>
        <v>535</v>
      </c>
      <c r="B1011" s="1" t="str">
        <f t="shared" si="60"/>
        <v xml:space="preserve">USC </v>
      </c>
      <c r="C1011" s="1">
        <f t="shared" si="61"/>
        <v>0</v>
      </c>
      <c r="D1011" s="2" t="str">
        <f t="shared" si="62"/>
        <v>2026-02</v>
      </c>
      <c r="E1011" s="100" t="s">
        <v>1425</v>
      </c>
      <c r="F1011" s="101" t="s">
        <v>1197</v>
      </c>
      <c r="G1011" s="102">
        <v>46081</v>
      </c>
      <c r="H1011" s="6">
        <v>122</v>
      </c>
      <c r="I1011" s="6">
        <v>-122</v>
      </c>
      <c r="J1011" s="115">
        <v>140</v>
      </c>
      <c r="K1011" s="8">
        <v>8.1081081081081183E-2</v>
      </c>
      <c r="L1011" s="9">
        <v>3.3783783783783827E-2</v>
      </c>
      <c r="M1011" s="10">
        <v>121.99999999999997</v>
      </c>
      <c r="N1011" s="11">
        <v>2.4</v>
      </c>
      <c r="O1011" s="12">
        <v>17368.704611969155</v>
      </c>
      <c r="P1011" s="13" t="s">
        <v>506</v>
      </c>
      <c r="Q1011" s="13" t="s">
        <v>76</v>
      </c>
      <c r="R1011" s="14" t="s">
        <v>1426</v>
      </c>
      <c r="S1011" s="13">
        <v>262</v>
      </c>
      <c r="T1011" s="13">
        <v>183.39999999999998</v>
      </c>
      <c r="U1011" s="104">
        <v>183.39999999999998</v>
      </c>
      <c r="V1011" s="6" t="s">
        <v>82</v>
      </c>
      <c r="W1011" s="15"/>
      <c r="X1011" s="15"/>
      <c r="Y1011" s="16"/>
      <c r="Z1011" s="17"/>
      <c r="AA1011" s="16"/>
      <c r="AB1011" s="24">
        <v>-183.39999999999998</v>
      </c>
      <c r="AC1011" s="20">
        <v>14.870270270270288</v>
      </c>
      <c r="AD1011" s="21">
        <v>46081</v>
      </c>
      <c r="AE1011" s="22">
        <v>658591.15812518355</v>
      </c>
      <c r="AF1011" s="23">
        <v>499615.86593333358</v>
      </c>
      <c r="AG1011" s="24">
        <v>599799.26593333401</v>
      </c>
      <c r="AH1011" s="15">
        <v>0.5</v>
      </c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5"/>
      <c r="BO1011" s="25"/>
      <c r="BP1011" s="25"/>
    </row>
    <row r="1012" spans="1:68" ht="15" customHeight="1" x14ac:dyDescent="0.25">
      <c r="A1012" s="1">
        <f t="shared" si="63"/>
        <v>536</v>
      </c>
      <c r="B1012" s="1" t="str">
        <f t="shared" si="60"/>
        <v xml:space="preserve">Utah </v>
      </c>
      <c r="C1012" s="1">
        <f t="shared" si="61"/>
        <v>0</v>
      </c>
      <c r="D1012" s="2" t="str">
        <f t="shared" si="62"/>
        <v>2026-02</v>
      </c>
      <c r="E1012" s="28" t="s">
        <v>1427</v>
      </c>
      <c r="F1012" s="29" t="s">
        <v>1315</v>
      </c>
      <c r="G1012" s="5">
        <v>46081</v>
      </c>
      <c r="H1012" s="6">
        <v>149</v>
      </c>
      <c r="I1012" s="6">
        <v>-149</v>
      </c>
      <c r="J1012" s="30">
        <v>188</v>
      </c>
      <c r="K1012" s="8">
        <v>0.15662650602409625</v>
      </c>
      <c r="L1012" s="9">
        <v>5.4384203480588977E-2</v>
      </c>
      <c r="M1012" s="10">
        <v>149.00000000000003</v>
      </c>
      <c r="N1012" s="11">
        <v>2.88</v>
      </c>
      <c r="O1012" s="12">
        <v>25173.565070281133</v>
      </c>
      <c r="P1012" s="13" t="s">
        <v>506</v>
      </c>
      <c r="Q1012" s="13" t="s">
        <v>81</v>
      </c>
      <c r="R1012" s="14" t="s">
        <v>1428</v>
      </c>
      <c r="S1012" s="13">
        <v>574</v>
      </c>
      <c r="T1012" s="13">
        <v>401.79999999999995</v>
      </c>
      <c r="U1012" s="13">
        <v>401.79999999999995</v>
      </c>
      <c r="V1012" s="6" t="s">
        <v>82</v>
      </c>
      <c r="W1012" s="15"/>
      <c r="X1012" s="15"/>
      <c r="Y1012" s="16"/>
      <c r="Z1012" s="17"/>
      <c r="AA1012" s="16"/>
      <c r="AB1012" s="24">
        <v>-401.79999999999995</v>
      </c>
      <c r="AC1012" s="20">
        <v>62.932530120481864</v>
      </c>
      <c r="AD1012" s="21">
        <v>46081</v>
      </c>
      <c r="AE1012" s="22">
        <v>662568.36759074917</v>
      </c>
      <c r="AF1012" s="23">
        <v>503918.6759333337</v>
      </c>
      <c r="AG1012" s="24">
        <v>604320.47593333398</v>
      </c>
      <c r="AH1012" s="15">
        <v>0.5</v>
      </c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25"/>
      <c r="BP1012" s="25"/>
    </row>
    <row r="1013" spans="1:68" ht="15" customHeight="1" x14ac:dyDescent="0.25">
      <c r="A1013" s="1">
        <f t="shared" si="63"/>
        <v>537</v>
      </c>
      <c r="B1013" s="1" t="str">
        <f t="shared" si="60"/>
        <v xml:space="preserve">UTEP </v>
      </c>
      <c r="C1013" s="1">
        <f t="shared" si="61"/>
        <v>1</v>
      </c>
      <c r="D1013" s="2" t="str">
        <f t="shared" si="62"/>
        <v>2026-02</v>
      </c>
      <c r="E1013" s="3" t="s">
        <v>1429</v>
      </c>
      <c r="F1013" s="4" t="s">
        <v>1197</v>
      </c>
      <c r="G1013" s="102">
        <v>46081</v>
      </c>
      <c r="H1013" s="4">
        <v>-101</v>
      </c>
      <c r="I1013" s="4">
        <v>101</v>
      </c>
      <c r="J1013" s="7">
        <v>123</v>
      </c>
      <c r="K1013" s="8">
        <v>0.12054726368159209</v>
      </c>
      <c r="L1013" s="9">
        <v>5.4057068915512152E-2</v>
      </c>
      <c r="M1013" s="10">
        <v>-101.00000000000001</v>
      </c>
      <c r="N1013" s="11">
        <v>2.23</v>
      </c>
      <c r="O1013" s="12">
        <v>29629.499912358307</v>
      </c>
      <c r="P1013" s="13" t="s">
        <v>506</v>
      </c>
      <c r="Q1013" s="13" t="s">
        <v>92</v>
      </c>
      <c r="R1013" s="14" t="s">
        <v>1430</v>
      </c>
      <c r="S1013" s="13">
        <v>283</v>
      </c>
      <c r="T1013" s="13">
        <v>198.1</v>
      </c>
      <c r="U1013" s="13">
        <v>198.1</v>
      </c>
      <c r="V1013" s="129" t="s">
        <v>82</v>
      </c>
      <c r="W1013" s="105"/>
      <c r="X1013" s="105"/>
      <c r="Y1013" s="114"/>
      <c r="Z1013" s="8"/>
      <c r="AA1013" s="10"/>
      <c r="AB1013" s="106">
        <v>-198.1</v>
      </c>
      <c r="AC1013" s="107">
        <v>23.880412935323392</v>
      </c>
      <c r="AD1013" s="108">
        <v>46081</v>
      </c>
      <c r="AE1013" s="109">
        <v>657166.79556106485</v>
      </c>
      <c r="AF1013" s="110">
        <v>504449.1359333336</v>
      </c>
      <c r="AG1013" s="24">
        <v>604647.23593333398</v>
      </c>
      <c r="AH1013" s="15">
        <v>0.5</v>
      </c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5"/>
      <c r="BO1013" s="25"/>
      <c r="BP1013" s="25"/>
    </row>
    <row r="1014" spans="1:68" ht="15" customHeight="1" x14ac:dyDescent="0.25">
      <c r="A1014" s="1">
        <f t="shared" si="63"/>
        <v>538</v>
      </c>
      <c r="B1014" s="1" t="str">
        <f t="shared" si="60"/>
        <v xml:space="preserve">Vanderbilt </v>
      </c>
      <c r="C1014" s="1">
        <f t="shared" si="61"/>
        <v>0</v>
      </c>
      <c r="D1014" s="2" t="str">
        <f t="shared" si="62"/>
        <v>2026-02</v>
      </c>
      <c r="E1014" s="3" t="s">
        <v>1431</v>
      </c>
      <c r="F1014" s="4" t="s">
        <v>1197</v>
      </c>
      <c r="G1014" s="39">
        <v>46081</v>
      </c>
      <c r="H1014" s="40">
        <v>-107</v>
      </c>
      <c r="I1014" s="40">
        <v>107</v>
      </c>
      <c r="J1014" s="7">
        <v>112</v>
      </c>
      <c r="K1014" s="8">
        <v>9.5845410628019601E-2</v>
      </c>
      <c r="L1014" s="9">
        <v>4.5210099352839428E-2</v>
      </c>
      <c r="M1014" s="10">
        <v>-107.00000000000003</v>
      </c>
      <c r="N1014" s="11">
        <v>2.12</v>
      </c>
      <c r="O1014" s="12">
        <v>25816.022365677578</v>
      </c>
      <c r="P1014" s="32" t="s">
        <v>506</v>
      </c>
      <c r="Q1014" s="81" t="s">
        <v>76</v>
      </c>
      <c r="R1014" s="82" t="s">
        <v>591</v>
      </c>
      <c r="S1014" s="32">
        <v>1073</v>
      </c>
      <c r="T1014" s="32">
        <v>751.09999999999991</v>
      </c>
      <c r="U1014" s="32">
        <v>751.09999999999991</v>
      </c>
      <c r="V1014" s="40" t="s">
        <v>82</v>
      </c>
      <c r="W1014" s="15"/>
      <c r="X1014" s="15"/>
      <c r="Y1014" s="16"/>
      <c r="Z1014" s="17"/>
      <c r="AA1014" s="16"/>
      <c r="AB1014" s="99">
        <v>-751.09999999999991</v>
      </c>
      <c r="AC1014" s="20">
        <v>71.989487922705507</v>
      </c>
      <c r="AD1014" s="21">
        <v>46081</v>
      </c>
      <c r="AE1014" s="22">
        <v>656538.96055783785</v>
      </c>
      <c r="AF1014" s="23">
        <v>502594.32593333354</v>
      </c>
      <c r="AG1014" s="24">
        <v>603345.42593333393</v>
      </c>
      <c r="AH1014" s="15">
        <v>0.5</v>
      </c>
      <c r="AI1014" s="76"/>
      <c r="AJ1014" s="77"/>
      <c r="AK1014" s="77"/>
      <c r="AL1014" s="77"/>
      <c r="AM1014" s="77"/>
      <c r="AN1014" s="83"/>
      <c r="AO1014" s="83"/>
      <c r="AP1014" s="77"/>
      <c r="AQ1014" s="77"/>
      <c r="AR1014" s="77"/>
      <c r="AS1014" s="77"/>
      <c r="AT1014" s="77"/>
      <c r="AU1014" s="77"/>
      <c r="AV1014" s="77"/>
      <c r="AW1014" s="77"/>
      <c r="AX1014" s="77"/>
      <c r="AY1014" s="77"/>
      <c r="AZ1014" s="77"/>
      <c r="BA1014" s="77"/>
      <c r="BB1014" s="77"/>
      <c r="BC1014" s="77"/>
      <c r="BD1014" s="77"/>
      <c r="BE1014" s="77"/>
      <c r="BF1014" s="77"/>
      <c r="BG1014" s="77"/>
      <c r="BH1014" s="77"/>
      <c r="BI1014" s="77"/>
      <c r="BJ1014" s="77"/>
      <c r="BK1014" s="77"/>
      <c r="BL1014" s="77"/>
      <c r="BM1014" s="77"/>
      <c r="BN1014" s="77"/>
      <c r="BO1014" s="77"/>
      <c r="BP1014" s="77"/>
    </row>
    <row r="1015" spans="1:68" ht="15" customHeight="1" x14ac:dyDescent="0.25">
      <c r="A1015" s="1">
        <f t="shared" si="63"/>
        <v>539</v>
      </c>
      <c r="B1015" s="1" t="str">
        <f t="shared" si="60"/>
        <v xml:space="preserve">Virginia </v>
      </c>
      <c r="C1015" s="1">
        <f t="shared" si="61"/>
        <v>1</v>
      </c>
      <c r="D1015" s="2" t="str">
        <f t="shared" si="62"/>
        <v>2026-02</v>
      </c>
      <c r="E1015" s="3" t="s">
        <v>1432</v>
      </c>
      <c r="F1015" s="4" t="s">
        <v>1197</v>
      </c>
      <c r="G1015" s="39">
        <v>46081</v>
      </c>
      <c r="H1015" s="40">
        <v>-102</v>
      </c>
      <c r="I1015" s="40">
        <v>102</v>
      </c>
      <c r="J1015" s="7">
        <v>125</v>
      </c>
      <c r="K1015" s="8">
        <v>0.1361386138613862</v>
      </c>
      <c r="L1015" s="9">
        <v>6.0506050605060535E-2</v>
      </c>
      <c r="M1015" s="10">
        <v>-102</v>
      </c>
      <c r="N1015" s="11">
        <v>2.25</v>
      </c>
      <c r="O1015" s="12">
        <v>32750.368936963743</v>
      </c>
      <c r="P1015" s="32" t="s">
        <v>506</v>
      </c>
      <c r="Q1015" s="81" t="s">
        <v>92</v>
      </c>
      <c r="R1015" s="82" t="s">
        <v>488</v>
      </c>
      <c r="S1015" s="32">
        <v>565</v>
      </c>
      <c r="T1015" s="32">
        <v>395.5</v>
      </c>
      <c r="U1015" s="32">
        <v>395.5</v>
      </c>
      <c r="V1015" s="40" t="s">
        <v>77</v>
      </c>
      <c r="W1015" s="15"/>
      <c r="X1015" s="15"/>
      <c r="Y1015" s="16"/>
      <c r="Z1015" s="17"/>
      <c r="AA1015" s="16"/>
      <c r="AB1015" s="99">
        <v>494.38</v>
      </c>
      <c r="AC1015" s="20">
        <v>53.842821782178241</v>
      </c>
      <c r="AD1015" s="21">
        <v>46081</v>
      </c>
      <c r="AE1015" s="22">
        <v>656094.39705553651</v>
      </c>
      <c r="AF1015" s="23">
        <v>501910.24593333359</v>
      </c>
      <c r="AG1015" s="24">
        <v>601415.86593333387</v>
      </c>
      <c r="AH1015" s="15">
        <v>0.5</v>
      </c>
      <c r="AI1015" s="76"/>
      <c r="AJ1015" s="77"/>
      <c r="AK1015" s="77"/>
      <c r="AL1015" s="77"/>
      <c r="AM1015" s="77"/>
      <c r="AN1015" s="76"/>
      <c r="AO1015" s="76"/>
      <c r="AP1015" s="77"/>
      <c r="AQ1015" s="77"/>
      <c r="AR1015" s="77"/>
      <c r="AS1015" s="77"/>
      <c r="AT1015" s="77"/>
      <c r="AU1015" s="77"/>
      <c r="AV1015" s="77"/>
      <c r="AW1015" s="77"/>
      <c r="AX1015" s="77"/>
      <c r="AY1015" s="77"/>
      <c r="AZ1015" s="77"/>
      <c r="BA1015" s="77"/>
      <c r="BB1015" s="77"/>
      <c r="BC1015" s="77"/>
      <c r="BD1015" s="77"/>
      <c r="BE1015" s="77"/>
      <c r="BF1015" s="77"/>
      <c r="BG1015" s="77"/>
      <c r="BH1015" s="77"/>
      <c r="BI1015" s="77"/>
      <c r="BJ1015" s="77"/>
      <c r="BK1015" s="77"/>
      <c r="BL1015" s="77"/>
      <c r="BM1015" s="77"/>
      <c r="BN1015" s="77"/>
      <c r="BO1015" s="77"/>
      <c r="BP1015" s="77"/>
    </row>
    <row r="1016" spans="1:68" ht="15" customHeight="1" x14ac:dyDescent="0.25">
      <c r="A1016" s="1">
        <f t="shared" si="63"/>
        <v>540</v>
      </c>
      <c r="B1016" s="1" t="str">
        <f t="shared" si="60"/>
        <v xml:space="preserve">VMI </v>
      </c>
      <c r="C1016" s="1">
        <f t="shared" si="61"/>
        <v>1</v>
      </c>
      <c r="D1016" s="2" t="str">
        <f t="shared" si="62"/>
        <v>2026-02</v>
      </c>
      <c r="E1016" s="3" t="s">
        <v>1433</v>
      </c>
      <c r="F1016" s="4" t="s">
        <v>1197</v>
      </c>
      <c r="G1016" s="102">
        <v>46081</v>
      </c>
      <c r="H1016" s="4">
        <v>-104</v>
      </c>
      <c r="I1016" s="4">
        <v>104</v>
      </c>
      <c r="J1016" s="7">
        <v>114</v>
      </c>
      <c r="K1016" s="8">
        <v>9.0980392156862544E-2</v>
      </c>
      <c r="L1016" s="9">
        <v>4.251420194245914E-2</v>
      </c>
      <c r="M1016" s="10">
        <v>-103.99999999999999</v>
      </c>
      <c r="N1016" s="11">
        <v>2.1399999999999997</v>
      </c>
      <c r="O1016" s="12">
        <v>24175.790081963056</v>
      </c>
      <c r="P1016" s="13" t="s">
        <v>506</v>
      </c>
      <c r="Q1016" s="13" t="s">
        <v>92</v>
      </c>
      <c r="R1016" s="14" t="s">
        <v>1434</v>
      </c>
      <c r="S1016" s="13">
        <v>210</v>
      </c>
      <c r="T1016" s="13">
        <v>147</v>
      </c>
      <c r="U1016" s="13">
        <v>147</v>
      </c>
      <c r="V1016" s="129" t="s">
        <v>82</v>
      </c>
      <c r="W1016" s="105"/>
      <c r="X1016" s="105"/>
      <c r="Y1016" s="114"/>
      <c r="Z1016" s="8"/>
      <c r="AA1016" s="10"/>
      <c r="AB1016" s="106">
        <v>-147</v>
      </c>
      <c r="AC1016" s="107">
        <v>13.374117647058794</v>
      </c>
      <c r="AD1016" s="108">
        <v>46081</v>
      </c>
      <c r="AE1016" s="109">
        <v>656869.63780014601</v>
      </c>
      <c r="AF1016" s="110">
        <v>505706.63593333354</v>
      </c>
      <c r="AG1016" s="106">
        <v>605853.63593333401</v>
      </c>
      <c r="AH1016" s="15">
        <v>0.5</v>
      </c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25"/>
      <c r="BP1016" s="25"/>
    </row>
    <row r="1017" spans="1:68" ht="15" customHeight="1" x14ac:dyDescent="0.25">
      <c r="A1017" s="1">
        <f t="shared" si="63"/>
        <v>541</v>
      </c>
      <c r="B1017" s="1" t="str">
        <f t="shared" si="60"/>
        <v xml:space="preserve">Wake </v>
      </c>
      <c r="C1017" s="1">
        <f t="shared" si="61"/>
        <v>0</v>
      </c>
      <c r="D1017" s="2" t="str">
        <f t="shared" si="62"/>
        <v>2026-02</v>
      </c>
      <c r="E1017" s="100" t="s">
        <v>1435</v>
      </c>
      <c r="F1017" s="101" t="s">
        <v>1315</v>
      </c>
      <c r="G1017" s="102">
        <v>46081</v>
      </c>
      <c r="H1017" s="6">
        <v>-102</v>
      </c>
      <c r="I1017" s="6">
        <v>102</v>
      </c>
      <c r="J1017" s="115">
        <v>118</v>
      </c>
      <c r="K1017" s="8">
        <v>0.1007920792079206</v>
      </c>
      <c r="L1017" s="9">
        <v>4.6234898719229645E-2</v>
      </c>
      <c r="M1017" s="10">
        <v>-102</v>
      </c>
      <c r="N1017" s="11">
        <v>2.1799999999999997</v>
      </c>
      <c r="O1017" s="12">
        <v>26005.670402757722</v>
      </c>
      <c r="P1017" s="13" t="s">
        <v>506</v>
      </c>
      <c r="Q1017" s="13" t="s">
        <v>76</v>
      </c>
      <c r="R1017" s="14" t="s">
        <v>946</v>
      </c>
      <c r="S1017" s="13">
        <v>2996</v>
      </c>
      <c r="T1017" s="13">
        <v>2097.1999999999998</v>
      </c>
      <c r="U1017" s="104">
        <v>2097.1999999999998</v>
      </c>
      <c r="V1017" s="6" t="s">
        <v>77</v>
      </c>
      <c r="W1017" s="15"/>
      <c r="X1017" s="15"/>
      <c r="Y1017" s="16"/>
      <c r="Z1017" s="17"/>
      <c r="AA1017" s="16"/>
      <c r="AB1017" s="24">
        <v>2474.6999999999998</v>
      </c>
      <c r="AC1017" s="20">
        <v>211.38114851485108</v>
      </c>
      <c r="AD1017" s="21">
        <v>46081</v>
      </c>
      <c r="AE1017" s="22">
        <v>661173.47703248996</v>
      </c>
      <c r="AF1017" s="23">
        <v>511385.46593333362</v>
      </c>
      <c r="AG1017" s="24">
        <v>608910.76593333401</v>
      </c>
      <c r="AH1017" s="15">
        <v>0.5</v>
      </c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5"/>
      <c r="BO1017" s="25"/>
      <c r="BP1017" s="25"/>
    </row>
    <row r="1018" spans="1:68" ht="15" customHeight="1" x14ac:dyDescent="0.25">
      <c r="A1018" s="1">
        <f t="shared" si="63"/>
        <v>542</v>
      </c>
      <c r="B1018" s="1" t="str">
        <f t="shared" si="60"/>
        <v xml:space="preserve">Weber </v>
      </c>
      <c r="C1018" s="1">
        <f t="shared" si="61"/>
        <v>0</v>
      </c>
      <c r="D1018" s="2" t="str">
        <f t="shared" si="62"/>
        <v>2026-02</v>
      </c>
      <c r="E1018" s="100" t="s">
        <v>1436</v>
      </c>
      <c r="F1018" s="101" t="s">
        <v>1315</v>
      </c>
      <c r="G1018" s="102">
        <v>46081</v>
      </c>
      <c r="H1018" s="6">
        <v>100</v>
      </c>
      <c r="I1018" s="6">
        <v>-100</v>
      </c>
      <c r="J1018" s="115">
        <v>125</v>
      </c>
      <c r="K1018" s="8">
        <v>0.12500000000000006</v>
      </c>
      <c r="L1018" s="9">
        <v>5.555555555555558E-2</v>
      </c>
      <c r="M1018" s="10">
        <v>100</v>
      </c>
      <c r="N1018" s="11">
        <v>2.25</v>
      </c>
      <c r="O1018" s="12">
        <v>30574.570796666711</v>
      </c>
      <c r="P1018" s="13" t="s">
        <v>506</v>
      </c>
      <c r="Q1018" s="13" t="s">
        <v>76</v>
      </c>
      <c r="R1018" s="14" t="s">
        <v>1437</v>
      </c>
      <c r="S1018" s="13">
        <v>849</v>
      </c>
      <c r="T1018" s="13">
        <v>594.29999999999995</v>
      </c>
      <c r="U1018" s="104">
        <v>594.29999999999995</v>
      </c>
      <c r="V1018" s="6" t="s">
        <v>82</v>
      </c>
      <c r="W1018" s="15"/>
      <c r="X1018" s="15"/>
      <c r="Y1018" s="16"/>
      <c r="Z1018" s="17"/>
      <c r="AA1018" s="16"/>
      <c r="AB1018" s="24">
        <v>-594.29999999999995</v>
      </c>
      <c r="AC1018" s="20">
        <v>74.287500000000023</v>
      </c>
      <c r="AD1018" s="21">
        <v>46081</v>
      </c>
      <c r="AE1018" s="22">
        <v>661291.53354398417</v>
      </c>
      <c r="AF1018" s="23">
        <v>510897.11593333364</v>
      </c>
      <c r="AG1018" s="24">
        <v>611491.41593333392</v>
      </c>
      <c r="AH1018" s="15">
        <v>0.5</v>
      </c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25"/>
      <c r="BP1018" s="25"/>
    </row>
    <row r="1019" spans="1:68" ht="15" customHeight="1" x14ac:dyDescent="0.25">
      <c r="A1019" s="1">
        <f t="shared" si="63"/>
        <v>543</v>
      </c>
      <c r="B1019" s="1" t="str">
        <f t="shared" si="60"/>
        <v xml:space="preserve">Western </v>
      </c>
      <c r="C1019" s="1">
        <f t="shared" si="61"/>
        <v>0</v>
      </c>
      <c r="D1019" s="2" t="str">
        <f t="shared" si="62"/>
        <v>2026-02</v>
      </c>
      <c r="E1019" s="100" t="s">
        <v>1438</v>
      </c>
      <c r="F1019" s="29" t="s">
        <v>1197</v>
      </c>
      <c r="G1019" s="102">
        <v>46081</v>
      </c>
      <c r="H1019" s="6">
        <v>106</v>
      </c>
      <c r="I1019" s="6">
        <v>-106</v>
      </c>
      <c r="J1019" s="115">
        <v>120</v>
      </c>
      <c r="K1019" s="8">
        <v>6.7961165048543978E-2</v>
      </c>
      <c r="L1019" s="9">
        <v>3.0891438658429082E-2</v>
      </c>
      <c r="M1019" s="10">
        <v>105.99999999999999</v>
      </c>
      <c r="N1019" s="11">
        <v>2.2000000000000002</v>
      </c>
      <c r="O1019" s="12">
        <v>16990.541753775702</v>
      </c>
      <c r="P1019" s="13" t="s">
        <v>506</v>
      </c>
      <c r="Q1019" s="13" t="s">
        <v>76</v>
      </c>
      <c r="R1019" s="14" t="s">
        <v>1439</v>
      </c>
      <c r="S1019" s="13">
        <v>295</v>
      </c>
      <c r="T1019" s="13">
        <v>206.5</v>
      </c>
      <c r="U1019" s="104">
        <v>206.5</v>
      </c>
      <c r="V1019" s="6" t="s">
        <v>77</v>
      </c>
      <c r="W1019" s="15"/>
      <c r="X1019" s="15"/>
      <c r="Y1019" s="16"/>
      <c r="Z1019" s="17"/>
      <c r="AA1019" s="16"/>
      <c r="AB1019" s="24">
        <v>247.8</v>
      </c>
      <c r="AC1019" s="20">
        <v>14.033980582524331</v>
      </c>
      <c r="AD1019" s="21">
        <v>46081</v>
      </c>
      <c r="AE1019" s="22">
        <v>660242.6516964949</v>
      </c>
      <c r="AF1019" s="23">
        <v>500256.64593333361</v>
      </c>
      <c r="AG1019" s="24">
        <v>600008.84593333385</v>
      </c>
      <c r="AH1019" s="15">
        <v>0.5</v>
      </c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5"/>
      <c r="BO1019" s="25"/>
      <c r="BP1019" s="25"/>
    </row>
    <row r="1020" spans="1:68" ht="15" customHeight="1" x14ac:dyDescent="0.25">
      <c r="A1020" s="1">
        <f t="shared" si="63"/>
        <v>544</v>
      </c>
      <c r="B1020" s="1" t="str">
        <f t="shared" si="60"/>
        <v xml:space="preserve">Wofford </v>
      </c>
      <c r="C1020" s="1">
        <f t="shared" si="61"/>
        <v>0</v>
      </c>
      <c r="D1020" s="2" t="str">
        <f t="shared" si="62"/>
        <v>2026-02</v>
      </c>
      <c r="E1020" s="100" t="s">
        <v>1440</v>
      </c>
      <c r="F1020" s="101" t="s">
        <v>1315</v>
      </c>
      <c r="G1020" s="5">
        <v>46081</v>
      </c>
      <c r="H1020" s="6">
        <v>672</v>
      </c>
      <c r="I1020" s="6">
        <v>-672</v>
      </c>
      <c r="J1020" s="115">
        <v>1150</v>
      </c>
      <c r="K1020" s="8">
        <v>0.61917098445595875</v>
      </c>
      <c r="L1020" s="9">
        <v>4.9533678756476698E-2</v>
      </c>
      <c r="M1020" s="10">
        <v>671.99999999999989</v>
      </c>
      <c r="N1020" s="11">
        <v>12.5</v>
      </c>
      <c r="O1020" s="12">
        <v>16266.62686281447</v>
      </c>
      <c r="P1020" s="13" t="s">
        <v>506</v>
      </c>
      <c r="Q1020" s="13" t="s">
        <v>81</v>
      </c>
      <c r="R1020" s="14" t="s">
        <v>1441</v>
      </c>
      <c r="S1020" s="13">
        <v>160</v>
      </c>
      <c r="T1020" s="13">
        <v>112</v>
      </c>
      <c r="U1020" s="13">
        <v>112</v>
      </c>
      <c r="V1020" s="6" t="s">
        <v>82</v>
      </c>
      <c r="W1020" s="105"/>
      <c r="X1020" s="105"/>
      <c r="Y1020" s="114"/>
      <c r="Z1020" s="8"/>
      <c r="AA1020" s="10"/>
      <c r="AB1020" s="106">
        <v>-112</v>
      </c>
      <c r="AC1020" s="107">
        <v>69.347150259067377</v>
      </c>
      <c r="AD1020" s="108">
        <v>46081</v>
      </c>
      <c r="AE1020" s="109">
        <v>657413.42137071455</v>
      </c>
      <c r="AF1020" s="110">
        <v>504135.33593333361</v>
      </c>
      <c r="AG1020" s="24">
        <v>604247.33593333396</v>
      </c>
      <c r="AH1020" s="15">
        <v>0.5</v>
      </c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25"/>
      <c r="BP1020" s="25"/>
    </row>
    <row r="1021" spans="1:68" ht="15" customHeight="1" x14ac:dyDescent="0.25">
      <c r="A1021" s="1">
        <f t="shared" si="63"/>
        <v>545</v>
      </c>
      <c r="B1021" s="1" t="str">
        <f t="shared" si="60"/>
        <v xml:space="preserve">Wright </v>
      </c>
      <c r="C1021" s="1">
        <f t="shared" si="61"/>
        <v>0</v>
      </c>
      <c r="D1021" s="2" t="str">
        <f t="shared" si="62"/>
        <v>2026-02</v>
      </c>
      <c r="E1021" s="28" t="s">
        <v>1442</v>
      </c>
      <c r="F1021" s="29" t="s">
        <v>1315</v>
      </c>
      <c r="G1021" s="5">
        <v>46081</v>
      </c>
      <c r="H1021" s="6">
        <v>108</v>
      </c>
      <c r="I1021" s="6">
        <v>-108</v>
      </c>
      <c r="J1021" s="30">
        <v>128</v>
      </c>
      <c r="K1021" s="8">
        <v>9.6153846153846118E-2</v>
      </c>
      <c r="L1021" s="9">
        <v>4.2172739541160575E-2</v>
      </c>
      <c r="M1021" s="10">
        <v>107.99999999999999</v>
      </c>
      <c r="N1021" s="11">
        <v>2.2800000000000002</v>
      </c>
      <c r="O1021" s="12">
        <v>22898.212737880618</v>
      </c>
      <c r="P1021" s="13" t="s">
        <v>506</v>
      </c>
      <c r="Q1021" s="13" t="s">
        <v>76</v>
      </c>
      <c r="R1021" s="14" t="s">
        <v>1443</v>
      </c>
      <c r="S1021" s="13">
        <v>830</v>
      </c>
      <c r="T1021" s="13">
        <v>581</v>
      </c>
      <c r="U1021" s="13">
        <v>581</v>
      </c>
      <c r="V1021" s="6" t="s">
        <v>77</v>
      </c>
      <c r="W1021" s="15"/>
      <c r="X1021" s="15"/>
      <c r="Y1021" s="16"/>
      <c r="Z1021" s="17"/>
      <c r="AA1021" s="16"/>
      <c r="AB1021" s="24">
        <v>743.68</v>
      </c>
      <c r="AC1021" s="20">
        <v>55.865384615384592</v>
      </c>
      <c r="AD1021" s="21">
        <v>46081</v>
      </c>
      <c r="AE1021" s="22">
        <v>661502.93005251884</v>
      </c>
      <c r="AF1021" s="23">
        <v>510385.69593333366</v>
      </c>
      <c r="AG1021" s="24">
        <v>609642.0159333339</v>
      </c>
      <c r="AH1021" s="15">
        <v>0.5</v>
      </c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5"/>
      <c r="BO1021" s="25"/>
      <c r="BP1021" s="25"/>
    </row>
    <row r="1022" spans="1:68" ht="15" customHeight="1" x14ac:dyDescent="0.25">
      <c r="A1022" s="1">
        <f t="shared" si="63"/>
        <v>546</v>
      </c>
      <c r="B1022" s="1" t="str">
        <f t="shared" si="60"/>
        <v xml:space="preserve">Cal </v>
      </c>
      <c r="C1022" s="1">
        <f t="shared" si="61"/>
        <v>0</v>
      </c>
      <c r="D1022" s="2" t="str">
        <f t="shared" si="62"/>
        <v>2026-03</v>
      </c>
      <c r="E1022" s="28" t="s">
        <v>1444</v>
      </c>
      <c r="F1022" s="29" t="s">
        <v>1445</v>
      </c>
      <c r="G1022" s="5">
        <v>46086</v>
      </c>
      <c r="H1022" s="6">
        <v>101</v>
      </c>
      <c r="I1022" s="6">
        <v>-101</v>
      </c>
      <c r="J1022" s="30">
        <v>125</v>
      </c>
      <c r="K1022" s="8">
        <v>0.11940298507462707</v>
      </c>
      <c r="L1022" s="9">
        <v>5.3067993366500921E-2</v>
      </c>
      <c r="M1022" s="10">
        <v>100.99999999999997</v>
      </c>
      <c r="N1022" s="11">
        <v>2.25</v>
      </c>
      <c r="O1022" s="12">
        <v>29060.649358010025</v>
      </c>
      <c r="P1022" s="13" t="s">
        <v>506</v>
      </c>
      <c r="Q1022" s="13" t="s">
        <v>76</v>
      </c>
      <c r="R1022" s="14" t="s">
        <v>1133</v>
      </c>
      <c r="S1022" s="13">
        <v>278</v>
      </c>
      <c r="T1022" s="13">
        <v>194.6</v>
      </c>
      <c r="U1022" s="13">
        <v>194.6</v>
      </c>
      <c r="V1022" s="6" t="s">
        <v>77</v>
      </c>
      <c r="W1022" s="15"/>
      <c r="X1022" s="15"/>
      <c r="Y1022" s="16"/>
      <c r="Z1022" s="17"/>
      <c r="AA1022" s="16"/>
      <c r="AB1022" s="24">
        <v>243.25</v>
      </c>
      <c r="AC1022" s="20">
        <v>23.235820895522426</v>
      </c>
      <c r="AD1022" s="21">
        <v>46086</v>
      </c>
      <c r="AE1022" s="22">
        <v>665265.22528688819</v>
      </c>
      <c r="AF1022" s="23">
        <v>508700.5959333338</v>
      </c>
      <c r="AG1022" s="24">
        <v>608457.34593333385</v>
      </c>
      <c r="AH1022" s="15">
        <v>0.5</v>
      </c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5"/>
      <c r="BO1022" s="25"/>
      <c r="BP1022" s="25"/>
    </row>
    <row r="1023" spans="1:68" ht="15" customHeight="1" x14ac:dyDescent="0.25">
      <c r="A1023" s="1">
        <f t="shared" si="63"/>
        <v>546</v>
      </c>
      <c r="B1023" s="1" t="str">
        <f t="shared" si="60"/>
        <v xml:space="preserve">Cal </v>
      </c>
      <c r="C1023" s="1">
        <f t="shared" si="61"/>
        <v>0</v>
      </c>
      <c r="D1023" s="2" t="str">
        <f t="shared" si="62"/>
        <v>2026-03</v>
      </c>
      <c r="E1023" s="3" t="s">
        <v>1446</v>
      </c>
      <c r="F1023" s="4" t="s">
        <v>1445</v>
      </c>
      <c r="G1023" s="5">
        <v>46086</v>
      </c>
      <c r="H1023" s="40">
        <v>278</v>
      </c>
      <c r="I1023" s="40">
        <v>-278</v>
      </c>
      <c r="J1023" s="7">
        <v>340</v>
      </c>
      <c r="K1023" s="8">
        <v>0.16402116402116423</v>
      </c>
      <c r="L1023" s="9">
        <v>3.7277537277537326E-2</v>
      </c>
      <c r="M1023" s="10">
        <v>277.99999999999994</v>
      </c>
      <c r="N1023" s="11">
        <v>4.4000000000000004</v>
      </c>
      <c r="O1023" s="12">
        <v>14682.320630200258</v>
      </c>
      <c r="P1023" s="13" t="s">
        <v>506</v>
      </c>
      <c r="Q1023" s="13" t="s">
        <v>81</v>
      </c>
      <c r="R1023" s="14" t="s">
        <v>1133</v>
      </c>
      <c r="S1023" s="13">
        <v>170</v>
      </c>
      <c r="T1023" s="13">
        <v>118.99999999999999</v>
      </c>
      <c r="U1023" s="13">
        <v>118.99999999999999</v>
      </c>
      <c r="V1023" s="6" t="s">
        <v>77</v>
      </c>
      <c r="W1023" s="15"/>
      <c r="X1023" s="15"/>
      <c r="Y1023" s="16"/>
      <c r="Z1023" s="17"/>
      <c r="AA1023" s="16"/>
      <c r="AB1023" s="24">
        <v>404.6</v>
      </c>
      <c r="AC1023" s="20">
        <v>19.51851851851854</v>
      </c>
      <c r="AD1023" s="21">
        <v>46086</v>
      </c>
      <c r="AE1023" s="22">
        <v>665284.74380540673</v>
      </c>
      <c r="AF1023" s="23">
        <v>509105.19593333377</v>
      </c>
      <c r="AG1023" s="24">
        <v>608700.59593333385</v>
      </c>
      <c r="AH1023" s="15">
        <v>0.5</v>
      </c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  <c r="BN1023" s="25"/>
      <c r="BO1023" s="25"/>
      <c r="BP1023" s="25"/>
    </row>
    <row r="1024" spans="1:68" ht="15" customHeight="1" x14ac:dyDescent="0.25">
      <c r="A1024" s="1">
        <f t="shared" si="63"/>
        <v>546</v>
      </c>
      <c r="B1024" s="1" t="str">
        <f t="shared" si="60"/>
        <v xml:space="preserve">Cal </v>
      </c>
      <c r="C1024" s="1">
        <f t="shared" si="61"/>
        <v>0</v>
      </c>
      <c r="D1024" s="2" t="str">
        <f t="shared" si="62"/>
        <v>2026-03</v>
      </c>
      <c r="E1024" s="3" t="s">
        <v>1447</v>
      </c>
      <c r="F1024" s="4" t="s">
        <v>1445</v>
      </c>
      <c r="G1024" s="5">
        <v>46086</v>
      </c>
      <c r="H1024" s="40">
        <v>109</v>
      </c>
      <c r="I1024" s="40">
        <v>-109</v>
      </c>
      <c r="J1024" s="7">
        <v>132</v>
      </c>
      <c r="K1024" s="8">
        <v>0.11004784688995235</v>
      </c>
      <c r="L1024" s="9">
        <v>4.7434416762910492E-2</v>
      </c>
      <c r="M1024" s="10">
        <v>108.99999999999999</v>
      </c>
      <c r="N1024" s="11">
        <v>2.3200000000000003</v>
      </c>
      <c r="O1024" s="12">
        <v>25390.422478009823</v>
      </c>
      <c r="P1024" s="13" t="s">
        <v>506</v>
      </c>
      <c r="Q1024" s="13" t="s">
        <v>76</v>
      </c>
      <c r="R1024" s="14" t="s">
        <v>1133</v>
      </c>
      <c r="S1024" s="13">
        <v>264</v>
      </c>
      <c r="T1024" s="13">
        <v>184.79999999999998</v>
      </c>
      <c r="U1024" s="13">
        <v>184.79999999999998</v>
      </c>
      <c r="V1024" s="6" t="s">
        <v>77</v>
      </c>
      <c r="W1024" s="15"/>
      <c r="X1024" s="15"/>
      <c r="Y1024" s="16"/>
      <c r="Z1024" s="17"/>
      <c r="AA1024" s="16"/>
      <c r="AB1024" s="24">
        <v>243.94</v>
      </c>
      <c r="AC1024" s="20">
        <v>20.336842105263194</v>
      </c>
      <c r="AD1024" s="21">
        <v>46086</v>
      </c>
      <c r="AE1024" s="22">
        <v>665305.08064751199</v>
      </c>
      <c r="AF1024" s="23">
        <v>509349.13593333378</v>
      </c>
      <c r="AG1024" s="24">
        <v>609105.19593333383</v>
      </c>
      <c r="AH1024" s="15">
        <v>0.5</v>
      </c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5"/>
      <c r="BO1024" s="25"/>
      <c r="BP1024" s="25"/>
    </row>
    <row r="1025" spans="1:68" ht="15" customHeight="1" x14ac:dyDescent="0.25">
      <c r="A1025" s="1">
        <f t="shared" si="63"/>
        <v>546</v>
      </c>
      <c r="B1025" s="1" t="str">
        <f t="shared" si="60"/>
        <v xml:space="preserve">Cal </v>
      </c>
      <c r="C1025" s="1">
        <f t="shared" si="61"/>
        <v>0</v>
      </c>
      <c r="D1025" s="2" t="str">
        <f t="shared" si="62"/>
        <v>2026-03</v>
      </c>
      <c r="E1025" s="3" t="s">
        <v>1447</v>
      </c>
      <c r="F1025" s="128" t="s">
        <v>1445</v>
      </c>
      <c r="G1025" s="5">
        <v>46086</v>
      </c>
      <c r="H1025" s="40">
        <v>106</v>
      </c>
      <c r="I1025" s="40">
        <v>-106</v>
      </c>
      <c r="J1025" s="7">
        <v>138</v>
      </c>
      <c r="K1025" s="8">
        <v>0.15533980582524298</v>
      </c>
      <c r="L1025" s="9">
        <v>6.526882597699285E-2</v>
      </c>
      <c r="M1025" s="10">
        <v>105.99999999999999</v>
      </c>
      <c r="N1025" s="11">
        <v>2.38</v>
      </c>
      <c r="O1025" s="12">
        <v>34295.716107124514</v>
      </c>
      <c r="P1025" s="13" t="s">
        <v>506</v>
      </c>
      <c r="Q1025" s="13" t="s">
        <v>76</v>
      </c>
      <c r="R1025" s="14" t="s">
        <v>1133</v>
      </c>
      <c r="S1025" s="13">
        <v>252</v>
      </c>
      <c r="T1025" s="13">
        <v>176.39999999999998</v>
      </c>
      <c r="U1025" s="13">
        <v>176.39999999999998</v>
      </c>
      <c r="V1025" s="6" t="s">
        <v>77</v>
      </c>
      <c r="W1025" s="15"/>
      <c r="X1025" s="15"/>
      <c r="Y1025" s="16"/>
      <c r="Z1025" s="17"/>
      <c r="AA1025" s="16"/>
      <c r="AB1025" s="24">
        <v>243.43</v>
      </c>
      <c r="AC1025" s="20">
        <v>27.401941747572859</v>
      </c>
      <c r="AD1025" s="21">
        <v>46086</v>
      </c>
      <c r="AE1025" s="22">
        <v>665332.48258925951</v>
      </c>
      <c r="AF1025" s="23">
        <v>509592.56593333377</v>
      </c>
      <c r="AG1025" s="24">
        <v>609349.13593333378</v>
      </c>
      <c r="AH1025" s="15">
        <v>0.5</v>
      </c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  <c r="BN1025" s="25"/>
      <c r="BO1025" s="25"/>
      <c r="BP1025" s="25"/>
    </row>
    <row r="1026" spans="1:68" ht="15" customHeight="1" x14ac:dyDescent="0.25">
      <c r="A1026" s="1">
        <f t="shared" si="63"/>
        <v>546</v>
      </c>
      <c r="B1026" s="1" t="str">
        <f t="shared" ref="B1026:B1089" si="64">LEFT(E1026, FIND(" ", E1026))</f>
        <v xml:space="preserve">Cal </v>
      </c>
      <c r="C1026" s="1">
        <f t="shared" ref="C1026:C1089" si="65">IF(Q1026="total", 1, 0)</f>
        <v>0</v>
      </c>
      <c r="D1026" s="2" t="str">
        <f t="shared" ref="D1026:D1089" si="66">YEAR(G1026)&amp;"-"&amp;IF(MONTH(G1026)&lt;10, "0", "")&amp;MONTH(G1026)</f>
        <v>2026-03</v>
      </c>
      <c r="E1026" s="3" t="s">
        <v>1448</v>
      </c>
      <c r="F1026" s="4" t="s">
        <v>1445</v>
      </c>
      <c r="G1026" s="5">
        <v>46086</v>
      </c>
      <c r="H1026" s="40">
        <v>313</v>
      </c>
      <c r="I1026" s="40">
        <v>-313</v>
      </c>
      <c r="J1026" s="7">
        <v>360</v>
      </c>
      <c r="K1026" s="8">
        <v>0.11380145278450353</v>
      </c>
      <c r="L1026" s="9">
        <v>2.4739446257500769E-2</v>
      </c>
      <c r="M1026" s="10">
        <v>313</v>
      </c>
      <c r="N1026" s="11">
        <v>4.5999999999999996</v>
      </c>
      <c r="O1026" s="12">
        <v>9609.9501812169347</v>
      </c>
      <c r="P1026" s="13" t="s">
        <v>506</v>
      </c>
      <c r="Q1026" s="13" t="s">
        <v>81</v>
      </c>
      <c r="R1026" s="14" t="s">
        <v>566</v>
      </c>
      <c r="S1026" s="13">
        <v>96</v>
      </c>
      <c r="T1026" s="13">
        <v>67.199999999999989</v>
      </c>
      <c r="U1026" s="13">
        <v>67.199999999999989</v>
      </c>
      <c r="V1026" s="6" t="s">
        <v>82</v>
      </c>
      <c r="W1026" s="15"/>
      <c r="X1026" s="15"/>
      <c r="Y1026" s="16"/>
      <c r="Z1026" s="17"/>
      <c r="AA1026" s="16"/>
      <c r="AB1026" s="24">
        <v>-67.199999999999989</v>
      </c>
      <c r="AC1026" s="20">
        <v>7.6474576271186354</v>
      </c>
      <c r="AD1026" s="21">
        <v>46086</v>
      </c>
      <c r="AE1026" s="22">
        <v>665855.8518213752</v>
      </c>
      <c r="AF1026" s="23">
        <v>507935.94593333371</v>
      </c>
      <c r="AG1026" s="24">
        <v>608003.14593333402</v>
      </c>
      <c r="AH1026" s="15">
        <v>0.5</v>
      </c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5"/>
      <c r="BO1026" s="25"/>
      <c r="BP1026" s="25"/>
    </row>
    <row r="1027" spans="1:68" ht="15" customHeight="1" x14ac:dyDescent="0.25">
      <c r="A1027" s="1">
        <f t="shared" si="63"/>
        <v>546</v>
      </c>
      <c r="B1027" s="1" t="str">
        <f t="shared" si="64"/>
        <v xml:space="preserve">Cal </v>
      </c>
      <c r="C1027" s="1">
        <f t="shared" si="65"/>
        <v>0</v>
      </c>
      <c r="D1027" s="2" t="str">
        <f t="shared" si="66"/>
        <v>2026-03</v>
      </c>
      <c r="E1027" s="3" t="s">
        <v>1446</v>
      </c>
      <c r="F1027" s="4" t="s">
        <v>1445</v>
      </c>
      <c r="G1027" s="39">
        <v>46086</v>
      </c>
      <c r="H1027" s="40">
        <v>546</v>
      </c>
      <c r="I1027" s="40">
        <v>-546</v>
      </c>
      <c r="J1027" s="7">
        <v>650</v>
      </c>
      <c r="K1027" s="8">
        <v>0.16099071207430352</v>
      </c>
      <c r="L1027" s="9">
        <v>2.14654282765738E-2</v>
      </c>
      <c r="M1027" s="10">
        <v>546</v>
      </c>
      <c r="N1027" s="11">
        <v>7.5</v>
      </c>
      <c r="O1027" s="12">
        <v>7528.6185254902102</v>
      </c>
      <c r="P1027" s="13" t="s">
        <v>506</v>
      </c>
      <c r="Q1027" s="13" t="s">
        <v>81</v>
      </c>
      <c r="R1027" s="14" t="s">
        <v>1133</v>
      </c>
      <c r="S1027" s="13">
        <v>89</v>
      </c>
      <c r="T1027" s="13">
        <v>62.3</v>
      </c>
      <c r="U1027" s="32">
        <v>62.3</v>
      </c>
      <c r="V1027" s="6" t="s">
        <v>77</v>
      </c>
      <c r="W1027" s="15"/>
      <c r="X1027" s="15"/>
      <c r="Y1027" s="16"/>
      <c r="Z1027" s="17"/>
      <c r="AA1027" s="16"/>
      <c r="AB1027" s="24">
        <v>404.95</v>
      </c>
      <c r="AC1027" s="20">
        <v>10.029721362229109</v>
      </c>
      <c r="AD1027" s="21">
        <v>46086</v>
      </c>
      <c r="AE1027" s="22">
        <v>665865.88154273748</v>
      </c>
      <c r="AF1027" s="23">
        <v>508340.89593333373</v>
      </c>
      <c r="AG1027" s="24">
        <v>607935.94593333406</v>
      </c>
      <c r="AH1027" s="15">
        <v>0.5</v>
      </c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  <c r="BN1027" s="25"/>
      <c r="BO1027" s="25"/>
      <c r="BP1027" s="25"/>
    </row>
    <row r="1028" spans="1:68" ht="15" customHeight="1" x14ac:dyDescent="0.25">
      <c r="A1028" s="1">
        <f t="shared" ref="A1028:A1091" si="67">IF(AND(B1028=B1027, C1028=C1027, G1028=G1027), A1027, A1027+1)</f>
        <v>547</v>
      </c>
      <c r="B1028" s="1" t="str">
        <f t="shared" si="64"/>
        <v xml:space="preserve">Cal </v>
      </c>
      <c r="C1028" s="1">
        <f t="shared" si="65"/>
        <v>1</v>
      </c>
      <c r="D1028" s="2" t="str">
        <f t="shared" si="66"/>
        <v>2026-03</v>
      </c>
      <c r="E1028" s="3" t="s">
        <v>1449</v>
      </c>
      <c r="F1028" s="4" t="s">
        <v>1445</v>
      </c>
      <c r="G1028" s="5">
        <v>46086</v>
      </c>
      <c r="H1028" s="40">
        <v>-106</v>
      </c>
      <c r="I1028" s="40">
        <v>106</v>
      </c>
      <c r="J1028" s="7">
        <v>116</v>
      </c>
      <c r="K1028" s="8">
        <v>0.11145631067961152</v>
      </c>
      <c r="L1028" s="9">
        <v>5.1600143833153478E-2</v>
      </c>
      <c r="M1028" s="10">
        <v>-105.99999999999999</v>
      </c>
      <c r="N1028" s="11">
        <v>2.16</v>
      </c>
      <c r="O1028" s="12">
        <v>29216.116987423273</v>
      </c>
      <c r="P1028" s="13" t="s">
        <v>506</v>
      </c>
      <c r="Q1028" s="13" t="s">
        <v>92</v>
      </c>
      <c r="R1028" s="14" t="s">
        <v>544</v>
      </c>
      <c r="S1028" s="13">
        <v>200</v>
      </c>
      <c r="T1028" s="13">
        <v>140</v>
      </c>
      <c r="U1028" s="13">
        <v>140</v>
      </c>
      <c r="V1028" s="6" t="s">
        <v>82</v>
      </c>
      <c r="W1028" s="15"/>
      <c r="X1028" s="15"/>
      <c r="Y1028" s="16"/>
      <c r="Z1028" s="17"/>
      <c r="AA1028" s="16"/>
      <c r="AB1028" s="24">
        <v>-140</v>
      </c>
      <c r="AC1028" s="20">
        <v>15.603883495145613</v>
      </c>
      <c r="AD1028" s="21">
        <v>46086</v>
      </c>
      <c r="AE1028" s="22">
        <v>665848.20436374808</v>
      </c>
      <c r="AF1028" s="23">
        <v>508003.14593333373</v>
      </c>
      <c r="AG1028" s="24">
        <v>608143.14593333402</v>
      </c>
      <c r="AH1028" s="15">
        <v>0.5</v>
      </c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5"/>
      <c r="BO1028" s="25"/>
      <c r="BP1028" s="25"/>
    </row>
    <row r="1029" spans="1:68" ht="15" customHeight="1" x14ac:dyDescent="0.25">
      <c r="A1029" s="1">
        <f t="shared" si="67"/>
        <v>548</v>
      </c>
      <c r="B1029" s="1" t="str">
        <f t="shared" si="64"/>
        <v xml:space="preserve">Colgate </v>
      </c>
      <c r="C1029" s="1">
        <f t="shared" si="65"/>
        <v>0</v>
      </c>
      <c r="D1029" s="2" t="str">
        <f t="shared" si="66"/>
        <v>2026-03</v>
      </c>
      <c r="E1029" s="3" t="s">
        <v>1450</v>
      </c>
      <c r="F1029" s="4" t="s">
        <v>1445</v>
      </c>
      <c r="G1029" s="5">
        <v>46086</v>
      </c>
      <c r="H1029" s="4">
        <v>-102</v>
      </c>
      <c r="I1029" s="4">
        <v>102</v>
      </c>
      <c r="J1029" s="7">
        <v>130</v>
      </c>
      <c r="K1029" s="8">
        <v>0.16138613861386128</v>
      </c>
      <c r="L1029" s="9">
        <v>7.0167886353852738E-2</v>
      </c>
      <c r="M1029" s="10">
        <v>-102</v>
      </c>
      <c r="N1029" s="11">
        <v>2.2999999999999998</v>
      </c>
      <c r="O1029" s="12">
        <v>37650.122108580872</v>
      </c>
      <c r="P1029" s="13" t="s">
        <v>506</v>
      </c>
      <c r="Q1029" s="13" t="s">
        <v>76</v>
      </c>
      <c r="R1029" s="14" t="s">
        <v>1451</v>
      </c>
      <c r="S1029" s="13">
        <v>268</v>
      </c>
      <c r="T1029" s="13">
        <v>187.6</v>
      </c>
      <c r="U1029" s="13">
        <v>187.6</v>
      </c>
      <c r="V1029" s="6" t="s">
        <v>77</v>
      </c>
      <c r="W1029" s="15"/>
      <c r="X1029" s="15"/>
      <c r="Y1029" s="16"/>
      <c r="Z1029" s="17"/>
      <c r="AA1029" s="16"/>
      <c r="AB1029" s="24">
        <v>243.88</v>
      </c>
      <c r="AC1029" s="20">
        <v>30.276039603960374</v>
      </c>
      <c r="AD1029" s="21">
        <v>46086</v>
      </c>
      <c r="AE1029" s="22">
        <v>664555.58485907549</v>
      </c>
      <c r="AF1029" s="23">
        <v>506803.51593333378</v>
      </c>
      <c r="AG1029" s="24">
        <v>606559.63593333389</v>
      </c>
      <c r="AH1029" s="15">
        <v>0.5</v>
      </c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  <c r="BN1029" s="25"/>
      <c r="BO1029" s="25"/>
      <c r="BP1029" s="25"/>
    </row>
    <row r="1030" spans="1:68" ht="15" customHeight="1" x14ac:dyDescent="0.25">
      <c r="A1030" s="1">
        <f t="shared" si="67"/>
        <v>548</v>
      </c>
      <c r="B1030" s="1" t="str">
        <f t="shared" si="64"/>
        <v xml:space="preserve">Colgate </v>
      </c>
      <c r="C1030" s="1">
        <f t="shared" si="65"/>
        <v>0</v>
      </c>
      <c r="D1030" s="2" t="str">
        <f t="shared" si="66"/>
        <v>2026-03</v>
      </c>
      <c r="E1030" s="3" t="s">
        <v>1452</v>
      </c>
      <c r="F1030" s="4" t="s">
        <v>1445</v>
      </c>
      <c r="G1030" s="5">
        <v>46086</v>
      </c>
      <c r="H1030" s="4">
        <v>-115</v>
      </c>
      <c r="I1030" s="4">
        <v>115</v>
      </c>
      <c r="J1030" s="7">
        <v>-100</v>
      </c>
      <c r="K1030" s="8">
        <v>6.976744186046524E-2</v>
      </c>
      <c r="L1030" s="9">
        <v>3.488372093023262E-2</v>
      </c>
      <c r="M1030" s="10">
        <v>-115.00000000000001</v>
      </c>
      <c r="N1030" s="11">
        <v>2</v>
      </c>
      <c r="O1030" s="12">
        <v>21167.564509302381</v>
      </c>
      <c r="P1030" s="13" t="s">
        <v>506</v>
      </c>
      <c r="Q1030" s="13" t="s">
        <v>76</v>
      </c>
      <c r="R1030" s="14" t="s">
        <v>1451</v>
      </c>
      <c r="S1030" s="13">
        <v>268</v>
      </c>
      <c r="T1030" s="13">
        <v>187.6</v>
      </c>
      <c r="U1030" s="13">
        <v>187.6</v>
      </c>
      <c r="V1030" s="6" t="s">
        <v>77</v>
      </c>
      <c r="W1030" s="15"/>
      <c r="X1030" s="15"/>
      <c r="Y1030" s="16"/>
      <c r="Z1030" s="17"/>
      <c r="AA1030" s="16"/>
      <c r="AB1030" s="24">
        <v>187.6</v>
      </c>
      <c r="AC1030" s="20">
        <v>13.088372093023279</v>
      </c>
      <c r="AD1030" s="21">
        <v>46086</v>
      </c>
      <c r="AE1030" s="22">
        <v>664568.67323116853</v>
      </c>
      <c r="AF1030" s="23">
        <v>506991.11593333376</v>
      </c>
      <c r="AG1030" s="24">
        <v>606803.5159333339</v>
      </c>
      <c r="AH1030" s="15">
        <v>0.5</v>
      </c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5"/>
      <c r="BO1030" s="25"/>
      <c r="BP1030" s="25"/>
    </row>
    <row r="1031" spans="1:68" ht="15" customHeight="1" x14ac:dyDescent="0.25">
      <c r="A1031" s="1">
        <f t="shared" si="67"/>
        <v>548</v>
      </c>
      <c r="B1031" s="1" t="str">
        <f t="shared" si="64"/>
        <v xml:space="preserve">Colgate </v>
      </c>
      <c r="C1031" s="1">
        <f t="shared" si="65"/>
        <v>0</v>
      </c>
      <c r="D1031" s="2" t="str">
        <f t="shared" si="66"/>
        <v>2026-03</v>
      </c>
      <c r="E1031" s="3" t="s">
        <v>1450</v>
      </c>
      <c r="F1031" s="4" t="s">
        <v>1445</v>
      </c>
      <c r="G1031" s="5">
        <v>46086</v>
      </c>
      <c r="H1031" s="4">
        <v>105</v>
      </c>
      <c r="I1031" s="4">
        <v>-105</v>
      </c>
      <c r="J1031" s="7">
        <v>133</v>
      </c>
      <c r="K1031" s="8">
        <v>0.1365853658536586</v>
      </c>
      <c r="L1031" s="9">
        <v>5.8620328692557344E-2</v>
      </c>
      <c r="M1031" s="10">
        <v>104.99999999999997</v>
      </c>
      <c r="N1031" s="11">
        <v>2.33</v>
      </c>
      <c r="O1031" s="12">
        <v>31167.708135216133</v>
      </c>
      <c r="P1031" s="13" t="s">
        <v>506</v>
      </c>
      <c r="Q1031" s="13" t="s">
        <v>76</v>
      </c>
      <c r="R1031" s="14" t="s">
        <v>1451</v>
      </c>
      <c r="S1031" s="13">
        <v>262</v>
      </c>
      <c r="T1031" s="13">
        <v>183.39999999999998</v>
      </c>
      <c r="U1031" s="13">
        <v>183.39999999999998</v>
      </c>
      <c r="V1031" s="130" t="s">
        <v>77</v>
      </c>
      <c r="W1031" s="15"/>
      <c r="X1031" s="15"/>
      <c r="Y1031" s="16"/>
      <c r="Z1031" s="17"/>
      <c r="AA1031" s="16"/>
      <c r="AB1031" s="24">
        <v>243.92</v>
      </c>
      <c r="AC1031" s="20">
        <v>25.049756097560984</v>
      </c>
      <c r="AD1031" s="21">
        <v>46086</v>
      </c>
      <c r="AE1031" s="22">
        <v>664593.72298726614</v>
      </c>
      <c r="AF1031" s="23">
        <v>507235.03593333374</v>
      </c>
      <c r="AG1031" s="24">
        <v>606991.11593333387</v>
      </c>
      <c r="AH1031" s="15">
        <v>0.5</v>
      </c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  <c r="BN1031" s="25"/>
      <c r="BO1031" s="25"/>
      <c r="BP1031" s="25"/>
    </row>
    <row r="1032" spans="1:68" ht="15" customHeight="1" x14ac:dyDescent="0.25">
      <c r="A1032" s="1">
        <f t="shared" si="67"/>
        <v>548</v>
      </c>
      <c r="B1032" s="1" t="str">
        <f t="shared" si="64"/>
        <v xml:space="preserve">Colgate </v>
      </c>
      <c r="C1032" s="1">
        <f t="shared" si="65"/>
        <v>0</v>
      </c>
      <c r="D1032" s="2" t="str">
        <f t="shared" si="66"/>
        <v>2026-03</v>
      </c>
      <c r="E1032" s="3" t="s">
        <v>1450</v>
      </c>
      <c r="F1032" s="4" t="s">
        <v>1445</v>
      </c>
      <c r="G1032" s="5">
        <v>46086</v>
      </c>
      <c r="H1032" s="4">
        <v>-104</v>
      </c>
      <c r="I1032" s="4">
        <v>104</v>
      </c>
      <c r="J1032" s="7">
        <v>140</v>
      </c>
      <c r="K1032" s="8">
        <v>0.22352941176470575</v>
      </c>
      <c r="L1032" s="9">
        <v>9.3137254901960731E-2</v>
      </c>
      <c r="M1032" s="10">
        <v>-103.99999999999999</v>
      </c>
      <c r="N1032" s="11">
        <v>2.4</v>
      </c>
      <c r="O1032" s="12">
        <v>48476.746566106471</v>
      </c>
      <c r="P1032" s="13" t="s">
        <v>506</v>
      </c>
      <c r="Q1032" s="13" t="s">
        <v>76</v>
      </c>
      <c r="R1032" s="14" t="s">
        <v>1451</v>
      </c>
      <c r="S1032" s="13">
        <v>248</v>
      </c>
      <c r="T1032" s="13">
        <v>173.6</v>
      </c>
      <c r="U1032" s="13">
        <v>173.6</v>
      </c>
      <c r="V1032" s="6" t="s">
        <v>77</v>
      </c>
      <c r="W1032" s="15"/>
      <c r="X1032" s="15"/>
      <c r="Y1032" s="16"/>
      <c r="Z1032" s="17"/>
      <c r="AA1032" s="16"/>
      <c r="AB1032" s="24">
        <v>243.04</v>
      </c>
      <c r="AC1032" s="20">
        <v>38.80470588235292</v>
      </c>
      <c r="AD1032" s="21">
        <v>46086</v>
      </c>
      <c r="AE1032" s="22">
        <v>664632.52769314847</v>
      </c>
      <c r="AF1032" s="23">
        <v>507478.07593333372</v>
      </c>
      <c r="AG1032" s="24">
        <v>607235.03593333391</v>
      </c>
      <c r="AH1032" s="15">
        <v>0.5</v>
      </c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5"/>
      <c r="BO1032" s="25"/>
      <c r="BP1032" s="25"/>
    </row>
    <row r="1033" spans="1:68" ht="15" customHeight="1" x14ac:dyDescent="0.25">
      <c r="A1033" s="1">
        <f t="shared" si="67"/>
        <v>549</v>
      </c>
      <c r="B1033" s="1" t="str">
        <f t="shared" si="64"/>
        <v xml:space="preserve">Denver </v>
      </c>
      <c r="C1033" s="1">
        <f t="shared" si="65"/>
        <v>0</v>
      </c>
      <c r="D1033" s="2" t="str">
        <f t="shared" si="66"/>
        <v>2026-03</v>
      </c>
      <c r="E1033" s="3" t="s">
        <v>1453</v>
      </c>
      <c r="F1033" s="4" t="s">
        <v>1445</v>
      </c>
      <c r="G1033" s="39">
        <v>46086</v>
      </c>
      <c r="H1033" s="40">
        <v>-170</v>
      </c>
      <c r="I1033" s="40">
        <v>170</v>
      </c>
      <c r="J1033" s="7">
        <v>-137</v>
      </c>
      <c r="K1033" s="8">
        <v>8.9213300892132766E-2</v>
      </c>
      <c r="L1033" s="9">
        <v>5.1570557899671687E-2</v>
      </c>
      <c r="M1033" s="10">
        <v>-170</v>
      </c>
      <c r="N1033" s="11">
        <v>1.7299270072992701</v>
      </c>
      <c r="O1033" s="12">
        <v>37044.737640370302</v>
      </c>
      <c r="P1033" s="32" t="s">
        <v>506</v>
      </c>
      <c r="Q1033" s="32" t="s">
        <v>81</v>
      </c>
      <c r="R1033" s="33" t="s">
        <v>530</v>
      </c>
      <c r="S1033" s="32">
        <v>2387</v>
      </c>
      <c r="T1033" s="32">
        <v>1670.8999999999999</v>
      </c>
      <c r="U1033" s="32">
        <v>1670.8999999999999</v>
      </c>
      <c r="V1033" s="40" t="s">
        <v>77</v>
      </c>
      <c r="W1033" s="15"/>
      <c r="X1033" s="15"/>
      <c r="Y1033" s="16"/>
      <c r="Z1033" s="17"/>
      <c r="AA1033" s="16"/>
      <c r="AB1033" s="24">
        <v>1219.6400000000001</v>
      </c>
      <c r="AC1033" s="20">
        <v>149.06650446066462</v>
      </c>
      <c r="AD1033" s="21">
        <v>46086</v>
      </c>
      <c r="AE1033" s="22">
        <v>666346.68401257927</v>
      </c>
      <c r="AF1033" s="23">
        <v>507406.25593333365</v>
      </c>
      <c r="AG1033" s="24">
        <v>606186.61593333387</v>
      </c>
      <c r="AH1033" s="15">
        <v>0.5</v>
      </c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  <c r="BN1033" s="25"/>
      <c r="BO1033" s="25"/>
      <c r="BP1033" s="25"/>
    </row>
    <row r="1034" spans="1:68" ht="15" customHeight="1" x14ac:dyDescent="0.25">
      <c r="A1034" s="1">
        <f t="shared" si="67"/>
        <v>550</v>
      </c>
      <c r="B1034" s="1" t="str">
        <f t="shared" si="64"/>
        <v xml:space="preserve">East </v>
      </c>
      <c r="C1034" s="1">
        <f t="shared" si="65"/>
        <v>0</v>
      </c>
      <c r="D1034" s="2" t="str">
        <f t="shared" si="66"/>
        <v>2026-03</v>
      </c>
      <c r="E1034" s="28" t="s">
        <v>1454</v>
      </c>
      <c r="F1034" s="29" t="s">
        <v>1445</v>
      </c>
      <c r="G1034" s="102">
        <v>46086</v>
      </c>
      <c r="H1034" s="6">
        <v>-114</v>
      </c>
      <c r="I1034" s="6">
        <v>114</v>
      </c>
      <c r="J1034" s="30">
        <v>123</v>
      </c>
      <c r="K1034" s="8">
        <v>0.1879439252336447</v>
      </c>
      <c r="L1034" s="9">
        <v>8.4279787100289105E-2</v>
      </c>
      <c r="M1034" s="10">
        <v>-113.99999999999999</v>
      </c>
      <c r="N1034" s="11">
        <v>2.23</v>
      </c>
      <c r="O1034" s="12">
        <v>46540.540906919443</v>
      </c>
      <c r="P1034" s="13" t="s">
        <v>506</v>
      </c>
      <c r="Q1034" s="13" t="s">
        <v>76</v>
      </c>
      <c r="R1034" s="14" t="s">
        <v>1455</v>
      </c>
      <c r="S1034" s="13">
        <v>283</v>
      </c>
      <c r="T1034" s="13">
        <v>198.1</v>
      </c>
      <c r="U1034" s="13">
        <v>198.1</v>
      </c>
      <c r="V1034" s="6" t="s">
        <v>82</v>
      </c>
      <c r="W1034" s="15"/>
      <c r="X1034" s="15"/>
      <c r="Y1034" s="16"/>
      <c r="Z1034" s="17"/>
      <c r="AA1034" s="16"/>
      <c r="AB1034" s="24">
        <v>-198.1</v>
      </c>
      <c r="AC1034" s="20">
        <v>37.231691588785012</v>
      </c>
      <c r="AD1034" s="21">
        <v>46086</v>
      </c>
      <c r="AE1034" s="22">
        <v>664996.58262372296</v>
      </c>
      <c r="AF1034" s="23">
        <v>508971.52593333373</v>
      </c>
      <c r="AG1034" s="24">
        <v>609169.625933334</v>
      </c>
      <c r="AH1034" s="15">
        <v>0.5</v>
      </c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5"/>
      <c r="BO1034" s="25"/>
      <c r="BP1034" s="25"/>
    </row>
    <row r="1035" spans="1:68" ht="15" customHeight="1" x14ac:dyDescent="0.25">
      <c r="A1035" s="1">
        <f t="shared" si="67"/>
        <v>551</v>
      </c>
      <c r="B1035" s="1" t="str">
        <f t="shared" si="64"/>
        <v xml:space="preserve">Evansville </v>
      </c>
      <c r="C1035" s="1">
        <f t="shared" si="65"/>
        <v>1</v>
      </c>
      <c r="D1035" s="2" t="str">
        <f t="shared" si="66"/>
        <v>2026-03</v>
      </c>
      <c r="E1035" s="3" t="s">
        <v>1456</v>
      </c>
      <c r="F1035" s="4" t="s">
        <v>1445</v>
      </c>
      <c r="G1035" s="39">
        <v>46086</v>
      </c>
      <c r="H1035" s="40">
        <v>118</v>
      </c>
      <c r="I1035" s="40">
        <v>-118</v>
      </c>
      <c r="J1035" s="7">
        <v>118</v>
      </c>
      <c r="K1035" s="8">
        <v>0</v>
      </c>
      <c r="L1035" s="9">
        <v>0</v>
      </c>
      <c r="M1035" s="10">
        <v>117.99999999999996</v>
      </c>
      <c r="N1035" s="11">
        <v>2.1799999999999997</v>
      </c>
      <c r="O1035" s="12">
        <v>0</v>
      </c>
      <c r="P1035" s="13" t="s">
        <v>506</v>
      </c>
      <c r="Q1035" s="13" t="s">
        <v>92</v>
      </c>
      <c r="R1035" s="14" t="s">
        <v>1457</v>
      </c>
      <c r="S1035" s="13">
        <v>557</v>
      </c>
      <c r="T1035" s="13">
        <v>389.9</v>
      </c>
      <c r="U1035" s="32">
        <v>389.9</v>
      </c>
      <c r="V1035" s="6" t="s">
        <v>82</v>
      </c>
      <c r="W1035" s="15"/>
      <c r="X1035" s="15"/>
      <c r="Y1035" s="16"/>
      <c r="Z1035" s="17"/>
      <c r="AA1035" s="16"/>
      <c r="AB1035" s="24">
        <v>-389.9</v>
      </c>
      <c r="AC1035" s="20">
        <v>0</v>
      </c>
      <c r="AD1035" s="21">
        <v>46086</v>
      </c>
      <c r="AE1035" s="22">
        <v>665865.88154273748</v>
      </c>
      <c r="AF1035" s="23">
        <v>507950.9959333337</v>
      </c>
      <c r="AG1035" s="24">
        <v>608340.89593333402</v>
      </c>
      <c r="AH1035" s="15">
        <v>0.5</v>
      </c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  <c r="BN1035" s="25"/>
      <c r="BO1035" s="25"/>
      <c r="BP1035" s="25"/>
    </row>
    <row r="1036" spans="1:68" ht="15" customHeight="1" x14ac:dyDescent="0.25">
      <c r="A1036" s="1">
        <f t="shared" si="67"/>
        <v>552</v>
      </c>
      <c r="B1036" s="1" t="str">
        <f t="shared" si="64"/>
        <v xml:space="preserve">Jacksonville </v>
      </c>
      <c r="C1036" s="1">
        <f t="shared" si="65"/>
        <v>0</v>
      </c>
      <c r="D1036" s="2" t="str">
        <f t="shared" si="66"/>
        <v>2026-03</v>
      </c>
      <c r="E1036" s="3" t="s">
        <v>1458</v>
      </c>
      <c r="F1036" s="4" t="s">
        <v>1445</v>
      </c>
      <c r="G1036" s="5">
        <v>46086</v>
      </c>
      <c r="H1036" s="40">
        <v>-108</v>
      </c>
      <c r="I1036" s="40">
        <v>108</v>
      </c>
      <c r="J1036" s="7">
        <v>115</v>
      </c>
      <c r="K1036" s="8">
        <v>0.11634615384615396</v>
      </c>
      <c r="L1036" s="9">
        <v>5.4114490161001838E-2</v>
      </c>
      <c r="M1036" s="10">
        <v>-108.00000000000001</v>
      </c>
      <c r="N1036" s="11">
        <v>2.15</v>
      </c>
      <c r="O1036" s="12">
        <v>30770.246679738088</v>
      </c>
      <c r="P1036" s="13" t="s">
        <v>506</v>
      </c>
      <c r="Q1036" s="13" t="s">
        <v>76</v>
      </c>
      <c r="R1036" s="14" t="s">
        <v>1459</v>
      </c>
      <c r="S1036" s="13">
        <v>202</v>
      </c>
      <c r="T1036" s="13">
        <v>141.39999999999998</v>
      </c>
      <c r="U1036" s="13">
        <v>141.39999999999998</v>
      </c>
      <c r="V1036" s="6" t="s">
        <v>82</v>
      </c>
      <c r="W1036" s="15"/>
      <c r="X1036" s="15"/>
      <c r="Y1036" s="16"/>
      <c r="Z1036" s="17"/>
      <c r="AA1036" s="16"/>
      <c r="AB1036" s="24">
        <v>-141.39999999999998</v>
      </c>
      <c r="AC1036" s="20">
        <v>16.451346153846167</v>
      </c>
      <c r="AD1036" s="21">
        <v>46086</v>
      </c>
      <c r="AE1036" s="22">
        <v>665832.60048025299</v>
      </c>
      <c r="AF1036" s="23">
        <v>508143.14593333373</v>
      </c>
      <c r="AG1036" s="24">
        <v>608284.54593333404</v>
      </c>
      <c r="AH1036" s="15">
        <v>0.5</v>
      </c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  <c r="BN1036" s="25"/>
      <c r="BO1036" s="25"/>
      <c r="BP1036" s="25"/>
    </row>
    <row r="1037" spans="1:68" ht="15" customHeight="1" x14ac:dyDescent="0.25">
      <c r="A1037" s="1">
        <f t="shared" si="67"/>
        <v>553</v>
      </c>
      <c r="B1037" s="1" t="str">
        <f t="shared" si="64"/>
        <v xml:space="preserve">Loyola </v>
      </c>
      <c r="C1037" s="1">
        <f t="shared" si="65"/>
        <v>0</v>
      </c>
      <c r="D1037" s="2" t="str">
        <f t="shared" si="66"/>
        <v>2026-03</v>
      </c>
      <c r="E1037" s="3" t="s">
        <v>1460</v>
      </c>
      <c r="F1037" s="4" t="s">
        <v>1445</v>
      </c>
      <c r="G1037" s="39">
        <v>46086</v>
      </c>
      <c r="H1037" s="40">
        <v>266</v>
      </c>
      <c r="I1037" s="40">
        <v>-266</v>
      </c>
      <c r="J1037" s="7">
        <v>310</v>
      </c>
      <c r="K1037" s="8">
        <v>0.12021857923497245</v>
      </c>
      <c r="L1037" s="9">
        <v>2.9321604691456699E-2</v>
      </c>
      <c r="M1037" s="10">
        <v>266</v>
      </c>
      <c r="N1037" s="11">
        <v>4.0999999999999996</v>
      </c>
      <c r="O1037" s="12">
        <v>11777.664049474108</v>
      </c>
      <c r="P1037" s="32" t="s">
        <v>506</v>
      </c>
      <c r="Q1037" s="32" t="s">
        <v>81</v>
      </c>
      <c r="R1037" s="33" t="s">
        <v>1190</v>
      </c>
      <c r="S1037" s="32">
        <v>374</v>
      </c>
      <c r="T1037" s="32">
        <v>261.8</v>
      </c>
      <c r="U1037" s="32">
        <v>261.8</v>
      </c>
      <c r="V1037" s="40" t="s">
        <v>82</v>
      </c>
      <c r="W1037" s="15"/>
      <c r="X1037" s="15"/>
      <c r="Y1037" s="16"/>
      <c r="Z1037" s="17"/>
      <c r="AA1037" s="16"/>
      <c r="AB1037" s="24">
        <v>-261.8</v>
      </c>
      <c r="AC1037" s="20">
        <v>31.473224043715788</v>
      </c>
      <c r="AD1037" s="21">
        <v>46086</v>
      </c>
      <c r="AE1037" s="22">
        <v>666378.157236623</v>
      </c>
      <c r="AF1037" s="23">
        <v>507144.45593333367</v>
      </c>
      <c r="AG1037" s="24">
        <v>607406.25593333389</v>
      </c>
      <c r="AH1037" s="15">
        <v>0.5</v>
      </c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25"/>
      <c r="AY1037" s="25"/>
      <c r="AZ1037" s="25"/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5"/>
      <c r="BL1037" s="25"/>
      <c r="BM1037" s="25"/>
      <c r="BN1037" s="25"/>
      <c r="BO1037" s="25"/>
      <c r="BP1037" s="25"/>
    </row>
    <row r="1038" spans="1:68" ht="15" customHeight="1" x14ac:dyDescent="0.25">
      <c r="A1038" s="1">
        <f t="shared" si="67"/>
        <v>553</v>
      </c>
      <c r="B1038" s="1" t="str">
        <f t="shared" si="64"/>
        <v xml:space="preserve">Loyola </v>
      </c>
      <c r="C1038" s="1">
        <f t="shared" si="65"/>
        <v>0</v>
      </c>
      <c r="D1038" s="2" t="str">
        <f t="shared" si="66"/>
        <v>2026-03</v>
      </c>
      <c r="E1038" s="3" t="s">
        <v>1460</v>
      </c>
      <c r="F1038" s="4" t="s">
        <v>1445</v>
      </c>
      <c r="G1038" s="39">
        <v>46086</v>
      </c>
      <c r="H1038" s="40">
        <v>265</v>
      </c>
      <c r="I1038" s="40">
        <v>-265</v>
      </c>
      <c r="J1038" s="7">
        <v>320</v>
      </c>
      <c r="K1038" s="8">
        <v>0.15068493150684931</v>
      </c>
      <c r="L1038" s="9">
        <v>3.587736464448793E-2</v>
      </c>
      <c r="M1038" s="10">
        <v>265</v>
      </c>
      <c r="N1038" s="11">
        <v>4.2</v>
      </c>
      <c r="O1038" s="12">
        <v>14294.925118293389</v>
      </c>
      <c r="P1038" s="13" t="s">
        <v>506</v>
      </c>
      <c r="Q1038" s="13" t="s">
        <v>81</v>
      </c>
      <c r="R1038" s="14" t="s">
        <v>1190</v>
      </c>
      <c r="S1038" s="13">
        <v>363</v>
      </c>
      <c r="T1038" s="13">
        <v>254.1</v>
      </c>
      <c r="U1038" s="32">
        <v>254.1</v>
      </c>
      <c r="V1038" s="6" t="s">
        <v>82</v>
      </c>
      <c r="W1038" s="15"/>
      <c r="X1038" s="15"/>
      <c r="Y1038" s="16"/>
      <c r="Z1038" s="17"/>
      <c r="AA1038" s="16"/>
      <c r="AB1038" s="24">
        <v>-254.1</v>
      </c>
      <c r="AC1038" s="20">
        <v>38.289041095890411</v>
      </c>
      <c r="AD1038" s="21">
        <v>46086</v>
      </c>
      <c r="AE1038" s="22">
        <v>666416.44627771887</v>
      </c>
      <c r="AF1038" s="23">
        <v>506890.35593333369</v>
      </c>
      <c r="AG1038" s="24">
        <v>607144.45593333384</v>
      </c>
      <c r="AH1038" s="15">
        <v>0.5</v>
      </c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  <c r="BN1038" s="25"/>
      <c r="BO1038" s="25"/>
      <c r="BP1038" s="25"/>
    </row>
    <row r="1039" spans="1:68" ht="15" customHeight="1" x14ac:dyDescent="0.25">
      <c r="A1039" s="1">
        <f t="shared" si="67"/>
        <v>554</v>
      </c>
      <c r="B1039" s="1" t="str">
        <f t="shared" si="64"/>
        <v xml:space="preserve">Middle </v>
      </c>
      <c r="C1039" s="1">
        <f t="shared" si="65"/>
        <v>1</v>
      </c>
      <c r="D1039" s="2" t="str">
        <f t="shared" si="66"/>
        <v>2026-03</v>
      </c>
      <c r="E1039" s="28" t="s">
        <v>1461</v>
      </c>
      <c r="F1039" s="29" t="s">
        <v>1445</v>
      </c>
      <c r="G1039" s="102">
        <v>46086</v>
      </c>
      <c r="H1039" s="6">
        <v>106</v>
      </c>
      <c r="I1039" s="6">
        <v>-106</v>
      </c>
      <c r="J1039" s="30">
        <v>135</v>
      </c>
      <c r="K1039" s="8">
        <v>0.14077669902912648</v>
      </c>
      <c r="L1039" s="9">
        <v>5.9904978310266588E-2</v>
      </c>
      <c r="M1039" s="10">
        <v>105.99999999999999</v>
      </c>
      <c r="N1039" s="11">
        <v>2.35</v>
      </c>
      <c r="O1039" s="12">
        <v>31751.48193467587</v>
      </c>
      <c r="P1039" s="13" t="s">
        <v>506</v>
      </c>
      <c r="Q1039" s="13" t="s">
        <v>92</v>
      </c>
      <c r="R1039" s="14" t="s">
        <v>1261</v>
      </c>
      <c r="S1039" s="13">
        <v>258</v>
      </c>
      <c r="T1039" s="13">
        <v>180.6</v>
      </c>
      <c r="U1039" s="13">
        <v>180.6</v>
      </c>
      <c r="V1039" s="6" t="s">
        <v>82</v>
      </c>
      <c r="W1039" s="15"/>
      <c r="X1039" s="15"/>
      <c r="Y1039" s="16"/>
      <c r="Z1039" s="17"/>
      <c r="AA1039" s="16"/>
      <c r="AB1039" s="24">
        <v>-180.6</v>
      </c>
      <c r="AC1039" s="20">
        <v>25.424271844660243</v>
      </c>
      <c r="AD1039" s="21">
        <v>46086</v>
      </c>
      <c r="AE1039" s="22">
        <v>665022.00689556764</v>
      </c>
      <c r="AF1039" s="23">
        <v>508790.92593333375</v>
      </c>
      <c r="AG1039" s="24">
        <v>608971.52593333402</v>
      </c>
      <c r="AH1039" s="15">
        <v>0.5</v>
      </c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25"/>
      <c r="AY1039" s="25"/>
      <c r="AZ1039" s="25"/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5"/>
      <c r="BL1039" s="25"/>
      <c r="BM1039" s="25"/>
      <c r="BN1039" s="25"/>
      <c r="BO1039" s="25"/>
      <c r="BP1039" s="25"/>
    </row>
    <row r="1040" spans="1:68" ht="15" customHeight="1" x14ac:dyDescent="0.25">
      <c r="A1040" s="1">
        <f t="shared" si="67"/>
        <v>555</v>
      </c>
      <c r="B1040" s="1" t="str">
        <f t="shared" si="64"/>
        <v xml:space="preserve">Missouri </v>
      </c>
      <c r="C1040" s="1">
        <f t="shared" si="65"/>
        <v>0</v>
      </c>
      <c r="D1040" s="2" t="str">
        <f t="shared" si="66"/>
        <v>2026-03</v>
      </c>
      <c r="E1040" s="3" t="s">
        <v>1462</v>
      </c>
      <c r="F1040" s="4" t="s">
        <v>1445</v>
      </c>
      <c r="G1040" s="5">
        <v>46086</v>
      </c>
      <c r="H1040" s="4">
        <v>110</v>
      </c>
      <c r="I1040" s="4">
        <v>-110</v>
      </c>
      <c r="J1040" s="7">
        <v>138</v>
      </c>
      <c r="K1040" s="8">
        <v>0.13333333333333325</v>
      </c>
      <c r="L1040" s="9">
        <v>5.6022408963585402E-2</v>
      </c>
      <c r="M1040" s="10">
        <v>110.00000000000001</v>
      </c>
      <c r="N1040" s="11">
        <v>2.38</v>
      </c>
      <c r="O1040" s="12">
        <v>29425.246180354279</v>
      </c>
      <c r="P1040" s="13" t="s">
        <v>506</v>
      </c>
      <c r="Q1040" s="13" t="s">
        <v>76</v>
      </c>
      <c r="R1040" s="14" t="s">
        <v>1430</v>
      </c>
      <c r="S1040" s="13">
        <v>252</v>
      </c>
      <c r="T1040" s="13">
        <v>176.39999999999998</v>
      </c>
      <c r="U1040" s="13">
        <v>176.39999999999998</v>
      </c>
      <c r="V1040" s="6" t="s">
        <v>77</v>
      </c>
      <c r="W1040" s="15"/>
      <c r="X1040" s="15"/>
      <c r="Y1040" s="16"/>
      <c r="Z1040" s="17"/>
      <c r="AA1040" s="16"/>
      <c r="AB1040" s="24">
        <v>243.43</v>
      </c>
      <c r="AC1040" s="20">
        <v>23.519999999999982</v>
      </c>
      <c r="AD1040" s="21">
        <v>46086</v>
      </c>
      <c r="AE1040" s="22">
        <v>664932.93354082981</v>
      </c>
      <c r="AF1040" s="23">
        <v>509346.02593333373</v>
      </c>
      <c r="AG1040" s="24">
        <v>609102.59593333397</v>
      </c>
      <c r="AH1040" s="15">
        <v>0.5</v>
      </c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  <c r="BN1040" s="25"/>
      <c r="BO1040" s="25"/>
      <c r="BP1040" s="25"/>
    </row>
    <row r="1041" spans="1:68" ht="15" customHeight="1" x14ac:dyDescent="0.25">
      <c r="A1041" s="1">
        <f t="shared" si="67"/>
        <v>556</v>
      </c>
      <c r="B1041" s="1" t="str">
        <f t="shared" si="64"/>
        <v xml:space="preserve">Navy </v>
      </c>
      <c r="C1041" s="1">
        <f t="shared" si="65"/>
        <v>0</v>
      </c>
      <c r="D1041" s="2" t="str">
        <f t="shared" si="66"/>
        <v>2026-03</v>
      </c>
      <c r="E1041" s="3" t="s">
        <v>1463</v>
      </c>
      <c r="F1041" s="4" t="s">
        <v>1445</v>
      </c>
      <c r="G1041" s="5">
        <v>46086</v>
      </c>
      <c r="H1041" s="4">
        <v>-230</v>
      </c>
      <c r="I1041" s="4">
        <v>230</v>
      </c>
      <c r="J1041" s="7">
        <v>-132</v>
      </c>
      <c r="K1041" s="8">
        <v>0.22497704315886136</v>
      </c>
      <c r="L1041" s="9">
        <v>0.12800417972831768</v>
      </c>
      <c r="M1041" s="10">
        <v>-230.00000000000006</v>
      </c>
      <c r="N1041" s="11">
        <v>1.7575757575757576</v>
      </c>
      <c r="O1041" s="12">
        <v>90382.348032525348</v>
      </c>
      <c r="P1041" s="13" t="s">
        <v>506</v>
      </c>
      <c r="Q1041" s="13" t="s">
        <v>81</v>
      </c>
      <c r="R1041" s="14" t="s">
        <v>482</v>
      </c>
      <c r="S1041" s="13">
        <v>764</v>
      </c>
      <c r="T1041" s="13">
        <v>534.79999999999995</v>
      </c>
      <c r="U1041" s="13">
        <v>534.79999999999995</v>
      </c>
      <c r="V1041" s="6" t="s">
        <v>77</v>
      </c>
      <c r="W1041" s="15"/>
      <c r="X1041" s="15"/>
      <c r="Y1041" s="16"/>
      <c r="Z1041" s="17"/>
      <c r="AA1041" s="16"/>
      <c r="AB1041" s="24">
        <v>405.15</v>
      </c>
      <c r="AC1041" s="20">
        <v>120.31772268135904</v>
      </c>
      <c r="AD1041" s="21">
        <v>46086</v>
      </c>
      <c r="AE1041" s="22">
        <v>664909.41354082979</v>
      </c>
      <c r="AF1041" s="23">
        <v>509102.59593333374</v>
      </c>
      <c r="AG1041" s="24">
        <v>608697.44593333395</v>
      </c>
      <c r="AH1041" s="15">
        <v>0.5</v>
      </c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25"/>
      <c r="AY1041" s="25"/>
      <c r="AZ1041" s="25"/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5"/>
      <c r="BL1041" s="25"/>
      <c r="BM1041" s="25"/>
      <c r="BN1041" s="25"/>
      <c r="BO1041" s="25"/>
      <c r="BP1041" s="25"/>
    </row>
    <row r="1042" spans="1:68" ht="15" customHeight="1" x14ac:dyDescent="0.25">
      <c r="A1042" s="1">
        <f t="shared" si="67"/>
        <v>556</v>
      </c>
      <c r="B1042" s="1" t="str">
        <f t="shared" si="64"/>
        <v xml:space="preserve">Navy </v>
      </c>
      <c r="C1042" s="1">
        <f t="shared" si="65"/>
        <v>0</v>
      </c>
      <c r="D1042" s="2" t="str">
        <f t="shared" si="66"/>
        <v>2026-03</v>
      </c>
      <c r="E1042" s="28" t="s">
        <v>1464</v>
      </c>
      <c r="F1042" s="29" t="s">
        <v>1445</v>
      </c>
      <c r="G1042" s="102">
        <v>46086</v>
      </c>
      <c r="H1042" s="6">
        <v>107</v>
      </c>
      <c r="I1042" s="6">
        <v>-107</v>
      </c>
      <c r="J1042" s="30">
        <v>138</v>
      </c>
      <c r="K1042" s="8">
        <v>0.14975845410628</v>
      </c>
      <c r="L1042" s="9">
        <v>6.2923720212722689E-2</v>
      </c>
      <c r="M1042" s="10">
        <v>107</v>
      </c>
      <c r="N1042" s="11">
        <v>2.38</v>
      </c>
      <c r="O1042" s="12">
        <v>33063.303934630909</v>
      </c>
      <c r="P1042" s="13" t="s">
        <v>506</v>
      </c>
      <c r="Q1042" s="13" t="s">
        <v>76</v>
      </c>
      <c r="R1042" s="14" t="s">
        <v>482</v>
      </c>
      <c r="S1042" s="13">
        <v>252</v>
      </c>
      <c r="T1042" s="13">
        <v>176.39999999999998</v>
      </c>
      <c r="U1042" s="13">
        <v>176.39999999999998</v>
      </c>
      <c r="V1042" s="6" t="s">
        <v>82</v>
      </c>
      <c r="W1042" s="15"/>
      <c r="X1042" s="15"/>
      <c r="Y1042" s="16"/>
      <c r="Z1042" s="17"/>
      <c r="AA1042" s="16"/>
      <c r="AB1042" s="24">
        <v>-176.39999999999998</v>
      </c>
      <c r="AC1042" s="20">
        <v>26.417391304347788</v>
      </c>
      <c r="AD1042" s="21">
        <v>46086</v>
      </c>
      <c r="AE1042" s="22">
        <v>664959.3509321342</v>
      </c>
      <c r="AF1042" s="23">
        <v>509169.62593333371</v>
      </c>
      <c r="AG1042" s="24">
        <v>609346.02593333402</v>
      </c>
      <c r="AH1042" s="15">
        <v>0.5</v>
      </c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5"/>
      <c r="BO1042" s="25"/>
      <c r="BP1042" s="25"/>
    </row>
    <row r="1043" spans="1:68" ht="15" customHeight="1" x14ac:dyDescent="0.25">
      <c r="A1043" s="1">
        <f t="shared" si="67"/>
        <v>557</v>
      </c>
      <c r="B1043" s="1" t="str">
        <f t="shared" si="64"/>
        <v xml:space="preserve">New </v>
      </c>
      <c r="C1043" s="1">
        <f t="shared" si="65"/>
        <v>0</v>
      </c>
      <c r="D1043" s="2" t="str">
        <f t="shared" si="66"/>
        <v>2026-03</v>
      </c>
      <c r="E1043" s="3" t="s">
        <v>1465</v>
      </c>
      <c r="F1043" s="4" t="s">
        <v>1445</v>
      </c>
      <c r="G1043" s="39">
        <v>46086</v>
      </c>
      <c r="H1043" s="40">
        <v>108</v>
      </c>
      <c r="I1043" s="40">
        <v>-143</v>
      </c>
      <c r="J1043" s="7">
        <v>120</v>
      </c>
      <c r="K1043" s="8">
        <v>-1.0806009917844929E-2</v>
      </c>
      <c r="L1043" s="9">
        <v>-4.9118226899295125E-3</v>
      </c>
      <c r="M1043" s="10">
        <v>122.40329218107001</v>
      </c>
      <c r="N1043" s="11">
        <v>2.2000000000000002</v>
      </c>
      <c r="O1043" s="12">
        <v>-2725.7042313136353</v>
      </c>
      <c r="P1043" s="13" t="s">
        <v>506</v>
      </c>
      <c r="Q1043" s="13" t="s">
        <v>76</v>
      </c>
      <c r="R1043" s="14" t="s">
        <v>541</v>
      </c>
      <c r="S1043" s="13">
        <v>966</v>
      </c>
      <c r="T1043" s="13">
        <v>676.19999999999993</v>
      </c>
      <c r="U1043" s="32">
        <v>676.19999999999993</v>
      </c>
      <c r="V1043" s="6" t="s">
        <v>77</v>
      </c>
      <c r="W1043" s="15"/>
      <c r="X1043" s="15"/>
      <c r="Y1043" s="16"/>
      <c r="Z1043" s="17"/>
      <c r="AA1043" s="16"/>
      <c r="AB1043" s="24">
        <v>811.44</v>
      </c>
      <c r="AC1043" s="20">
        <v>-7.3070239064467399</v>
      </c>
      <c r="AD1043" s="21">
        <v>46086</v>
      </c>
      <c r="AE1043" s="22">
        <v>666197.61750811862</v>
      </c>
      <c r="AF1043" s="23">
        <v>506186.61593333364</v>
      </c>
      <c r="AG1043" s="24">
        <v>605375.17593333393</v>
      </c>
      <c r="AH1043" s="15">
        <v>0.5</v>
      </c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  <c r="BN1043" s="25"/>
      <c r="BO1043" s="25"/>
      <c r="BP1043" s="25"/>
    </row>
    <row r="1044" spans="1:68" ht="15" customHeight="1" x14ac:dyDescent="0.25">
      <c r="A1044" s="1">
        <f t="shared" si="67"/>
        <v>558</v>
      </c>
      <c r="B1044" s="1" t="str">
        <f t="shared" si="64"/>
        <v xml:space="preserve">Pepperdine </v>
      </c>
      <c r="C1044" s="1">
        <f t="shared" si="65"/>
        <v>1</v>
      </c>
      <c r="D1044" s="2" t="str">
        <f t="shared" si="66"/>
        <v>2026-03</v>
      </c>
      <c r="E1044" s="3" t="s">
        <v>1466</v>
      </c>
      <c r="F1044" s="4" t="s">
        <v>1445</v>
      </c>
      <c r="G1044" s="5">
        <v>46086</v>
      </c>
      <c r="H1044" s="40">
        <v>101</v>
      </c>
      <c r="I1044" s="40">
        <v>-101</v>
      </c>
      <c r="J1044" s="7">
        <v>130</v>
      </c>
      <c r="K1044" s="8">
        <v>0.14427860696517417</v>
      </c>
      <c r="L1044" s="9">
        <v>6.2729829115293123E-2</v>
      </c>
      <c r="M1044" s="10">
        <v>100.99999999999997</v>
      </c>
      <c r="N1044" s="11">
        <v>2.2999999999999998</v>
      </c>
      <c r="O1044" s="12">
        <v>33827.371626610577</v>
      </c>
      <c r="P1044" s="13" t="s">
        <v>506</v>
      </c>
      <c r="Q1044" s="13" t="s">
        <v>92</v>
      </c>
      <c r="R1044" s="14" t="s">
        <v>1467</v>
      </c>
      <c r="S1044" s="13">
        <v>268</v>
      </c>
      <c r="T1044" s="13">
        <v>187.6</v>
      </c>
      <c r="U1044" s="13">
        <v>187.6</v>
      </c>
      <c r="V1044" s="6" t="s">
        <v>77</v>
      </c>
      <c r="W1044" s="15"/>
      <c r="X1044" s="15"/>
      <c r="Y1044" s="16"/>
      <c r="Z1044" s="17"/>
      <c r="AA1044" s="16"/>
      <c r="AB1044" s="24">
        <v>243.88</v>
      </c>
      <c r="AC1044" s="20">
        <v>27.066666666666674</v>
      </c>
      <c r="AD1044" s="21">
        <v>46086</v>
      </c>
      <c r="AE1044" s="22">
        <v>665359.54925592616</v>
      </c>
      <c r="AF1044" s="23">
        <v>509836.44593333377</v>
      </c>
      <c r="AG1044" s="24">
        <v>609592.56593333383</v>
      </c>
      <c r="AH1044" s="15">
        <v>0.5</v>
      </c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5"/>
      <c r="BO1044" s="25"/>
      <c r="BP1044" s="25"/>
    </row>
    <row r="1045" spans="1:68" ht="15" customHeight="1" x14ac:dyDescent="0.25">
      <c r="A1045" s="1">
        <f t="shared" si="67"/>
        <v>559</v>
      </c>
      <c r="B1045" s="1" t="str">
        <f t="shared" si="64"/>
        <v xml:space="preserve">South </v>
      </c>
      <c r="C1045" s="1">
        <f t="shared" si="65"/>
        <v>1</v>
      </c>
      <c r="D1045" s="2" t="str">
        <f t="shared" si="66"/>
        <v>2026-03</v>
      </c>
      <c r="E1045" s="3" t="s">
        <v>1468</v>
      </c>
      <c r="F1045" s="4" t="s">
        <v>1445</v>
      </c>
      <c r="G1045" s="39">
        <v>46086</v>
      </c>
      <c r="H1045" s="40">
        <v>122</v>
      </c>
      <c r="I1045" s="40">
        <v>-122</v>
      </c>
      <c r="J1045" s="7">
        <v>125</v>
      </c>
      <c r="K1045" s="8">
        <v>1.3513513513513709E-2</v>
      </c>
      <c r="L1045" s="9">
        <v>6.0060060060060927E-3</v>
      </c>
      <c r="M1045" s="10">
        <v>121.99999999999997</v>
      </c>
      <c r="N1045" s="11">
        <v>2.25</v>
      </c>
      <c r="O1045" s="12">
        <v>3286.2215996396908</v>
      </c>
      <c r="P1045" s="13" t="s">
        <v>506</v>
      </c>
      <c r="Q1045" s="13" t="s">
        <v>92</v>
      </c>
      <c r="R1045" s="14" t="s">
        <v>1073</v>
      </c>
      <c r="S1045" s="13">
        <v>557</v>
      </c>
      <c r="T1045" s="13">
        <v>389.9</v>
      </c>
      <c r="U1045" s="32">
        <v>389.9</v>
      </c>
      <c r="V1045" s="6" t="s">
        <v>77</v>
      </c>
      <c r="W1045" s="15"/>
      <c r="X1045" s="15"/>
      <c r="Y1045" s="16"/>
      <c r="Z1045" s="17"/>
      <c r="AA1045" s="16"/>
      <c r="AB1045" s="24">
        <v>487.38</v>
      </c>
      <c r="AC1045" s="20">
        <v>5.2689189189189944</v>
      </c>
      <c r="AD1045" s="21">
        <v>46086</v>
      </c>
      <c r="AE1045" s="22">
        <v>665871.15046165639</v>
      </c>
      <c r="AF1045" s="23">
        <v>508438.37593333371</v>
      </c>
      <c r="AG1045" s="24">
        <v>607950.99593333399</v>
      </c>
      <c r="AH1045" s="15">
        <v>0.5</v>
      </c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  <c r="BN1045" s="25"/>
      <c r="BO1045" s="25"/>
      <c r="BP1045" s="25"/>
    </row>
    <row r="1046" spans="1:68" ht="15" customHeight="1" x14ac:dyDescent="0.25">
      <c r="A1046" s="1">
        <f t="shared" si="67"/>
        <v>559</v>
      </c>
      <c r="B1046" s="1" t="str">
        <f t="shared" si="64"/>
        <v xml:space="preserve">South </v>
      </c>
      <c r="C1046" s="1">
        <f t="shared" si="65"/>
        <v>1</v>
      </c>
      <c r="D1046" s="2" t="str">
        <f t="shared" si="66"/>
        <v>2026-03</v>
      </c>
      <c r="E1046" s="3" t="s">
        <v>1469</v>
      </c>
      <c r="F1046" s="4" t="s">
        <v>1445</v>
      </c>
      <c r="G1046" s="39">
        <v>46086</v>
      </c>
      <c r="H1046" s="40">
        <v>103</v>
      </c>
      <c r="I1046" s="40">
        <v>-103</v>
      </c>
      <c r="J1046" s="7">
        <v>125</v>
      </c>
      <c r="K1046" s="8">
        <v>0.10837438423645315</v>
      </c>
      <c r="L1046" s="9">
        <v>4.8166392993979179E-2</v>
      </c>
      <c r="M1046" s="10">
        <v>103.00000000000001</v>
      </c>
      <c r="N1046" s="11">
        <v>2.25</v>
      </c>
      <c r="O1046" s="12">
        <v>26359.146148834167</v>
      </c>
      <c r="P1046" s="13" t="s">
        <v>506</v>
      </c>
      <c r="Q1046" s="13" t="s">
        <v>92</v>
      </c>
      <c r="R1046" s="14" t="s">
        <v>1073</v>
      </c>
      <c r="S1046" s="13">
        <v>557</v>
      </c>
      <c r="T1046" s="13">
        <v>389.9</v>
      </c>
      <c r="U1046" s="32">
        <v>389.9</v>
      </c>
      <c r="V1046" s="6" t="s">
        <v>82</v>
      </c>
      <c r="W1046" s="15"/>
      <c r="X1046" s="15"/>
      <c r="Y1046" s="16"/>
      <c r="Z1046" s="17"/>
      <c r="AA1046" s="16"/>
      <c r="AB1046" s="24">
        <v>-389.9</v>
      </c>
      <c r="AC1046" s="20">
        <v>42.255172413793083</v>
      </c>
      <c r="AD1046" s="21">
        <v>46086</v>
      </c>
      <c r="AE1046" s="22">
        <v>665936.43075034919</v>
      </c>
      <c r="AF1046" s="23">
        <v>507667.6759333337</v>
      </c>
      <c r="AG1046" s="24">
        <v>608057.57593333395</v>
      </c>
      <c r="AH1046" s="15">
        <v>0.5</v>
      </c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5"/>
      <c r="BO1046" s="25"/>
      <c r="BP1046" s="25"/>
    </row>
    <row r="1047" spans="1:68" ht="15" customHeight="1" x14ac:dyDescent="0.25">
      <c r="A1047" s="1">
        <f t="shared" si="67"/>
        <v>560</v>
      </c>
      <c r="B1047" s="1" t="str">
        <f t="shared" si="64"/>
        <v xml:space="preserve">Tulsa </v>
      </c>
      <c r="C1047" s="1">
        <f t="shared" si="65"/>
        <v>0</v>
      </c>
      <c r="D1047" s="2" t="str">
        <f t="shared" si="66"/>
        <v>2026-03</v>
      </c>
      <c r="E1047" s="28" t="s">
        <v>1470</v>
      </c>
      <c r="F1047" s="29" t="s">
        <v>1445</v>
      </c>
      <c r="G1047" s="5">
        <v>46086</v>
      </c>
      <c r="H1047" s="6">
        <v>-140</v>
      </c>
      <c r="I1047" s="6">
        <v>140</v>
      </c>
      <c r="J1047" s="30">
        <v>-105</v>
      </c>
      <c r="K1047" s="8">
        <v>0.13888888888888873</v>
      </c>
      <c r="L1047" s="9">
        <v>7.1138211382113736E-2</v>
      </c>
      <c r="M1047" s="10">
        <v>-139.99999999999997</v>
      </c>
      <c r="N1047" s="11">
        <v>1.9523809523809523</v>
      </c>
      <c r="O1047" s="12">
        <v>44391.005015972223</v>
      </c>
      <c r="P1047" s="13" t="s">
        <v>506</v>
      </c>
      <c r="Q1047" s="13" t="s">
        <v>76</v>
      </c>
      <c r="R1047" s="14" t="s">
        <v>1471</v>
      </c>
      <c r="S1047" s="13">
        <v>368</v>
      </c>
      <c r="T1047" s="13">
        <v>257.59999999999997</v>
      </c>
      <c r="U1047" s="13">
        <v>257.59999999999997</v>
      </c>
      <c r="V1047" s="6" t="s">
        <v>77</v>
      </c>
      <c r="W1047" s="15"/>
      <c r="X1047" s="15"/>
      <c r="Y1047" s="16"/>
      <c r="Z1047" s="17"/>
      <c r="AA1047" s="16"/>
      <c r="AB1047" s="24">
        <v>245.33</v>
      </c>
      <c r="AC1047" s="20">
        <v>35.777777777777729</v>
      </c>
      <c r="AD1047" s="21">
        <v>46086</v>
      </c>
      <c r="AE1047" s="22">
        <v>665057.78467334539</v>
      </c>
      <c r="AF1047" s="23">
        <v>509036.25593333377</v>
      </c>
      <c r="AG1047" s="24">
        <v>608790.92593333405</v>
      </c>
      <c r="AH1047" s="15">
        <v>0.5</v>
      </c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  <c r="BN1047" s="25"/>
      <c r="BO1047" s="25"/>
      <c r="BP1047" s="25"/>
    </row>
    <row r="1048" spans="1:68" ht="15" customHeight="1" x14ac:dyDescent="0.25">
      <c r="A1048" s="1">
        <f t="shared" si="67"/>
        <v>561</v>
      </c>
      <c r="B1048" s="1" t="str">
        <f t="shared" si="64"/>
        <v xml:space="preserve">UC </v>
      </c>
      <c r="C1048" s="1">
        <f t="shared" si="65"/>
        <v>0</v>
      </c>
      <c r="D1048" s="2" t="str">
        <f t="shared" si="66"/>
        <v>2026-03</v>
      </c>
      <c r="E1048" s="3" t="s">
        <v>1472</v>
      </c>
      <c r="F1048" s="4" t="s">
        <v>1445</v>
      </c>
      <c r="G1048" s="39">
        <v>46086</v>
      </c>
      <c r="H1048" s="40">
        <v>-119</v>
      </c>
      <c r="I1048" s="40">
        <v>119</v>
      </c>
      <c r="J1048" s="7">
        <v>-105</v>
      </c>
      <c r="K1048" s="8">
        <v>6.0882800608827815E-2</v>
      </c>
      <c r="L1048" s="9">
        <v>3.1183873482570346E-2</v>
      </c>
      <c r="M1048" s="10">
        <v>-118.99999999999996</v>
      </c>
      <c r="N1048" s="11">
        <v>1.9523809523809523</v>
      </c>
      <c r="O1048" s="12">
        <v>19423.167723896458</v>
      </c>
      <c r="P1048" s="13" t="s">
        <v>506</v>
      </c>
      <c r="Q1048" s="13" t="s">
        <v>81</v>
      </c>
      <c r="R1048" s="14" t="s">
        <v>1473</v>
      </c>
      <c r="S1048" s="13">
        <v>611</v>
      </c>
      <c r="T1048" s="13">
        <v>427.7</v>
      </c>
      <c r="U1048" s="32">
        <v>427.7</v>
      </c>
      <c r="V1048" s="6" t="s">
        <v>82</v>
      </c>
      <c r="W1048" s="15"/>
      <c r="X1048" s="15"/>
      <c r="Y1048" s="16"/>
      <c r="Z1048" s="17"/>
      <c r="AA1048" s="16"/>
      <c r="AB1048" s="24">
        <v>-427.7</v>
      </c>
      <c r="AC1048" s="20">
        <v>26.039573820395656</v>
      </c>
      <c r="AD1048" s="21">
        <v>46086</v>
      </c>
      <c r="AE1048" s="22">
        <v>665962.47032416961</v>
      </c>
      <c r="AF1048" s="23">
        <v>507239.97593333368</v>
      </c>
      <c r="AG1048" s="24">
        <v>607667.67593333393</v>
      </c>
      <c r="AH1048" s="15">
        <v>0.5</v>
      </c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5"/>
      <c r="BO1048" s="25"/>
      <c r="BP1048" s="25"/>
    </row>
    <row r="1049" spans="1:68" ht="15" customHeight="1" x14ac:dyDescent="0.25">
      <c r="A1049" s="1">
        <f t="shared" si="67"/>
        <v>562</v>
      </c>
      <c r="B1049" s="1" t="str">
        <f t="shared" si="64"/>
        <v xml:space="preserve">UT </v>
      </c>
      <c r="C1049" s="1">
        <f t="shared" si="65"/>
        <v>1</v>
      </c>
      <c r="D1049" s="2" t="str">
        <f t="shared" si="66"/>
        <v>2026-03</v>
      </c>
      <c r="E1049" s="28" t="s">
        <v>1474</v>
      </c>
      <c r="F1049" s="29" t="s">
        <v>1445</v>
      </c>
      <c r="G1049" s="5">
        <v>46086</v>
      </c>
      <c r="H1049" s="6">
        <v>108</v>
      </c>
      <c r="I1049" s="6">
        <v>-108</v>
      </c>
      <c r="J1049" s="30">
        <v>133</v>
      </c>
      <c r="K1049" s="8">
        <v>0.12019230769230756</v>
      </c>
      <c r="L1049" s="9">
        <v>5.1584681413007538E-2</v>
      </c>
      <c r="M1049" s="10">
        <v>107.99999999999999</v>
      </c>
      <c r="N1049" s="11">
        <v>2.33</v>
      </c>
      <c r="O1049" s="12">
        <v>27501.479627554454</v>
      </c>
      <c r="P1049" s="13" t="s">
        <v>506</v>
      </c>
      <c r="Q1049" s="13" t="s">
        <v>92</v>
      </c>
      <c r="R1049" s="14" t="s">
        <v>1475</v>
      </c>
      <c r="S1049" s="13">
        <v>262</v>
      </c>
      <c r="T1049" s="13">
        <v>183.39999999999998</v>
      </c>
      <c r="U1049" s="13">
        <v>183.39999999999998</v>
      </c>
      <c r="V1049" s="6" t="s">
        <v>82</v>
      </c>
      <c r="W1049" s="15"/>
      <c r="X1049" s="15"/>
      <c r="Y1049" s="16"/>
      <c r="Z1049" s="17"/>
      <c r="AA1049" s="16"/>
      <c r="AB1049" s="24">
        <v>-183.39999999999998</v>
      </c>
      <c r="AC1049" s="20">
        <v>22.043269230769202</v>
      </c>
      <c r="AD1049" s="21">
        <v>46086</v>
      </c>
      <c r="AE1049" s="22">
        <v>665241.98946599266</v>
      </c>
      <c r="AF1049" s="23">
        <v>508457.3459333338</v>
      </c>
      <c r="AG1049" s="24">
        <v>608640.74593333388</v>
      </c>
      <c r="AH1049" s="15">
        <v>0.5</v>
      </c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25"/>
      <c r="AY1049" s="25"/>
      <c r="AZ1049" s="25"/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5"/>
      <c r="BL1049" s="25"/>
      <c r="BM1049" s="25"/>
      <c r="BN1049" s="25"/>
      <c r="BO1049" s="25"/>
      <c r="BP1049" s="25"/>
    </row>
    <row r="1050" spans="1:68" ht="15" customHeight="1" x14ac:dyDescent="0.25">
      <c r="A1050" s="1">
        <f t="shared" si="67"/>
        <v>563</v>
      </c>
      <c r="B1050" s="1" t="str">
        <f t="shared" si="64"/>
        <v xml:space="preserve">Washington </v>
      </c>
      <c r="C1050" s="1">
        <f t="shared" si="65"/>
        <v>0</v>
      </c>
      <c r="D1050" s="2" t="str">
        <f t="shared" si="66"/>
        <v>2026-03</v>
      </c>
      <c r="E1050" s="3" t="s">
        <v>1476</v>
      </c>
      <c r="F1050" s="4" t="s">
        <v>1445</v>
      </c>
      <c r="G1050" s="5">
        <v>46086</v>
      </c>
      <c r="H1050" s="4">
        <v>-124</v>
      </c>
      <c r="I1050" s="4">
        <v>124</v>
      </c>
      <c r="J1050" s="7">
        <v>105</v>
      </c>
      <c r="K1050" s="8">
        <v>0.13482142857142854</v>
      </c>
      <c r="L1050" s="9">
        <v>6.5766550522648071E-2</v>
      </c>
      <c r="M1050" s="10">
        <v>-124.00000000000001</v>
      </c>
      <c r="N1050" s="11">
        <v>2.0499999999999998</v>
      </c>
      <c r="O1050" s="12">
        <v>39000.505725311821</v>
      </c>
      <c r="P1050" s="13" t="s">
        <v>506</v>
      </c>
      <c r="Q1050" s="13" t="s">
        <v>76</v>
      </c>
      <c r="R1050" s="14" t="s">
        <v>762</v>
      </c>
      <c r="S1050" s="13">
        <v>1659</v>
      </c>
      <c r="T1050" s="13">
        <v>1161.3</v>
      </c>
      <c r="U1050" s="13">
        <v>1161.3</v>
      </c>
      <c r="V1050" s="6" t="s">
        <v>77</v>
      </c>
      <c r="W1050" s="15"/>
      <c r="X1050" s="15"/>
      <c r="Y1050" s="16"/>
      <c r="Z1050" s="17"/>
      <c r="AA1050" s="16"/>
      <c r="AB1050" s="24">
        <v>1219.3699999999999</v>
      </c>
      <c r="AC1050" s="20">
        <v>156.56812499999995</v>
      </c>
      <c r="AD1050" s="21">
        <v>46086</v>
      </c>
      <c r="AE1050" s="22">
        <v>664789.09581814846</v>
      </c>
      <c r="AF1050" s="23">
        <v>508697.44593333371</v>
      </c>
      <c r="AG1050" s="24">
        <v>607478.07593333395</v>
      </c>
      <c r="AH1050" s="15">
        <v>0.5</v>
      </c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5"/>
      <c r="BO1050" s="25"/>
      <c r="BP1050" s="25"/>
    </row>
    <row r="1051" spans="1:68" ht="15" customHeight="1" x14ac:dyDescent="0.25">
      <c r="A1051" s="1">
        <f t="shared" si="67"/>
        <v>564</v>
      </c>
      <c r="B1051" s="1" t="str">
        <f t="shared" si="64"/>
        <v xml:space="preserve">Arkansas </v>
      </c>
      <c r="C1051" s="1">
        <f t="shared" si="65"/>
        <v>0</v>
      </c>
      <c r="D1051" s="2" t="str">
        <f t="shared" si="66"/>
        <v>2026-03</v>
      </c>
      <c r="E1051" s="3" t="s">
        <v>1477</v>
      </c>
      <c r="F1051" s="4" t="s">
        <v>1478</v>
      </c>
      <c r="G1051" s="39">
        <v>46088</v>
      </c>
      <c r="H1051" s="40">
        <v>100</v>
      </c>
      <c r="I1051" s="40">
        <v>-100</v>
      </c>
      <c r="J1051" s="7">
        <v>138</v>
      </c>
      <c r="K1051" s="8">
        <v>0.18999999999999997</v>
      </c>
      <c r="L1051" s="9">
        <v>7.9831932773109238E-2</v>
      </c>
      <c r="M1051" s="10">
        <v>100</v>
      </c>
      <c r="N1051" s="11">
        <v>2.38</v>
      </c>
      <c r="O1051" s="12">
        <v>41631.564720048351</v>
      </c>
      <c r="P1051" s="13" t="s">
        <v>506</v>
      </c>
      <c r="Q1051" s="13" t="s">
        <v>81</v>
      </c>
      <c r="R1051" s="14" t="s">
        <v>708</v>
      </c>
      <c r="S1051" s="13">
        <v>1675</v>
      </c>
      <c r="T1051" s="13">
        <v>1172.5</v>
      </c>
      <c r="U1051" s="32">
        <v>1172.5</v>
      </c>
      <c r="V1051" s="6" t="s">
        <v>77</v>
      </c>
      <c r="W1051" s="15"/>
      <c r="X1051" s="15"/>
      <c r="Y1051" s="16"/>
      <c r="Z1051" s="17"/>
      <c r="AA1051" s="16"/>
      <c r="AB1051" s="24">
        <v>1618.05</v>
      </c>
      <c r="AC1051" s="20">
        <v>222.77499999999998</v>
      </c>
      <c r="AD1051" s="21">
        <v>46088</v>
      </c>
      <c r="AE1051" s="22">
        <v>666873.10147337103</v>
      </c>
      <c r="AF1051" s="23">
        <v>506371.30593333364</v>
      </c>
      <c r="AG1051" s="24">
        <v>604753.25593333389</v>
      </c>
      <c r="AH1051" s="15">
        <v>0.5</v>
      </c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5"/>
      <c r="BO1051" s="25"/>
      <c r="BP1051" s="25"/>
    </row>
    <row r="1052" spans="1:68" ht="15" customHeight="1" x14ac:dyDescent="0.25">
      <c r="A1052" s="1">
        <f t="shared" si="67"/>
        <v>564</v>
      </c>
      <c r="B1052" s="1" t="str">
        <f t="shared" si="64"/>
        <v xml:space="preserve">Arkansas </v>
      </c>
      <c r="C1052" s="1">
        <f t="shared" si="65"/>
        <v>0</v>
      </c>
      <c r="D1052" s="2" t="str">
        <f t="shared" si="66"/>
        <v>2026-03</v>
      </c>
      <c r="E1052" s="3" t="s">
        <v>1477</v>
      </c>
      <c r="F1052" s="4" t="s">
        <v>1478</v>
      </c>
      <c r="G1052" s="39">
        <v>46088</v>
      </c>
      <c r="H1052" s="40">
        <v>-110</v>
      </c>
      <c r="I1052" s="40">
        <v>110</v>
      </c>
      <c r="J1052" s="7">
        <v>123</v>
      </c>
      <c r="K1052" s="8">
        <v>0.1680952380952381</v>
      </c>
      <c r="L1052" s="9">
        <v>7.5379030535981217E-2</v>
      </c>
      <c r="M1052" s="10">
        <v>-110.00000000000001</v>
      </c>
      <c r="N1052" s="11">
        <v>2.23</v>
      </c>
      <c r="O1052" s="12">
        <v>41434.198798774079</v>
      </c>
      <c r="P1052" s="13" t="s">
        <v>506</v>
      </c>
      <c r="Q1052" s="13" t="s">
        <v>81</v>
      </c>
      <c r="R1052" s="14" t="s">
        <v>708</v>
      </c>
      <c r="S1052" s="13">
        <v>1879</v>
      </c>
      <c r="T1052" s="13">
        <v>1315.3</v>
      </c>
      <c r="U1052" s="32">
        <v>1315.3</v>
      </c>
      <c r="V1052" s="6" t="s">
        <v>77</v>
      </c>
      <c r="W1052" s="15"/>
      <c r="X1052" s="15"/>
      <c r="Y1052" s="16"/>
      <c r="Z1052" s="17"/>
      <c r="AA1052" s="16"/>
      <c r="AB1052" s="24">
        <v>1617.82</v>
      </c>
      <c r="AC1052" s="20">
        <v>221.09566666666666</v>
      </c>
      <c r="AD1052" s="21">
        <v>46088</v>
      </c>
      <c r="AE1052" s="22">
        <v>667094.19714003766</v>
      </c>
      <c r="AF1052" s="23">
        <v>507989.12593333365</v>
      </c>
      <c r="AG1052" s="24">
        <v>606371.30593333393</v>
      </c>
      <c r="AH1052" s="15">
        <v>0.5</v>
      </c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5"/>
      <c r="BO1052" s="25"/>
      <c r="BP1052" s="25"/>
    </row>
    <row r="1053" spans="1:68" ht="15" customHeight="1" x14ac:dyDescent="0.25">
      <c r="A1053" s="1">
        <f t="shared" si="67"/>
        <v>564</v>
      </c>
      <c r="B1053" s="1" t="str">
        <f t="shared" si="64"/>
        <v xml:space="preserve">Arkansas </v>
      </c>
      <c r="C1053" s="1">
        <f t="shared" si="65"/>
        <v>0</v>
      </c>
      <c r="D1053" s="2" t="str">
        <f t="shared" si="66"/>
        <v>2026-03</v>
      </c>
      <c r="E1053" s="3" t="s">
        <v>1477</v>
      </c>
      <c r="F1053" s="4" t="s">
        <v>1478</v>
      </c>
      <c r="G1053" s="39">
        <v>46088</v>
      </c>
      <c r="H1053" s="40">
        <v>-108</v>
      </c>
      <c r="I1053" s="40">
        <v>108</v>
      </c>
      <c r="J1053" s="7">
        <v>114</v>
      </c>
      <c r="K1053" s="8">
        <v>0.11115384615384612</v>
      </c>
      <c r="L1053" s="9">
        <v>5.1941049604600997E-2</v>
      </c>
      <c r="M1053" s="10">
        <v>-108.00000000000001</v>
      </c>
      <c r="N1053" s="11">
        <v>2.1399999999999997</v>
      </c>
      <c r="O1053" s="12">
        <v>29640.495511932098</v>
      </c>
      <c r="P1053" s="13" t="s">
        <v>506</v>
      </c>
      <c r="Q1053" s="13" t="s">
        <v>81</v>
      </c>
      <c r="R1053" s="14" t="s">
        <v>708</v>
      </c>
      <c r="S1053" s="13">
        <v>2028</v>
      </c>
      <c r="T1053" s="13">
        <v>1419.6</v>
      </c>
      <c r="U1053" s="32">
        <v>1419.6</v>
      </c>
      <c r="V1053" s="6" t="s">
        <v>77</v>
      </c>
      <c r="W1053" s="15"/>
      <c r="X1053" s="15"/>
      <c r="Y1053" s="16"/>
      <c r="Z1053" s="17"/>
      <c r="AA1053" s="16"/>
      <c r="AB1053" s="24">
        <v>1618.34</v>
      </c>
      <c r="AC1053" s="20">
        <v>157.79399999999993</v>
      </c>
      <c r="AD1053" s="21">
        <v>46088</v>
      </c>
      <c r="AE1053" s="22">
        <v>667251.99114003766</v>
      </c>
      <c r="AF1053" s="23">
        <v>509607.46593333367</v>
      </c>
      <c r="AG1053" s="24">
        <v>607989.12593333388</v>
      </c>
      <c r="AH1053" s="15">
        <v>0.5</v>
      </c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5"/>
      <c r="BO1053" s="25"/>
      <c r="BP1053" s="25"/>
    </row>
    <row r="1054" spans="1:68" ht="15" customHeight="1" x14ac:dyDescent="0.25">
      <c r="A1054" s="1">
        <f t="shared" si="67"/>
        <v>564</v>
      </c>
      <c r="B1054" s="1" t="str">
        <f t="shared" si="64"/>
        <v xml:space="preserve">Arkansas </v>
      </c>
      <c r="C1054" s="1">
        <f t="shared" si="65"/>
        <v>0</v>
      </c>
      <c r="D1054" s="2" t="str">
        <f t="shared" si="66"/>
        <v>2026-03</v>
      </c>
      <c r="E1054" s="3" t="s">
        <v>1477</v>
      </c>
      <c r="F1054" s="4" t="s">
        <v>1478</v>
      </c>
      <c r="G1054" s="39">
        <v>46088</v>
      </c>
      <c r="H1054" s="40">
        <v>-110</v>
      </c>
      <c r="I1054" s="40">
        <v>110</v>
      </c>
      <c r="J1054" s="7">
        <v>114</v>
      </c>
      <c r="K1054" s="8">
        <v>0.12095238095238088</v>
      </c>
      <c r="L1054" s="9">
        <v>5.651980418335556E-2</v>
      </c>
      <c r="M1054" s="10">
        <v>-110.00000000000001</v>
      </c>
      <c r="N1054" s="11">
        <v>2.1399999999999997</v>
      </c>
      <c r="O1054" s="12">
        <v>32339.243180256213</v>
      </c>
      <c r="P1054" s="13" t="s">
        <v>506</v>
      </c>
      <c r="Q1054" s="13" t="s">
        <v>81</v>
      </c>
      <c r="R1054" s="14" t="s">
        <v>708</v>
      </c>
      <c r="S1054" s="13">
        <v>1361</v>
      </c>
      <c r="T1054" s="13">
        <v>952.69999999999993</v>
      </c>
      <c r="U1054" s="32">
        <v>952.69999999999993</v>
      </c>
      <c r="V1054" s="6" t="s">
        <v>77</v>
      </c>
      <c r="W1054" s="15"/>
      <c r="X1054" s="15"/>
      <c r="Y1054" s="16"/>
      <c r="Z1054" s="17"/>
      <c r="AA1054" s="16"/>
      <c r="AB1054" s="24">
        <v>1086.08</v>
      </c>
      <c r="AC1054" s="20">
        <v>115.23133333333325</v>
      </c>
      <c r="AD1054" s="21">
        <v>46088</v>
      </c>
      <c r="AE1054" s="22">
        <v>667367.22247337096</v>
      </c>
      <c r="AF1054" s="23">
        <v>510693.54593333369</v>
      </c>
      <c r="AG1054" s="24">
        <v>609607.46593333385</v>
      </c>
      <c r="AH1054" s="15">
        <v>0.5</v>
      </c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5"/>
      <c r="BO1054" s="25"/>
      <c r="BP1054" s="25"/>
    </row>
    <row r="1055" spans="1:68" ht="15" customHeight="1" x14ac:dyDescent="0.25">
      <c r="A1055" s="1">
        <f t="shared" si="67"/>
        <v>565</v>
      </c>
      <c r="B1055" s="1" t="str">
        <f t="shared" si="64"/>
        <v xml:space="preserve">Arkansas </v>
      </c>
      <c r="C1055" s="1">
        <f t="shared" si="65"/>
        <v>1</v>
      </c>
      <c r="D1055" s="2" t="str">
        <f t="shared" si="66"/>
        <v>2026-03</v>
      </c>
      <c r="E1055" s="3" t="s">
        <v>1479</v>
      </c>
      <c r="F1055" s="4" t="s">
        <v>1478</v>
      </c>
      <c r="G1055" s="39">
        <v>46088</v>
      </c>
      <c r="H1055" s="40">
        <v>100</v>
      </c>
      <c r="I1055" s="40">
        <v>-100</v>
      </c>
      <c r="J1055" s="7">
        <v>123</v>
      </c>
      <c r="K1055" s="8">
        <v>0.11499999999999995</v>
      </c>
      <c r="L1055" s="9">
        <v>5.1569506726457381E-2</v>
      </c>
      <c r="M1055" s="10">
        <v>100</v>
      </c>
      <c r="N1055" s="11">
        <v>2.23</v>
      </c>
      <c r="O1055" s="12">
        <v>28307.865013143644</v>
      </c>
      <c r="P1055" s="13" t="s">
        <v>506</v>
      </c>
      <c r="Q1055" s="13" t="s">
        <v>92</v>
      </c>
      <c r="R1055" s="14" t="s">
        <v>708</v>
      </c>
      <c r="S1055" s="13">
        <v>1127</v>
      </c>
      <c r="T1055" s="13">
        <v>788.9</v>
      </c>
      <c r="U1055" s="32">
        <v>788.9</v>
      </c>
      <c r="V1055" s="6" t="s">
        <v>82</v>
      </c>
      <c r="W1055" s="15"/>
      <c r="X1055" s="15"/>
      <c r="Y1055" s="16"/>
      <c r="Z1055" s="17"/>
      <c r="AA1055" s="16"/>
      <c r="AB1055" s="24">
        <v>-788.9</v>
      </c>
      <c r="AC1055" s="20">
        <v>90.723499999999959</v>
      </c>
      <c r="AD1055" s="21">
        <v>46088</v>
      </c>
      <c r="AE1055" s="22">
        <v>666650.32647337101</v>
      </c>
      <c r="AF1055" s="23">
        <v>504753.25593333365</v>
      </c>
      <c r="AG1055" s="24">
        <v>605542.15593333391</v>
      </c>
      <c r="AH1055" s="15">
        <v>0.5</v>
      </c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5"/>
      <c r="BO1055" s="25"/>
      <c r="BP1055" s="25"/>
    </row>
    <row r="1056" spans="1:68" ht="15" customHeight="1" x14ac:dyDescent="0.25">
      <c r="A1056" s="1">
        <f t="shared" si="67"/>
        <v>565</v>
      </c>
      <c r="B1056" s="1" t="str">
        <f t="shared" si="64"/>
        <v xml:space="preserve">Arkansas </v>
      </c>
      <c r="C1056" s="1">
        <f t="shared" si="65"/>
        <v>1</v>
      </c>
      <c r="D1056" s="2" t="str">
        <f t="shared" si="66"/>
        <v>2026-03</v>
      </c>
      <c r="E1056" s="3" t="s">
        <v>1480</v>
      </c>
      <c r="F1056" s="4" t="s">
        <v>1478</v>
      </c>
      <c r="G1056" s="39">
        <v>46088</v>
      </c>
      <c r="H1056" s="40">
        <v>-113</v>
      </c>
      <c r="I1056" s="40">
        <v>113</v>
      </c>
      <c r="J1056" s="7">
        <v>120</v>
      </c>
      <c r="K1056" s="8">
        <v>0.16713615023474182</v>
      </c>
      <c r="L1056" s="9">
        <v>7.5970977379428095E-2</v>
      </c>
      <c r="M1056" s="10">
        <v>-113</v>
      </c>
      <c r="N1056" s="11">
        <v>2.2000000000000002</v>
      </c>
      <c r="O1056" s="12">
        <v>42792.726226969251</v>
      </c>
      <c r="P1056" s="13" t="s">
        <v>506</v>
      </c>
      <c r="Q1056" s="13" t="s">
        <v>92</v>
      </c>
      <c r="R1056" s="14" t="s">
        <v>708</v>
      </c>
      <c r="S1056" s="13">
        <v>1156</v>
      </c>
      <c r="T1056" s="13">
        <v>809.19999999999993</v>
      </c>
      <c r="U1056" s="32">
        <v>809.19999999999993</v>
      </c>
      <c r="V1056" s="6" t="s">
        <v>77</v>
      </c>
      <c r="W1056" s="15"/>
      <c r="X1056" s="15"/>
      <c r="Y1056" s="16"/>
      <c r="Z1056" s="17"/>
      <c r="AA1056" s="16"/>
      <c r="AB1056" s="24">
        <v>971.04</v>
      </c>
      <c r="AC1056" s="20">
        <v>135.24657276995308</v>
      </c>
      <c r="AD1056" s="21">
        <v>46088</v>
      </c>
      <c r="AE1056" s="22">
        <v>670054.11262530135</v>
      </c>
      <c r="AF1056" s="23">
        <v>515455.35593333369</v>
      </c>
      <c r="AG1056" s="24">
        <v>614484.31593333371</v>
      </c>
      <c r="AH1056" s="15">
        <v>0.5</v>
      </c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5"/>
      <c r="BO1056" s="25"/>
      <c r="BP1056" s="25"/>
    </row>
    <row r="1057" spans="1:68" ht="15" customHeight="1" x14ac:dyDescent="0.25">
      <c r="A1057" s="1">
        <f t="shared" si="67"/>
        <v>566</v>
      </c>
      <c r="B1057" s="1" t="str">
        <f t="shared" si="64"/>
        <v xml:space="preserve">Connecticut </v>
      </c>
      <c r="C1057" s="1">
        <f t="shared" si="65"/>
        <v>0</v>
      </c>
      <c r="D1057" s="2" t="str">
        <f t="shared" si="66"/>
        <v>2026-03</v>
      </c>
      <c r="E1057" s="3" t="s">
        <v>1327</v>
      </c>
      <c r="F1057" s="4" t="s">
        <v>1478</v>
      </c>
      <c r="G1057" s="39">
        <v>46088</v>
      </c>
      <c r="H1057" s="40">
        <v>-135</v>
      </c>
      <c r="I1057" s="40">
        <v>135</v>
      </c>
      <c r="J1057" s="7">
        <v>-104</v>
      </c>
      <c r="K1057" s="8">
        <v>0.12684124386252063</v>
      </c>
      <c r="L1057" s="9">
        <v>6.4664163537755615E-2</v>
      </c>
      <c r="M1057" s="10">
        <v>-135.00000000000003</v>
      </c>
      <c r="N1057" s="11">
        <v>1.9615384615384617</v>
      </c>
      <c r="O1057" s="12">
        <v>40845.03513602844</v>
      </c>
      <c r="P1057" s="13" t="s">
        <v>506</v>
      </c>
      <c r="Q1057" s="13" t="s">
        <v>81</v>
      </c>
      <c r="R1057" s="14" t="s">
        <v>657</v>
      </c>
      <c r="S1057" s="13">
        <v>1204</v>
      </c>
      <c r="T1057" s="13">
        <v>842.8</v>
      </c>
      <c r="U1057" s="32">
        <v>842.8</v>
      </c>
      <c r="V1057" s="6" t="s">
        <v>82</v>
      </c>
      <c r="W1057" s="15"/>
      <c r="X1057" s="15"/>
      <c r="Y1057" s="16"/>
      <c r="Z1057" s="17"/>
      <c r="AA1057" s="16"/>
      <c r="AB1057" s="24">
        <v>-842.8</v>
      </c>
      <c r="AC1057" s="20">
        <v>106.90180032733238</v>
      </c>
      <c r="AD1057" s="21">
        <v>46088</v>
      </c>
      <c r="AE1057" s="22">
        <v>670751.14163575647</v>
      </c>
      <c r="AF1057" s="23">
        <v>518420.63593333372</v>
      </c>
      <c r="AG1057" s="24">
        <v>619263.43593333371</v>
      </c>
      <c r="AH1057" s="15">
        <v>0.5</v>
      </c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5"/>
      <c r="BO1057" s="25"/>
      <c r="BP1057" s="25"/>
    </row>
    <row r="1058" spans="1:68" ht="15" customHeight="1" x14ac:dyDescent="0.25">
      <c r="A1058" s="1">
        <f t="shared" si="67"/>
        <v>566</v>
      </c>
      <c r="B1058" s="1" t="str">
        <f t="shared" si="64"/>
        <v xml:space="preserve">Connecticut </v>
      </c>
      <c r="C1058" s="1">
        <f t="shared" si="65"/>
        <v>0</v>
      </c>
      <c r="D1058" s="2" t="str">
        <f t="shared" si="66"/>
        <v>2026-03</v>
      </c>
      <c r="E1058" s="3" t="s">
        <v>1327</v>
      </c>
      <c r="F1058" s="4" t="s">
        <v>1478</v>
      </c>
      <c r="G1058" s="39">
        <v>46088</v>
      </c>
      <c r="H1058" s="40">
        <v>492</v>
      </c>
      <c r="I1058" s="40">
        <v>-492</v>
      </c>
      <c r="J1058" s="7">
        <v>950</v>
      </c>
      <c r="K1058" s="8">
        <v>0.77364864864864846</v>
      </c>
      <c r="L1058" s="9">
        <v>7.3680823680823654E-2</v>
      </c>
      <c r="M1058" s="10">
        <v>492.00000000000006</v>
      </c>
      <c r="N1058" s="11">
        <v>10.5</v>
      </c>
      <c r="O1058" s="12">
        <v>25181.067857171653</v>
      </c>
      <c r="P1058" s="13" t="s">
        <v>506</v>
      </c>
      <c r="Q1058" s="13" t="s">
        <v>81</v>
      </c>
      <c r="R1058" s="14" t="s">
        <v>657</v>
      </c>
      <c r="S1058" s="13">
        <v>30</v>
      </c>
      <c r="T1058" s="13">
        <v>21</v>
      </c>
      <c r="U1058" s="32">
        <v>21</v>
      </c>
      <c r="V1058" s="6" t="s">
        <v>82</v>
      </c>
      <c r="W1058" s="15"/>
      <c r="X1058" s="15"/>
      <c r="Y1058" s="16"/>
      <c r="Z1058" s="17"/>
      <c r="AA1058" s="16"/>
      <c r="AB1058" s="24">
        <v>-21</v>
      </c>
      <c r="AC1058" s="20">
        <v>16.246621621621617</v>
      </c>
      <c r="AD1058" s="21">
        <v>46088</v>
      </c>
      <c r="AE1058" s="22">
        <v>670767.38825737813</v>
      </c>
      <c r="AF1058" s="23">
        <v>518399.63593333372</v>
      </c>
      <c r="AG1058" s="24">
        <v>618420.63593333366</v>
      </c>
      <c r="AH1058" s="15">
        <v>0.5</v>
      </c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5"/>
      <c r="BO1058" s="25"/>
      <c r="BP1058" s="25"/>
    </row>
    <row r="1059" spans="1:68" ht="15" customHeight="1" x14ac:dyDescent="0.25">
      <c r="A1059" s="1">
        <f t="shared" si="67"/>
        <v>566</v>
      </c>
      <c r="B1059" s="1" t="str">
        <f t="shared" si="64"/>
        <v xml:space="preserve">Connecticut </v>
      </c>
      <c r="C1059" s="1">
        <f t="shared" si="65"/>
        <v>0</v>
      </c>
      <c r="D1059" s="2" t="str">
        <f t="shared" si="66"/>
        <v>2026-03</v>
      </c>
      <c r="E1059" s="3" t="s">
        <v>1327</v>
      </c>
      <c r="F1059" s="4" t="s">
        <v>1478</v>
      </c>
      <c r="G1059" s="39">
        <v>46088</v>
      </c>
      <c r="H1059" s="40">
        <v>555</v>
      </c>
      <c r="I1059" s="40">
        <v>-555</v>
      </c>
      <c r="J1059" s="7">
        <v>700</v>
      </c>
      <c r="K1059" s="8">
        <v>0.22137404580152675</v>
      </c>
      <c r="L1059" s="9">
        <v>2.7671755725190844E-2</v>
      </c>
      <c r="M1059" s="10">
        <v>555</v>
      </c>
      <c r="N1059" s="11">
        <v>8</v>
      </c>
      <c r="O1059" s="12">
        <v>9778.4020949109472</v>
      </c>
      <c r="P1059" s="13" t="s">
        <v>506</v>
      </c>
      <c r="Q1059" s="13" t="s">
        <v>81</v>
      </c>
      <c r="R1059" s="14" t="s">
        <v>657</v>
      </c>
      <c r="S1059" s="13">
        <v>41</v>
      </c>
      <c r="T1059" s="13">
        <v>28.7</v>
      </c>
      <c r="U1059" s="32">
        <v>28.7</v>
      </c>
      <c r="V1059" s="6" t="s">
        <v>82</v>
      </c>
      <c r="W1059" s="15"/>
      <c r="X1059" s="15"/>
      <c r="Y1059" s="16"/>
      <c r="Z1059" s="17"/>
      <c r="AA1059" s="16"/>
      <c r="AB1059" s="24">
        <v>-28.7</v>
      </c>
      <c r="AC1059" s="20">
        <v>6.3534351145038173</v>
      </c>
      <c r="AD1059" s="21">
        <v>46088</v>
      </c>
      <c r="AE1059" s="22">
        <v>670773.74169249262</v>
      </c>
      <c r="AF1059" s="23">
        <v>518370.93593333371</v>
      </c>
      <c r="AG1059" s="24">
        <v>618399.63593333366</v>
      </c>
      <c r="AH1059" s="15">
        <v>0.5</v>
      </c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25"/>
      <c r="AY1059" s="25"/>
      <c r="AZ1059" s="25"/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5"/>
      <c r="BL1059" s="25"/>
      <c r="BM1059" s="25"/>
      <c r="BN1059" s="25"/>
      <c r="BO1059" s="25"/>
      <c r="BP1059" s="25"/>
    </row>
    <row r="1060" spans="1:68" ht="15" customHeight="1" x14ac:dyDescent="0.25">
      <c r="A1060" s="1">
        <f t="shared" si="67"/>
        <v>567</v>
      </c>
      <c r="B1060" s="1" t="str">
        <f t="shared" si="64"/>
        <v xml:space="preserve">Connecticut </v>
      </c>
      <c r="C1060" s="1">
        <f t="shared" si="65"/>
        <v>1</v>
      </c>
      <c r="D1060" s="2" t="str">
        <f t="shared" si="66"/>
        <v>2026-03</v>
      </c>
      <c r="E1060" s="3" t="s">
        <v>1481</v>
      </c>
      <c r="F1060" s="4" t="s">
        <v>1478</v>
      </c>
      <c r="G1060" s="39">
        <v>46088</v>
      </c>
      <c r="H1060" s="40">
        <v>-100</v>
      </c>
      <c r="I1060" s="40">
        <v>100</v>
      </c>
      <c r="J1060" s="7">
        <v>125</v>
      </c>
      <c r="K1060" s="8">
        <v>0.12500000000000006</v>
      </c>
      <c r="L1060" s="9">
        <v>5.555555555555558E-2</v>
      </c>
      <c r="M1060" s="10">
        <v>-100</v>
      </c>
      <c r="N1060" s="11">
        <v>2.25</v>
      </c>
      <c r="O1060" s="12">
        <v>30918.546796666698</v>
      </c>
      <c r="P1060" s="13" t="s">
        <v>506</v>
      </c>
      <c r="Q1060" s="13" t="s">
        <v>92</v>
      </c>
      <c r="R1060" s="14" t="s">
        <v>657</v>
      </c>
      <c r="S1060" s="13">
        <v>138</v>
      </c>
      <c r="T1060" s="13">
        <v>96.6</v>
      </c>
      <c r="U1060" s="32">
        <v>96.6</v>
      </c>
      <c r="V1060" s="6" t="s">
        <v>82</v>
      </c>
      <c r="W1060" s="15"/>
      <c r="X1060" s="15"/>
      <c r="Y1060" s="16"/>
      <c r="Z1060" s="17"/>
      <c r="AA1060" s="16"/>
      <c r="AB1060" s="24">
        <v>-96.6</v>
      </c>
      <c r="AC1060" s="20">
        <v>12.075000000000005</v>
      </c>
      <c r="AD1060" s="21">
        <v>46088</v>
      </c>
      <c r="AE1060" s="22">
        <v>670785.81669249258</v>
      </c>
      <c r="AF1060" s="23">
        <v>518274.33593333373</v>
      </c>
      <c r="AG1060" s="24">
        <v>618370.93593333371</v>
      </c>
      <c r="AH1060" s="15">
        <v>0.5</v>
      </c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5"/>
      <c r="BO1060" s="25"/>
      <c r="BP1060" s="25"/>
    </row>
    <row r="1061" spans="1:68" ht="15" customHeight="1" x14ac:dyDescent="0.25">
      <c r="A1061" s="1">
        <f t="shared" si="67"/>
        <v>568</v>
      </c>
      <c r="B1061" s="1" t="str">
        <f t="shared" si="64"/>
        <v xml:space="preserve">Davidson </v>
      </c>
      <c r="C1061" s="1">
        <f t="shared" si="65"/>
        <v>0</v>
      </c>
      <c r="D1061" s="2" t="str">
        <f t="shared" si="66"/>
        <v>2026-03</v>
      </c>
      <c r="E1061" s="3" t="s">
        <v>1482</v>
      </c>
      <c r="F1061" s="4" t="s">
        <v>1478</v>
      </c>
      <c r="G1061" s="39">
        <v>46088</v>
      </c>
      <c r="H1061" s="40">
        <v>-109</v>
      </c>
      <c r="I1061" s="40">
        <v>109</v>
      </c>
      <c r="J1061" s="7">
        <v>120</v>
      </c>
      <c r="K1061" s="8">
        <v>0.14736842105263151</v>
      </c>
      <c r="L1061" s="9">
        <v>6.6985645933014315E-2</v>
      </c>
      <c r="M1061" s="10">
        <v>-108.99999999999999</v>
      </c>
      <c r="N1061" s="11">
        <v>2.2000000000000002</v>
      </c>
      <c r="O1061" s="12">
        <v>37890.829662573102</v>
      </c>
      <c r="P1061" s="13" t="s">
        <v>506</v>
      </c>
      <c r="Q1061" s="13" t="s">
        <v>76</v>
      </c>
      <c r="R1061" s="14" t="s">
        <v>1483</v>
      </c>
      <c r="S1061" s="13">
        <v>578</v>
      </c>
      <c r="T1061" s="13">
        <v>404.59999999999997</v>
      </c>
      <c r="U1061" s="32">
        <v>404.59999999999997</v>
      </c>
      <c r="V1061" s="6" t="s">
        <v>82</v>
      </c>
      <c r="W1061" s="15"/>
      <c r="X1061" s="15"/>
      <c r="Y1061" s="16"/>
      <c r="Z1061" s="17"/>
      <c r="AA1061" s="16"/>
      <c r="AB1061" s="24">
        <v>-404.59999999999997</v>
      </c>
      <c r="AC1061" s="20">
        <v>59.6252631578947</v>
      </c>
      <c r="AD1061" s="21">
        <v>46088</v>
      </c>
      <c r="AE1061" s="22">
        <v>670301.91142477794</v>
      </c>
      <c r="AF1061" s="23">
        <v>516674.62593333371</v>
      </c>
      <c r="AG1061" s="24">
        <v>617079.22593333374</v>
      </c>
      <c r="AH1061" s="15">
        <v>0.5</v>
      </c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  <c r="BN1061" s="25"/>
      <c r="BO1061" s="25"/>
      <c r="BP1061" s="25"/>
    </row>
    <row r="1062" spans="1:68" ht="15" customHeight="1" x14ac:dyDescent="0.25">
      <c r="A1062" s="1">
        <f t="shared" si="67"/>
        <v>569</v>
      </c>
      <c r="B1062" s="1" t="str">
        <f t="shared" si="64"/>
        <v xml:space="preserve">Georgia </v>
      </c>
      <c r="C1062" s="1">
        <f t="shared" si="65"/>
        <v>0</v>
      </c>
      <c r="D1062" s="2" t="str">
        <f t="shared" si="66"/>
        <v>2026-03</v>
      </c>
      <c r="E1062" s="3" t="s">
        <v>1484</v>
      </c>
      <c r="F1062" s="4" t="s">
        <v>1478</v>
      </c>
      <c r="G1062" s="39">
        <v>46088</v>
      </c>
      <c r="H1062" s="40">
        <v>-155</v>
      </c>
      <c r="I1062" s="40">
        <v>155</v>
      </c>
      <c r="J1062" s="7">
        <v>-114</v>
      </c>
      <c r="K1062" s="8">
        <v>0.14103887168902671</v>
      </c>
      <c r="L1062" s="9">
        <v>7.5132856881070298E-2</v>
      </c>
      <c r="M1062" s="10">
        <v>-155.00000000000003</v>
      </c>
      <c r="N1062" s="11">
        <v>1.8771929824561404</v>
      </c>
      <c r="O1062" s="12">
        <v>49094.971339738673</v>
      </c>
      <c r="P1062" s="13" t="s">
        <v>506</v>
      </c>
      <c r="Q1062" s="13" t="s">
        <v>76</v>
      </c>
      <c r="R1062" s="14" t="s">
        <v>605</v>
      </c>
      <c r="S1062" s="13">
        <v>2627</v>
      </c>
      <c r="T1062" s="13">
        <v>1838.8999999999999</v>
      </c>
      <c r="U1062" s="32">
        <v>1838.8999999999999</v>
      </c>
      <c r="V1062" s="6" t="s">
        <v>77</v>
      </c>
      <c r="W1062" s="15"/>
      <c r="X1062" s="15"/>
      <c r="Y1062" s="16"/>
      <c r="Z1062" s="17"/>
      <c r="AA1062" s="16"/>
      <c r="AB1062" s="24">
        <v>1613.07</v>
      </c>
      <c r="AC1062" s="20">
        <v>259.35638114895119</v>
      </c>
      <c r="AD1062" s="21">
        <v>46088</v>
      </c>
      <c r="AE1062" s="22">
        <v>667626.57885451987</v>
      </c>
      <c r="AF1062" s="23">
        <v>512306.6159333337</v>
      </c>
      <c r="AG1062" s="24">
        <v>610693.54593333381</v>
      </c>
      <c r="AH1062" s="15">
        <v>0.5</v>
      </c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5"/>
      <c r="BO1062" s="25"/>
      <c r="BP1062" s="25"/>
    </row>
    <row r="1063" spans="1:68" ht="15" customHeight="1" x14ac:dyDescent="0.25">
      <c r="A1063" s="1">
        <f t="shared" si="67"/>
        <v>569</v>
      </c>
      <c r="B1063" s="1" t="str">
        <f t="shared" si="64"/>
        <v xml:space="preserve">Georgia </v>
      </c>
      <c r="C1063" s="1">
        <f t="shared" si="65"/>
        <v>0</v>
      </c>
      <c r="D1063" s="2" t="str">
        <f t="shared" si="66"/>
        <v>2026-03</v>
      </c>
      <c r="E1063" s="3" t="s">
        <v>1484</v>
      </c>
      <c r="F1063" s="4" t="s">
        <v>1478</v>
      </c>
      <c r="G1063" s="39">
        <v>46088</v>
      </c>
      <c r="H1063" s="40">
        <v>-157</v>
      </c>
      <c r="I1063" s="40">
        <v>157</v>
      </c>
      <c r="J1063" s="7">
        <v>-114</v>
      </c>
      <c r="K1063" s="8">
        <v>0.14676769745375132</v>
      </c>
      <c r="L1063" s="9">
        <v>7.8184661260409571E-2</v>
      </c>
      <c r="M1063" s="10">
        <v>-157.00000000000003</v>
      </c>
      <c r="N1063" s="11">
        <v>1.8771929824561404</v>
      </c>
      <c r="O1063" s="12">
        <v>51224.094329053289</v>
      </c>
      <c r="P1063" s="13" t="s">
        <v>506</v>
      </c>
      <c r="Q1063" s="13" t="s">
        <v>76</v>
      </c>
      <c r="R1063" s="14" t="s">
        <v>605</v>
      </c>
      <c r="S1063" s="13">
        <v>2627</v>
      </c>
      <c r="T1063" s="13">
        <v>1838.8999999999999</v>
      </c>
      <c r="U1063" s="32">
        <v>1838.8999999999999</v>
      </c>
      <c r="V1063" s="6" t="s">
        <v>77</v>
      </c>
      <c r="W1063" s="15"/>
      <c r="X1063" s="15"/>
      <c r="Y1063" s="16"/>
      <c r="Z1063" s="17"/>
      <c r="AA1063" s="16"/>
      <c r="AB1063" s="24">
        <v>1613.07</v>
      </c>
      <c r="AC1063" s="20">
        <v>269.8911188477033</v>
      </c>
      <c r="AD1063" s="21">
        <v>46088</v>
      </c>
      <c r="AE1063" s="22">
        <v>667896.46997336752</v>
      </c>
      <c r="AF1063" s="23">
        <v>513919.68593333371</v>
      </c>
      <c r="AG1063" s="24">
        <v>612306.61593333376</v>
      </c>
      <c r="AH1063" s="15">
        <v>0.5</v>
      </c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5"/>
      <c r="BO1063" s="25"/>
      <c r="BP1063" s="25"/>
    </row>
    <row r="1064" spans="1:68" ht="15" customHeight="1" x14ac:dyDescent="0.25">
      <c r="A1064" s="1">
        <f t="shared" si="67"/>
        <v>569</v>
      </c>
      <c r="B1064" s="1" t="str">
        <f t="shared" si="64"/>
        <v xml:space="preserve">Georgia </v>
      </c>
      <c r="C1064" s="1">
        <f t="shared" si="65"/>
        <v>0</v>
      </c>
      <c r="D1064" s="2" t="str">
        <f t="shared" si="66"/>
        <v>2026-03</v>
      </c>
      <c r="E1064" s="3" t="s">
        <v>1485</v>
      </c>
      <c r="F1064" s="4" t="s">
        <v>1478</v>
      </c>
      <c r="G1064" s="39">
        <v>46088</v>
      </c>
      <c r="H1064" s="40">
        <v>103</v>
      </c>
      <c r="I1064" s="40">
        <v>-103</v>
      </c>
      <c r="J1064" s="7">
        <v>125</v>
      </c>
      <c r="K1064" s="8">
        <v>0.10837438423645315</v>
      </c>
      <c r="L1064" s="9">
        <v>4.8166392993979179E-2</v>
      </c>
      <c r="M1064" s="10">
        <v>103.00000000000001</v>
      </c>
      <c r="N1064" s="11">
        <v>2.25</v>
      </c>
      <c r="O1064" s="12">
        <v>26613.267173464697</v>
      </c>
      <c r="P1064" s="13" t="s">
        <v>506</v>
      </c>
      <c r="Q1064" s="13" t="s">
        <v>76</v>
      </c>
      <c r="R1064" s="14" t="s">
        <v>605</v>
      </c>
      <c r="S1064" s="13">
        <v>1849</v>
      </c>
      <c r="T1064" s="13">
        <v>1294.3</v>
      </c>
      <c r="U1064" s="32">
        <v>1294.3</v>
      </c>
      <c r="V1064" s="6" t="s">
        <v>77</v>
      </c>
      <c r="W1064" s="15"/>
      <c r="X1064" s="15"/>
      <c r="Y1064" s="16"/>
      <c r="Z1064" s="17"/>
      <c r="AA1064" s="16"/>
      <c r="AB1064" s="24">
        <v>1617.88</v>
      </c>
      <c r="AC1064" s="20">
        <v>140.2689655172413</v>
      </c>
      <c r="AD1064" s="21">
        <v>46088</v>
      </c>
      <c r="AE1064" s="22">
        <v>668036.73893888481</v>
      </c>
      <c r="AF1064" s="23">
        <v>515537.56593333371</v>
      </c>
      <c r="AG1064" s="24">
        <v>613919.68593333371</v>
      </c>
      <c r="AH1064" s="15">
        <v>0.5</v>
      </c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5"/>
      <c r="BO1064" s="25"/>
      <c r="BP1064" s="25"/>
    </row>
    <row r="1065" spans="1:68" ht="15" customHeight="1" x14ac:dyDescent="0.25">
      <c r="A1065" s="1">
        <f t="shared" si="67"/>
        <v>569</v>
      </c>
      <c r="B1065" s="1" t="str">
        <f t="shared" si="64"/>
        <v xml:space="preserve">Georgia </v>
      </c>
      <c r="C1065" s="1">
        <f t="shared" si="65"/>
        <v>0</v>
      </c>
      <c r="D1065" s="2" t="str">
        <f t="shared" si="66"/>
        <v>2026-03</v>
      </c>
      <c r="E1065" s="3" t="s">
        <v>1486</v>
      </c>
      <c r="F1065" s="4" t="s">
        <v>1478</v>
      </c>
      <c r="G1065" s="39">
        <v>46088</v>
      </c>
      <c r="H1065" s="40">
        <v>131</v>
      </c>
      <c r="I1065" s="40">
        <v>-131</v>
      </c>
      <c r="J1065" s="7">
        <v>185</v>
      </c>
      <c r="K1065" s="8">
        <v>0.23376623376623382</v>
      </c>
      <c r="L1065" s="9">
        <v>8.2023239917976776E-2</v>
      </c>
      <c r="M1065" s="10">
        <v>131</v>
      </c>
      <c r="N1065" s="11">
        <v>2.85</v>
      </c>
      <c r="O1065" s="12">
        <v>38842.911150579188</v>
      </c>
      <c r="P1065" s="13" t="s">
        <v>506</v>
      </c>
      <c r="Q1065" s="13" t="s">
        <v>81</v>
      </c>
      <c r="R1065" s="14" t="s">
        <v>605</v>
      </c>
      <c r="S1065" s="13">
        <v>1249</v>
      </c>
      <c r="T1065" s="13">
        <v>874.3</v>
      </c>
      <c r="U1065" s="32">
        <v>874.3</v>
      </c>
      <c r="V1065" s="6" t="s">
        <v>82</v>
      </c>
      <c r="W1065" s="15"/>
      <c r="X1065" s="15"/>
      <c r="Y1065" s="16"/>
      <c r="Z1065" s="17"/>
      <c r="AA1065" s="16"/>
      <c r="AB1065" s="24">
        <v>-874.3</v>
      </c>
      <c r="AC1065" s="20">
        <v>204.3818181818182</v>
      </c>
      <c r="AD1065" s="21">
        <v>46088</v>
      </c>
      <c r="AE1065" s="22">
        <v>668317.27068810118</v>
      </c>
      <c r="AF1065" s="23">
        <v>513922.66593333369</v>
      </c>
      <c r="AG1065" s="24">
        <v>614796.96593333373</v>
      </c>
      <c r="AH1065" s="15">
        <v>0.5</v>
      </c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  <c r="BN1065" s="25"/>
      <c r="BO1065" s="25"/>
      <c r="BP1065" s="25"/>
    </row>
    <row r="1066" spans="1:68" ht="15" customHeight="1" x14ac:dyDescent="0.25">
      <c r="A1066" s="1">
        <f t="shared" si="67"/>
        <v>569</v>
      </c>
      <c r="B1066" s="1" t="str">
        <f t="shared" si="64"/>
        <v xml:space="preserve">Georgia </v>
      </c>
      <c r="C1066" s="1">
        <f t="shared" si="65"/>
        <v>0</v>
      </c>
      <c r="D1066" s="2" t="str">
        <f t="shared" si="66"/>
        <v>2026-03</v>
      </c>
      <c r="E1066" s="3" t="s">
        <v>1487</v>
      </c>
      <c r="F1066" s="4" t="s">
        <v>1478</v>
      </c>
      <c r="G1066" s="39">
        <v>46088</v>
      </c>
      <c r="H1066" s="40">
        <v>-152</v>
      </c>
      <c r="I1066" s="40">
        <v>152</v>
      </c>
      <c r="J1066" s="7">
        <v>-103</v>
      </c>
      <c r="K1066" s="8">
        <v>0.18878101402373229</v>
      </c>
      <c r="L1066" s="9">
        <v>9.578544061302674E-2</v>
      </c>
      <c r="M1066" s="10">
        <v>-151.99999999999997</v>
      </c>
      <c r="N1066" s="11">
        <v>1.970873786407767</v>
      </c>
      <c r="O1066" s="12">
        <v>59686.925854629604</v>
      </c>
      <c r="P1066" s="13" t="s">
        <v>506</v>
      </c>
      <c r="Q1066" s="13" t="s">
        <v>76</v>
      </c>
      <c r="R1066" s="14" t="s">
        <v>605</v>
      </c>
      <c r="S1066" s="13">
        <v>2383</v>
      </c>
      <c r="T1066" s="13">
        <v>1668.1</v>
      </c>
      <c r="U1066" s="32">
        <v>1668.1</v>
      </c>
      <c r="V1066" s="6" t="s">
        <v>77</v>
      </c>
      <c r="W1066" s="15"/>
      <c r="X1066" s="15"/>
      <c r="Y1066" s="16"/>
      <c r="Z1066" s="17"/>
      <c r="AA1066" s="16"/>
      <c r="AB1066" s="24">
        <v>1619.51</v>
      </c>
      <c r="AC1066" s="20">
        <v>314.90560949298782</v>
      </c>
      <c r="AD1066" s="21">
        <v>46088</v>
      </c>
      <c r="AE1066" s="22">
        <v>668632.17629759421</v>
      </c>
      <c r="AF1066" s="23">
        <v>515542.1759333337</v>
      </c>
      <c r="AG1066" s="24">
        <v>613922.66593333369</v>
      </c>
      <c r="AH1066" s="15">
        <v>0.5</v>
      </c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  <c r="BN1066" s="25"/>
      <c r="BO1066" s="25"/>
      <c r="BP1066" s="25"/>
    </row>
    <row r="1067" spans="1:68" ht="15" customHeight="1" x14ac:dyDescent="0.25">
      <c r="A1067" s="1">
        <f t="shared" si="67"/>
        <v>569</v>
      </c>
      <c r="B1067" s="1" t="str">
        <f t="shared" si="64"/>
        <v xml:space="preserve">Georgia </v>
      </c>
      <c r="C1067" s="1">
        <f t="shared" si="65"/>
        <v>0</v>
      </c>
      <c r="D1067" s="2" t="str">
        <f t="shared" si="66"/>
        <v>2026-03</v>
      </c>
      <c r="E1067" s="3" t="s">
        <v>1488</v>
      </c>
      <c r="F1067" s="4" t="s">
        <v>1478</v>
      </c>
      <c r="G1067" s="39">
        <v>46088</v>
      </c>
      <c r="H1067" s="40">
        <v>-124</v>
      </c>
      <c r="I1067" s="40">
        <v>124</v>
      </c>
      <c r="J1067" s="7">
        <v>115</v>
      </c>
      <c r="K1067" s="8">
        <v>0.1901785714285715</v>
      </c>
      <c r="L1067" s="9">
        <v>8.8455149501661168E-2</v>
      </c>
      <c r="M1067" s="10">
        <v>-124.00000000000001</v>
      </c>
      <c r="N1067" s="11">
        <v>2.15</v>
      </c>
      <c r="O1067" s="12">
        <v>50896.926814363411</v>
      </c>
      <c r="P1067" s="13" t="s">
        <v>506</v>
      </c>
      <c r="Q1067" s="13" t="s">
        <v>76</v>
      </c>
      <c r="R1067" s="14" t="s">
        <v>605</v>
      </c>
      <c r="S1067" s="13">
        <v>2010</v>
      </c>
      <c r="T1067" s="13">
        <v>1407</v>
      </c>
      <c r="U1067" s="32">
        <v>1407</v>
      </c>
      <c r="V1067" s="6" t="s">
        <v>77</v>
      </c>
      <c r="W1067" s="15"/>
      <c r="X1067" s="15"/>
      <c r="Y1067" s="16"/>
      <c r="Z1067" s="17"/>
      <c r="AA1067" s="16"/>
      <c r="AB1067" s="24">
        <v>1618.05</v>
      </c>
      <c r="AC1067" s="20">
        <v>267.58125000000013</v>
      </c>
      <c r="AD1067" s="21">
        <v>46088</v>
      </c>
      <c r="AE1067" s="22">
        <v>668899.75754759426</v>
      </c>
      <c r="AF1067" s="23">
        <v>517160.22593333368</v>
      </c>
      <c r="AG1067" s="24">
        <v>615542.1759333337</v>
      </c>
      <c r="AH1067" s="15">
        <v>0.5</v>
      </c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5"/>
      <c r="BO1067" s="25"/>
      <c r="BP1067" s="25"/>
    </row>
    <row r="1068" spans="1:68" ht="15" customHeight="1" x14ac:dyDescent="0.25">
      <c r="A1068" s="1">
        <f t="shared" si="67"/>
        <v>569</v>
      </c>
      <c r="B1068" s="1" t="str">
        <f t="shared" si="64"/>
        <v xml:space="preserve">Georgia </v>
      </c>
      <c r="C1068" s="1">
        <f t="shared" si="65"/>
        <v>0</v>
      </c>
      <c r="D1068" s="2" t="str">
        <f t="shared" si="66"/>
        <v>2026-03</v>
      </c>
      <c r="E1068" s="3" t="s">
        <v>1489</v>
      </c>
      <c r="F1068" s="4" t="s">
        <v>1478</v>
      </c>
      <c r="G1068" s="39">
        <v>46088</v>
      </c>
      <c r="H1068" s="40">
        <v>-131</v>
      </c>
      <c r="I1068" s="40">
        <v>131</v>
      </c>
      <c r="J1068" s="7">
        <v>118</v>
      </c>
      <c r="K1068" s="8">
        <v>0.23627705627705606</v>
      </c>
      <c r="L1068" s="9">
        <v>0.10838397076929179</v>
      </c>
      <c r="M1068" s="10">
        <v>-131</v>
      </c>
      <c r="N1068" s="11">
        <v>2.1799999999999997</v>
      </c>
      <c r="O1068" s="12">
        <v>61788.475184241928</v>
      </c>
      <c r="P1068" s="13" t="s">
        <v>506</v>
      </c>
      <c r="Q1068" s="13" t="s">
        <v>76</v>
      </c>
      <c r="R1068" s="14" t="s">
        <v>605</v>
      </c>
      <c r="S1068" s="13">
        <v>1959</v>
      </c>
      <c r="T1068" s="13">
        <v>1371.3</v>
      </c>
      <c r="U1068" s="32">
        <v>1371.3</v>
      </c>
      <c r="V1068" s="6" t="s">
        <v>82</v>
      </c>
      <c r="W1068" s="15"/>
      <c r="X1068" s="15"/>
      <c r="Y1068" s="16"/>
      <c r="Z1068" s="17"/>
      <c r="AA1068" s="16"/>
      <c r="AB1068" s="24">
        <v>-1371.3</v>
      </c>
      <c r="AC1068" s="20">
        <v>324.00672727272695</v>
      </c>
      <c r="AD1068" s="21">
        <v>46088</v>
      </c>
      <c r="AE1068" s="22">
        <v>669223.76427486702</v>
      </c>
      <c r="AF1068" s="23">
        <v>515788.9259333337</v>
      </c>
      <c r="AG1068" s="24">
        <v>617160.22593333374</v>
      </c>
      <c r="AH1068" s="15">
        <v>0.5</v>
      </c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5"/>
      <c r="BO1068" s="25"/>
      <c r="BP1068" s="25"/>
    </row>
    <row r="1069" spans="1:68" ht="15" customHeight="1" x14ac:dyDescent="0.25">
      <c r="A1069" s="1">
        <f t="shared" si="67"/>
        <v>569</v>
      </c>
      <c r="B1069" s="1" t="str">
        <f t="shared" si="64"/>
        <v xml:space="preserve">Georgia </v>
      </c>
      <c r="C1069" s="1">
        <f t="shared" si="65"/>
        <v>0</v>
      </c>
      <c r="D1069" s="2" t="str">
        <f t="shared" si="66"/>
        <v>2026-03</v>
      </c>
      <c r="E1069" s="3" t="s">
        <v>1486</v>
      </c>
      <c r="F1069" s="4" t="s">
        <v>1478</v>
      </c>
      <c r="G1069" s="39">
        <v>46088</v>
      </c>
      <c r="H1069" s="40">
        <v>122</v>
      </c>
      <c r="I1069" s="40">
        <v>-122</v>
      </c>
      <c r="J1069" s="7">
        <v>195</v>
      </c>
      <c r="K1069" s="8">
        <v>0.32882882882882908</v>
      </c>
      <c r="L1069" s="9">
        <v>0.1114673996029929</v>
      </c>
      <c r="M1069" s="10">
        <v>121.99999999999997</v>
      </c>
      <c r="N1069" s="11">
        <v>2.95</v>
      </c>
      <c r="O1069" s="12">
        <v>51920.295210364275</v>
      </c>
      <c r="P1069" s="13" t="s">
        <v>506</v>
      </c>
      <c r="Q1069" s="13" t="s">
        <v>81</v>
      </c>
      <c r="R1069" s="14" t="s">
        <v>605</v>
      </c>
      <c r="S1069" s="13">
        <v>1185</v>
      </c>
      <c r="T1069" s="13">
        <v>829.5</v>
      </c>
      <c r="U1069" s="32">
        <v>829.5</v>
      </c>
      <c r="V1069" s="6" t="s">
        <v>82</v>
      </c>
      <c r="W1069" s="15"/>
      <c r="X1069" s="15"/>
      <c r="Y1069" s="16"/>
      <c r="Z1069" s="17"/>
      <c r="AA1069" s="16"/>
      <c r="AB1069" s="24">
        <v>-829.5</v>
      </c>
      <c r="AC1069" s="20">
        <v>272.76351351351371</v>
      </c>
      <c r="AD1069" s="21">
        <v>46088</v>
      </c>
      <c r="AE1069" s="22">
        <v>669496.52778838051</v>
      </c>
      <c r="AF1069" s="23">
        <v>514959.4259333337</v>
      </c>
      <c r="AG1069" s="24">
        <v>615788.9259333337</v>
      </c>
      <c r="AH1069" s="15">
        <v>0.5</v>
      </c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5"/>
      <c r="BO1069" s="25"/>
      <c r="BP1069" s="25"/>
    </row>
    <row r="1070" spans="1:68" ht="15" customHeight="1" x14ac:dyDescent="0.25">
      <c r="A1070" s="1">
        <f t="shared" si="67"/>
        <v>569</v>
      </c>
      <c r="B1070" s="1" t="str">
        <f t="shared" si="64"/>
        <v xml:space="preserve">Georgia </v>
      </c>
      <c r="C1070" s="1">
        <f t="shared" si="65"/>
        <v>0</v>
      </c>
      <c r="D1070" s="2" t="str">
        <f t="shared" si="66"/>
        <v>2026-03</v>
      </c>
      <c r="E1070" s="3" t="s">
        <v>1489</v>
      </c>
      <c r="F1070" s="4" t="s">
        <v>1478</v>
      </c>
      <c r="G1070" s="39">
        <v>46088</v>
      </c>
      <c r="H1070" s="40">
        <v>-112</v>
      </c>
      <c r="I1070" s="40">
        <v>112</v>
      </c>
      <c r="J1070" s="7">
        <v>128</v>
      </c>
      <c r="K1070" s="8">
        <v>0.2045283018867925</v>
      </c>
      <c r="L1070" s="9">
        <v>8.9705395564382673E-2</v>
      </c>
      <c r="M1070" s="10">
        <v>-112</v>
      </c>
      <c r="N1070" s="11">
        <v>2.2800000000000002</v>
      </c>
      <c r="O1070" s="12">
        <v>49131.487154461509</v>
      </c>
      <c r="P1070" s="13" t="s">
        <v>506</v>
      </c>
      <c r="Q1070" s="13" t="s">
        <v>76</v>
      </c>
      <c r="R1070" s="14" t="s">
        <v>605</v>
      </c>
      <c r="S1070" s="13">
        <v>1806</v>
      </c>
      <c r="T1070" s="13">
        <v>1264.1999999999998</v>
      </c>
      <c r="U1070" s="32">
        <v>1264.1999999999998</v>
      </c>
      <c r="V1070" s="6" t="s">
        <v>82</v>
      </c>
      <c r="W1070" s="15"/>
      <c r="X1070" s="15"/>
      <c r="Y1070" s="16"/>
      <c r="Z1070" s="17"/>
      <c r="AA1070" s="16"/>
      <c r="AB1070" s="24">
        <v>-1264.1999999999998</v>
      </c>
      <c r="AC1070" s="20">
        <v>258.56467924528306</v>
      </c>
      <c r="AD1070" s="21">
        <v>46088</v>
      </c>
      <c r="AE1070" s="22">
        <v>669755.09246762574</v>
      </c>
      <c r="AF1070" s="23">
        <v>513695.22593333368</v>
      </c>
      <c r="AG1070" s="24">
        <v>614959.4259333337</v>
      </c>
      <c r="AH1070" s="15">
        <v>0.5</v>
      </c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5"/>
      <c r="BO1070" s="25"/>
      <c r="BP1070" s="25"/>
    </row>
    <row r="1071" spans="1:68" ht="15" customHeight="1" x14ac:dyDescent="0.25">
      <c r="A1071" s="1">
        <f t="shared" si="67"/>
        <v>569</v>
      </c>
      <c r="B1071" s="1" t="str">
        <f t="shared" si="64"/>
        <v xml:space="preserve">Georgia </v>
      </c>
      <c r="C1071" s="1">
        <f t="shared" si="65"/>
        <v>0</v>
      </c>
      <c r="D1071" s="2" t="str">
        <f t="shared" si="66"/>
        <v>2026-03</v>
      </c>
      <c r="E1071" s="3" t="s">
        <v>1487</v>
      </c>
      <c r="F1071" s="4" t="s">
        <v>1478</v>
      </c>
      <c r="G1071" s="39">
        <v>46088</v>
      </c>
      <c r="H1071" s="40">
        <v>-165</v>
      </c>
      <c r="I1071" s="40">
        <v>165</v>
      </c>
      <c r="J1071" s="7">
        <v>-110</v>
      </c>
      <c r="K1071" s="8">
        <v>0.18867924528301896</v>
      </c>
      <c r="L1071" s="9">
        <v>9.8831985624438512E-2</v>
      </c>
      <c r="M1071" s="10">
        <v>-165.00000000000006</v>
      </c>
      <c r="N1071" s="11">
        <v>1.9090909090909092</v>
      </c>
      <c r="O1071" s="12">
        <v>63685.353634591265</v>
      </c>
      <c r="P1071" s="13" t="s">
        <v>506</v>
      </c>
      <c r="Q1071" s="13" t="s">
        <v>76</v>
      </c>
      <c r="R1071" s="14" t="s">
        <v>605</v>
      </c>
      <c r="S1071" s="13">
        <v>1240</v>
      </c>
      <c r="T1071" s="13">
        <v>868</v>
      </c>
      <c r="U1071" s="32">
        <v>868</v>
      </c>
      <c r="V1071" s="6" t="s">
        <v>77</v>
      </c>
      <c r="W1071" s="15"/>
      <c r="X1071" s="15"/>
      <c r="Y1071" s="16"/>
      <c r="Z1071" s="17"/>
      <c r="AA1071" s="16"/>
      <c r="AB1071" s="24">
        <v>789.09</v>
      </c>
      <c r="AC1071" s="20">
        <v>163.77358490566047</v>
      </c>
      <c r="AD1071" s="21">
        <v>46088</v>
      </c>
      <c r="AE1071" s="22">
        <v>669918.8660525314</v>
      </c>
      <c r="AF1071" s="23">
        <v>514484.31593333371</v>
      </c>
      <c r="AG1071" s="24">
        <v>613695.22593333374</v>
      </c>
      <c r="AH1071" s="15">
        <v>0.5</v>
      </c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5"/>
      <c r="BO1071" s="25"/>
      <c r="BP1071" s="25"/>
    </row>
    <row r="1072" spans="1:68" ht="15" customHeight="1" x14ac:dyDescent="0.25">
      <c r="A1072" s="1">
        <f t="shared" si="67"/>
        <v>569</v>
      </c>
      <c r="B1072" s="1" t="str">
        <f t="shared" si="64"/>
        <v xml:space="preserve">Georgia </v>
      </c>
      <c r="C1072" s="1">
        <f t="shared" si="65"/>
        <v>0</v>
      </c>
      <c r="D1072" s="2" t="str">
        <f t="shared" si="66"/>
        <v>2026-03</v>
      </c>
      <c r="E1072" s="3" t="s">
        <v>1488</v>
      </c>
      <c r="F1072" s="4" t="s">
        <v>1478</v>
      </c>
      <c r="G1072" s="39">
        <v>46088</v>
      </c>
      <c r="H1072" s="40">
        <v>-109</v>
      </c>
      <c r="I1072" s="40">
        <v>109</v>
      </c>
      <c r="J1072" s="7">
        <v>130</v>
      </c>
      <c r="K1072" s="8">
        <v>0.19952153110047821</v>
      </c>
      <c r="L1072" s="9">
        <v>8.6748491782816628E-2</v>
      </c>
      <c r="M1072" s="10">
        <v>-108.99999999999999</v>
      </c>
      <c r="N1072" s="11">
        <v>2.2999999999999998</v>
      </c>
      <c r="O1072" s="12">
        <v>47397.525786566039</v>
      </c>
      <c r="P1072" s="13" t="s">
        <v>506</v>
      </c>
      <c r="Q1072" s="13" t="s">
        <v>76</v>
      </c>
      <c r="R1072" s="14" t="s">
        <v>605</v>
      </c>
      <c r="S1072" s="13">
        <v>1778</v>
      </c>
      <c r="T1072" s="13">
        <v>1244.5999999999999</v>
      </c>
      <c r="U1072" s="32">
        <v>1244.5999999999999</v>
      </c>
      <c r="V1072" s="6" t="s">
        <v>77</v>
      </c>
      <c r="W1072" s="15"/>
      <c r="X1072" s="15"/>
      <c r="Y1072" s="16"/>
      <c r="Z1072" s="17"/>
      <c r="AA1072" s="16"/>
      <c r="AB1072" s="24">
        <v>1617.98</v>
      </c>
      <c r="AC1072" s="20">
        <v>248.32449760765516</v>
      </c>
      <c r="AD1072" s="21">
        <v>46088</v>
      </c>
      <c r="AE1072" s="22">
        <v>670644.23983542912</v>
      </c>
      <c r="AF1072" s="23">
        <v>519263.43593333371</v>
      </c>
      <c r="AG1072" s="24">
        <v>617645.45593333372</v>
      </c>
      <c r="AH1072" s="15">
        <v>0.5</v>
      </c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5"/>
      <c r="BO1072" s="25"/>
      <c r="BP1072" s="25"/>
    </row>
    <row r="1073" spans="1:68" ht="15" customHeight="1" x14ac:dyDescent="0.25">
      <c r="A1073" s="1">
        <f t="shared" si="67"/>
        <v>570</v>
      </c>
      <c r="B1073" s="1" t="str">
        <f t="shared" si="64"/>
        <v xml:space="preserve">Kansas </v>
      </c>
      <c r="C1073" s="1">
        <f t="shared" si="65"/>
        <v>1</v>
      </c>
      <c r="D1073" s="2" t="str">
        <f t="shared" si="66"/>
        <v>2026-03</v>
      </c>
      <c r="E1073" s="3" t="s">
        <v>1490</v>
      </c>
      <c r="F1073" s="4" t="s">
        <v>1478</v>
      </c>
      <c r="G1073" s="39">
        <v>46088</v>
      </c>
      <c r="H1073" s="40">
        <v>-129</v>
      </c>
      <c r="I1073" s="40">
        <v>129</v>
      </c>
      <c r="J1073" s="7">
        <v>-103</v>
      </c>
      <c r="K1073" s="8">
        <v>0.11023021155721358</v>
      </c>
      <c r="L1073" s="9">
        <v>5.5929614730999999E-2</v>
      </c>
      <c r="M1073" s="10">
        <v>-129</v>
      </c>
      <c r="N1073" s="11">
        <v>1.970873786407767</v>
      </c>
      <c r="O1073" s="12">
        <v>35098.543087918464</v>
      </c>
      <c r="P1073" s="13" t="s">
        <v>506</v>
      </c>
      <c r="Q1073" s="13" t="s">
        <v>92</v>
      </c>
      <c r="R1073" s="14" t="s">
        <v>619</v>
      </c>
      <c r="S1073" s="13">
        <v>357</v>
      </c>
      <c r="T1073" s="13">
        <v>249.89999999999998</v>
      </c>
      <c r="U1073" s="32">
        <v>249.89999999999998</v>
      </c>
      <c r="V1073" s="6" t="s">
        <v>77</v>
      </c>
      <c r="W1073" s="15"/>
      <c r="X1073" s="15"/>
      <c r="Y1073" s="16"/>
      <c r="Z1073" s="17"/>
      <c r="AA1073" s="16"/>
      <c r="AB1073" s="24">
        <v>242.62</v>
      </c>
      <c r="AC1073" s="20">
        <v>27.546529868147669</v>
      </c>
      <c r="AD1073" s="21">
        <v>46088</v>
      </c>
      <c r="AE1073" s="22">
        <v>670813.36322236073</v>
      </c>
      <c r="AF1073" s="23">
        <v>518516.95593333372</v>
      </c>
      <c r="AG1073" s="24">
        <v>618274.33593333373</v>
      </c>
      <c r="AH1073" s="15">
        <v>0.5</v>
      </c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5"/>
      <c r="BO1073" s="25"/>
      <c r="BP1073" s="25"/>
    </row>
    <row r="1074" spans="1:68" ht="15" customHeight="1" x14ac:dyDescent="0.25">
      <c r="A1074" s="1">
        <f t="shared" si="67"/>
        <v>571</v>
      </c>
      <c r="B1074" s="1" t="str">
        <f t="shared" si="64"/>
        <v xml:space="preserve">Louisiana </v>
      </c>
      <c r="C1074" s="1">
        <f t="shared" si="65"/>
        <v>1</v>
      </c>
      <c r="D1074" s="2" t="str">
        <f t="shared" si="66"/>
        <v>2026-03</v>
      </c>
      <c r="E1074" s="3" t="s">
        <v>1491</v>
      </c>
      <c r="F1074" s="4" t="s">
        <v>1478</v>
      </c>
      <c r="G1074" s="39">
        <v>46088</v>
      </c>
      <c r="H1074" s="40">
        <v>-103</v>
      </c>
      <c r="I1074" s="40">
        <v>103</v>
      </c>
      <c r="J1074" s="7">
        <v>118</v>
      </c>
      <c r="K1074" s="8">
        <v>0.10610837438423636</v>
      </c>
      <c r="L1074" s="9">
        <v>4.8673566231301091E-2</v>
      </c>
      <c r="M1074" s="10">
        <v>-103.00000000000001</v>
      </c>
      <c r="N1074" s="11">
        <v>2.1799999999999997</v>
      </c>
      <c r="O1074" s="12">
        <v>27660.468882449699</v>
      </c>
      <c r="P1074" s="13" t="s">
        <v>506</v>
      </c>
      <c r="Q1074" s="13" t="s">
        <v>92</v>
      </c>
      <c r="R1074" s="14" t="s">
        <v>1492</v>
      </c>
      <c r="S1074" s="13">
        <v>587</v>
      </c>
      <c r="T1074" s="13">
        <v>410.9</v>
      </c>
      <c r="U1074" s="32">
        <v>410.9</v>
      </c>
      <c r="V1074" s="6" t="s">
        <v>82</v>
      </c>
      <c r="W1074" s="15"/>
      <c r="X1074" s="15"/>
      <c r="Y1074" s="16"/>
      <c r="Z1074" s="17"/>
      <c r="AA1074" s="16"/>
      <c r="AB1074" s="24">
        <v>-410.9</v>
      </c>
      <c r="AC1074" s="20">
        <v>43.599931034482715</v>
      </c>
      <c r="AD1074" s="21">
        <v>46088</v>
      </c>
      <c r="AE1074" s="22">
        <v>668112.88886991935</v>
      </c>
      <c r="AF1074" s="23">
        <v>514796.96593333367</v>
      </c>
      <c r="AG1074" s="24">
        <v>615207.86593333376</v>
      </c>
      <c r="AH1074" s="15">
        <v>0.5</v>
      </c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5"/>
      <c r="BO1074" s="25"/>
      <c r="BP1074" s="25"/>
    </row>
    <row r="1075" spans="1:68" ht="15" customHeight="1" x14ac:dyDescent="0.25">
      <c r="A1075" s="1">
        <f t="shared" si="67"/>
        <v>572</v>
      </c>
      <c r="B1075" s="1" t="str">
        <f t="shared" si="64"/>
        <v xml:space="preserve">Missouri </v>
      </c>
      <c r="C1075" s="1">
        <f t="shared" si="65"/>
        <v>0</v>
      </c>
      <c r="D1075" s="2" t="str">
        <f t="shared" si="66"/>
        <v>2026-03</v>
      </c>
      <c r="E1075" s="3" t="s">
        <v>1493</v>
      </c>
      <c r="F1075" s="4" t="s">
        <v>1478</v>
      </c>
      <c r="G1075" s="39">
        <v>46088</v>
      </c>
      <c r="H1075" s="40">
        <v>-107</v>
      </c>
      <c r="I1075" s="40">
        <v>107</v>
      </c>
      <c r="J1075" s="7">
        <v>114</v>
      </c>
      <c r="K1075" s="8">
        <v>0.1061835748792271</v>
      </c>
      <c r="L1075" s="9">
        <v>4.9618492934218272E-2</v>
      </c>
      <c r="M1075" s="10">
        <v>-107.00000000000003</v>
      </c>
      <c r="N1075" s="11">
        <v>2.1399999999999997</v>
      </c>
      <c r="O1075" s="12">
        <v>28263.941909091209</v>
      </c>
      <c r="P1075" s="13" t="s">
        <v>506</v>
      </c>
      <c r="Q1075" s="13" t="s">
        <v>81</v>
      </c>
      <c r="R1075" s="14" t="s">
        <v>927</v>
      </c>
      <c r="S1075" s="13">
        <v>1926</v>
      </c>
      <c r="T1075" s="13">
        <v>1348.1999999999998</v>
      </c>
      <c r="U1075" s="32">
        <v>1348.1999999999998</v>
      </c>
      <c r="V1075" s="6" t="s">
        <v>82</v>
      </c>
      <c r="W1075" s="15"/>
      <c r="X1075" s="15"/>
      <c r="Y1075" s="16"/>
      <c r="Z1075" s="17"/>
      <c r="AA1075" s="16"/>
      <c r="AB1075" s="24">
        <v>-1348.1999999999998</v>
      </c>
      <c r="AC1075" s="20">
        <v>143.15669565217397</v>
      </c>
      <c r="AD1075" s="21">
        <v>46088</v>
      </c>
      <c r="AE1075" s="22">
        <v>666559.60297337105</v>
      </c>
      <c r="AF1075" s="23">
        <v>505542.15593333368</v>
      </c>
      <c r="AG1075" s="24">
        <v>606890.35593333386</v>
      </c>
      <c r="AH1075" s="15">
        <v>0.5</v>
      </c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5"/>
      <c r="BO1075" s="25"/>
      <c r="BP1075" s="25"/>
    </row>
    <row r="1076" spans="1:68" ht="15" customHeight="1" x14ac:dyDescent="0.25">
      <c r="A1076" s="1">
        <f t="shared" si="67"/>
        <v>573</v>
      </c>
      <c r="B1076" s="1" t="str">
        <f t="shared" si="64"/>
        <v xml:space="preserve">Notre </v>
      </c>
      <c r="C1076" s="1">
        <f t="shared" si="65"/>
        <v>1</v>
      </c>
      <c r="D1076" s="2" t="str">
        <f t="shared" si="66"/>
        <v>2026-03</v>
      </c>
      <c r="E1076" s="3" t="s">
        <v>1494</v>
      </c>
      <c r="F1076" s="4" t="s">
        <v>1478</v>
      </c>
      <c r="G1076" s="39">
        <v>46088</v>
      </c>
      <c r="H1076" s="40">
        <v>-107</v>
      </c>
      <c r="I1076" s="40">
        <v>107</v>
      </c>
      <c r="J1076" s="7">
        <v>115</v>
      </c>
      <c r="K1076" s="8">
        <v>0.1113526570048311</v>
      </c>
      <c r="L1076" s="9">
        <v>5.1791933490619113E-2</v>
      </c>
      <c r="M1076" s="10">
        <v>-107.00000000000003</v>
      </c>
      <c r="N1076" s="11">
        <v>2.15</v>
      </c>
      <c r="O1076" s="12">
        <v>29855.807871798715</v>
      </c>
      <c r="P1076" s="13" t="s">
        <v>506</v>
      </c>
      <c r="Q1076" s="13" t="s">
        <v>92</v>
      </c>
      <c r="R1076" s="14" t="s">
        <v>496</v>
      </c>
      <c r="S1076" s="13">
        <v>1206</v>
      </c>
      <c r="T1076" s="13">
        <v>844.19999999999993</v>
      </c>
      <c r="U1076" s="32">
        <v>844.19999999999993</v>
      </c>
      <c r="V1076" s="6" t="s">
        <v>77</v>
      </c>
      <c r="W1076" s="15"/>
      <c r="X1076" s="15"/>
      <c r="Y1076" s="16"/>
      <c r="Z1076" s="17"/>
      <c r="AA1076" s="16"/>
      <c r="AB1076" s="24">
        <v>970.83</v>
      </c>
      <c r="AC1076" s="20">
        <v>94.003913043478406</v>
      </c>
      <c r="AD1076" s="21">
        <v>46088</v>
      </c>
      <c r="AE1076" s="22">
        <v>670395.91533782147</v>
      </c>
      <c r="AF1076" s="23">
        <v>517645.45593333372</v>
      </c>
      <c r="AG1076" s="24">
        <v>616674.62593333377</v>
      </c>
      <c r="AH1076" s="15">
        <v>0.5</v>
      </c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5"/>
      <c r="BO1076" s="25"/>
      <c r="BP1076" s="25"/>
    </row>
    <row r="1077" spans="1:68" ht="15" customHeight="1" x14ac:dyDescent="0.25">
      <c r="A1077" s="1">
        <f t="shared" si="67"/>
        <v>574</v>
      </c>
      <c r="B1077" s="1" t="str">
        <f t="shared" si="64"/>
        <v xml:space="preserve">Stony </v>
      </c>
      <c r="C1077" s="1">
        <f t="shared" si="65"/>
        <v>0</v>
      </c>
      <c r="D1077" s="2" t="str">
        <f t="shared" si="66"/>
        <v>2026-03</v>
      </c>
      <c r="E1077" s="3" t="s">
        <v>1495</v>
      </c>
      <c r="F1077" s="4" t="s">
        <v>1478</v>
      </c>
      <c r="G1077" s="39">
        <v>46088</v>
      </c>
      <c r="H1077" s="40">
        <v>214</v>
      </c>
      <c r="I1077" s="40">
        <v>-214</v>
      </c>
      <c r="J1077" s="36">
        <v>245</v>
      </c>
      <c r="K1077" s="8">
        <v>9.8726114649681437E-2</v>
      </c>
      <c r="L1077" s="9">
        <v>2.8616265115849693E-2</v>
      </c>
      <c r="M1077" s="10">
        <v>214</v>
      </c>
      <c r="N1077" s="11">
        <v>3.45</v>
      </c>
      <c r="O1077" s="12">
        <v>12401.965776636764</v>
      </c>
      <c r="P1077" s="13" t="s">
        <v>506</v>
      </c>
      <c r="Q1077" s="13" t="s">
        <v>81</v>
      </c>
      <c r="R1077" s="14" t="s">
        <v>1496</v>
      </c>
      <c r="S1077" s="13">
        <v>471</v>
      </c>
      <c r="T1077" s="13">
        <v>329.7</v>
      </c>
      <c r="U1077" s="32">
        <v>329.7</v>
      </c>
      <c r="V1077" s="31" t="s">
        <v>82</v>
      </c>
      <c r="W1077" s="15"/>
      <c r="X1077" s="15"/>
      <c r="Y1077" s="16"/>
      <c r="Z1077" s="17"/>
      <c r="AA1077" s="16"/>
      <c r="AB1077" s="24">
        <v>-329.7</v>
      </c>
      <c r="AC1077" s="20">
        <v>32.549999999999969</v>
      </c>
      <c r="AD1077" s="21">
        <v>46088</v>
      </c>
      <c r="AE1077" s="22">
        <v>668069.28893888486</v>
      </c>
      <c r="AF1077" s="23">
        <v>515207.8659333337</v>
      </c>
      <c r="AG1077" s="24">
        <v>615537.56593333371</v>
      </c>
      <c r="AH1077" s="15">
        <v>0.5</v>
      </c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5"/>
      <c r="BO1077" s="25"/>
      <c r="BP1077" s="25"/>
    </row>
    <row r="1078" spans="1:68" ht="15" customHeight="1" x14ac:dyDescent="0.25">
      <c r="A1078" s="1">
        <f t="shared" si="67"/>
        <v>575</v>
      </c>
      <c r="B1078" s="1" t="str">
        <f t="shared" si="64"/>
        <v xml:space="preserve">UNC </v>
      </c>
      <c r="C1078" s="1">
        <f t="shared" si="65"/>
        <v>1</v>
      </c>
      <c r="D1078" s="2" t="str">
        <f t="shared" si="66"/>
        <v>2026-03</v>
      </c>
      <c r="E1078" s="3" t="s">
        <v>1497</v>
      </c>
      <c r="F1078" s="4" t="s">
        <v>1478</v>
      </c>
      <c r="G1078" s="39">
        <v>46088</v>
      </c>
      <c r="H1078" s="40">
        <v>-132</v>
      </c>
      <c r="I1078" s="40">
        <v>132</v>
      </c>
      <c r="J1078" s="36">
        <v>105</v>
      </c>
      <c r="K1078" s="8">
        <v>0.16637931034482753</v>
      </c>
      <c r="L1078" s="9">
        <v>8.1160639192598805E-2</v>
      </c>
      <c r="M1078" s="10">
        <v>-132.00000000000003</v>
      </c>
      <c r="N1078" s="11">
        <v>2.0499999999999998</v>
      </c>
      <c r="O1078" s="12">
        <v>48948.551927394656</v>
      </c>
      <c r="P1078" s="13" t="s">
        <v>506</v>
      </c>
      <c r="Q1078" s="13" t="s">
        <v>92</v>
      </c>
      <c r="R1078" s="14" t="s">
        <v>943</v>
      </c>
      <c r="S1078" s="13">
        <v>132</v>
      </c>
      <c r="T1078" s="13">
        <v>92.399999999999991</v>
      </c>
      <c r="U1078" s="32">
        <v>92.399999999999991</v>
      </c>
      <c r="V1078" s="31" t="s">
        <v>82</v>
      </c>
      <c r="W1078" s="15"/>
      <c r="X1078" s="15"/>
      <c r="Y1078" s="16"/>
      <c r="Z1078" s="17"/>
      <c r="AA1078" s="16"/>
      <c r="AB1078" s="24">
        <v>-92.399999999999991</v>
      </c>
      <c r="AC1078" s="20">
        <v>15.373448275862062</v>
      </c>
      <c r="AD1078" s="21">
        <v>46088</v>
      </c>
      <c r="AE1078" s="22">
        <v>670919.1812522976</v>
      </c>
      <c r="AF1078" s="23">
        <v>517724.5559333337</v>
      </c>
      <c r="AG1078" s="24">
        <v>617816.95593333372</v>
      </c>
      <c r="AH1078" s="15">
        <v>0.5</v>
      </c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5"/>
      <c r="BO1078" s="25"/>
      <c r="BP1078" s="25"/>
    </row>
    <row r="1079" spans="1:68" ht="15" customHeight="1" x14ac:dyDescent="0.25">
      <c r="A1079" s="1">
        <f t="shared" si="67"/>
        <v>576</v>
      </c>
      <c r="B1079" s="1" t="str">
        <f t="shared" si="64"/>
        <v xml:space="preserve">Villanova </v>
      </c>
      <c r="C1079" s="1">
        <f t="shared" si="65"/>
        <v>0</v>
      </c>
      <c r="D1079" s="2" t="str">
        <f t="shared" si="66"/>
        <v>2026-03</v>
      </c>
      <c r="E1079" s="3" t="s">
        <v>1498</v>
      </c>
      <c r="F1079" s="4" t="s">
        <v>1478</v>
      </c>
      <c r="G1079" s="39">
        <v>46088</v>
      </c>
      <c r="H1079" s="40">
        <v>-133</v>
      </c>
      <c r="I1079" s="40">
        <v>133</v>
      </c>
      <c r="J1079" s="7">
        <v>-106</v>
      </c>
      <c r="K1079" s="8">
        <v>0.1093205927605474</v>
      </c>
      <c r="L1079" s="9">
        <v>5.6252343847660313E-2</v>
      </c>
      <c r="M1079" s="10">
        <v>-133</v>
      </c>
      <c r="N1079" s="11">
        <v>1.9433962264150944</v>
      </c>
      <c r="O1079" s="12">
        <v>35659.430493991436</v>
      </c>
      <c r="P1079" s="13" t="s">
        <v>506</v>
      </c>
      <c r="Q1079" s="13" t="s">
        <v>76</v>
      </c>
      <c r="R1079" s="14" t="s">
        <v>994</v>
      </c>
      <c r="S1079" s="13">
        <v>2459</v>
      </c>
      <c r="T1079" s="13">
        <v>1721.3</v>
      </c>
      <c r="U1079" s="32">
        <v>1721.3</v>
      </c>
      <c r="V1079" s="31" t="s">
        <v>77</v>
      </c>
      <c r="W1079" s="15"/>
      <c r="X1079" s="15"/>
      <c r="Y1079" s="16"/>
      <c r="Z1079" s="17"/>
      <c r="AA1079" s="16"/>
      <c r="AB1079" s="24">
        <v>1623.87</v>
      </c>
      <c r="AC1079" s="20">
        <v>188.17353631873024</v>
      </c>
      <c r="AD1079" s="21">
        <v>46088</v>
      </c>
      <c r="AE1079" s="22">
        <v>670242.28616162005</v>
      </c>
      <c r="AF1079" s="23">
        <v>517079.22593333368</v>
      </c>
      <c r="AG1079" s="24">
        <v>615455.35593333375</v>
      </c>
      <c r="AH1079" s="15">
        <v>0.5</v>
      </c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  <c r="BN1079" s="25"/>
      <c r="BO1079" s="25"/>
      <c r="BP1079" s="25"/>
    </row>
    <row r="1080" spans="1:68" ht="15" customHeight="1" x14ac:dyDescent="0.25">
      <c r="A1080" s="1">
        <f t="shared" si="67"/>
        <v>577</v>
      </c>
      <c r="B1080" s="1" t="str">
        <f t="shared" si="64"/>
        <v xml:space="preserve">Charlotte </v>
      </c>
      <c r="C1080" s="1">
        <f t="shared" si="65"/>
        <v>1</v>
      </c>
      <c r="D1080" s="2" t="str">
        <f t="shared" si="66"/>
        <v>2026-03</v>
      </c>
      <c r="E1080" s="3" t="s">
        <v>1499</v>
      </c>
      <c r="F1080" s="4" t="s">
        <v>1500</v>
      </c>
      <c r="G1080" s="39">
        <v>46091</v>
      </c>
      <c r="H1080" s="40">
        <v>150</v>
      </c>
      <c r="I1080" s="40">
        <v>-150</v>
      </c>
      <c r="J1080" s="7">
        <v>128</v>
      </c>
      <c r="K1080" s="8">
        <v>-8.7999999999999898E-2</v>
      </c>
      <c r="L1080" s="9">
        <v>-3.8596491228070129E-2</v>
      </c>
      <c r="M1080" s="10">
        <v>150</v>
      </c>
      <c r="N1080" s="11">
        <v>2.2800000000000002</v>
      </c>
      <c r="O1080" s="12">
        <v>-20894.397766458318</v>
      </c>
      <c r="P1080" s="13" t="s">
        <v>506</v>
      </c>
      <c r="Q1080" s="13" t="s">
        <v>92</v>
      </c>
      <c r="R1080" s="14" t="s">
        <v>1501</v>
      </c>
      <c r="S1080" s="13">
        <v>818</v>
      </c>
      <c r="T1080" s="13">
        <v>572.59999999999991</v>
      </c>
      <c r="U1080" s="32">
        <v>572.59999999999991</v>
      </c>
      <c r="V1080" s="31" t="s">
        <v>77</v>
      </c>
      <c r="W1080" s="15"/>
      <c r="X1080" s="15"/>
      <c r="Y1080" s="16"/>
      <c r="Z1080" s="17"/>
      <c r="AA1080" s="16"/>
      <c r="AB1080" s="24">
        <v>732.93</v>
      </c>
      <c r="AC1080" s="20">
        <v>-50.388799999999932</v>
      </c>
      <c r="AD1080" s="21">
        <v>46091</v>
      </c>
      <c r="AE1080" s="22">
        <v>674566.56652862683</v>
      </c>
      <c r="AF1080" s="23">
        <v>508569.95593333372</v>
      </c>
      <c r="AG1080" s="24">
        <v>607837.02593333367</v>
      </c>
      <c r="AH1080" s="15">
        <v>0.5</v>
      </c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5"/>
      <c r="BO1080" s="25"/>
      <c r="BP1080" s="25"/>
    </row>
    <row r="1081" spans="1:68" ht="15" customHeight="1" x14ac:dyDescent="0.25">
      <c r="A1081" s="1">
        <f t="shared" si="67"/>
        <v>578</v>
      </c>
      <c r="B1081" s="1" t="str">
        <f t="shared" si="64"/>
        <v xml:space="preserve">Detroit </v>
      </c>
      <c r="C1081" s="1">
        <f t="shared" si="65"/>
        <v>1</v>
      </c>
      <c r="D1081" s="2" t="str">
        <f t="shared" si="66"/>
        <v>2026-03</v>
      </c>
      <c r="E1081" s="3" t="s">
        <v>1502</v>
      </c>
      <c r="F1081" s="4" t="s">
        <v>1500</v>
      </c>
      <c r="G1081" s="39">
        <v>46091</v>
      </c>
      <c r="H1081" s="40">
        <v>-166</v>
      </c>
      <c r="I1081" s="40">
        <v>166</v>
      </c>
      <c r="J1081" s="7">
        <v>-127</v>
      </c>
      <c r="K1081" s="8">
        <v>0.11544609555384525</v>
      </c>
      <c r="L1081" s="9">
        <v>6.4588784737173333E-2</v>
      </c>
      <c r="M1081" s="10">
        <v>-166.00000000000003</v>
      </c>
      <c r="N1081" s="11">
        <v>1.7874015748031495</v>
      </c>
      <c r="O1081" s="12">
        <v>45421.30058533838</v>
      </c>
      <c r="P1081" s="13" t="s">
        <v>506</v>
      </c>
      <c r="Q1081" s="13" t="s">
        <v>92</v>
      </c>
      <c r="R1081" s="14" t="s">
        <v>1102</v>
      </c>
      <c r="S1081" s="13">
        <v>2210</v>
      </c>
      <c r="T1081" s="13">
        <v>1547</v>
      </c>
      <c r="U1081" s="32">
        <v>1547</v>
      </c>
      <c r="V1081" s="31" t="s">
        <v>77</v>
      </c>
      <c r="W1081" s="15"/>
      <c r="X1081" s="15"/>
      <c r="Y1081" s="16"/>
      <c r="Z1081" s="17"/>
      <c r="AA1081" s="16"/>
      <c r="AB1081" s="24">
        <v>1218.1099999999999</v>
      </c>
      <c r="AC1081" s="20">
        <v>178.59510982179859</v>
      </c>
      <c r="AD1081" s="21">
        <v>46091</v>
      </c>
      <c r="AE1081" s="22">
        <v>671997.34747379296</v>
      </c>
      <c r="AF1081" s="23">
        <v>520811.23593333375</v>
      </c>
      <c r="AG1081" s="24">
        <v>619593.12593333377</v>
      </c>
      <c r="AH1081" s="15">
        <v>0.5</v>
      </c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  <c r="BN1081" s="25"/>
      <c r="BO1081" s="25"/>
      <c r="BP1081" s="25"/>
    </row>
    <row r="1082" spans="1:68" ht="15" customHeight="1" x14ac:dyDescent="0.25">
      <c r="A1082" s="1">
        <f t="shared" si="67"/>
        <v>579</v>
      </c>
      <c r="B1082" s="1" t="str">
        <f t="shared" si="64"/>
        <v xml:space="preserve">Florida </v>
      </c>
      <c r="C1082" s="1">
        <f t="shared" si="65"/>
        <v>0</v>
      </c>
      <c r="D1082" s="2" t="str">
        <f t="shared" si="66"/>
        <v>2026-03</v>
      </c>
      <c r="E1082" s="3" t="s">
        <v>1503</v>
      </c>
      <c r="F1082" s="4" t="s">
        <v>1500</v>
      </c>
      <c r="G1082" s="39">
        <v>46091</v>
      </c>
      <c r="H1082" s="40">
        <v>125</v>
      </c>
      <c r="I1082" s="40">
        <v>-125</v>
      </c>
      <c r="J1082" s="7">
        <v>150</v>
      </c>
      <c r="K1082" s="8">
        <v>0.11111111111111099</v>
      </c>
      <c r="L1082" s="9">
        <v>4.4444444444444398E-2</v>
      </c>
      <c r="M1082" s="10">
        <v>125.00000000000001</v>
      </c>
      <c r="N1082" s="11">
        <v>2.5</v>
      </c>
      <c r="O1082" s="12">
        <v>22973.529108641964</v>
      </c>
      <c r="P1082" s="13" t="s">
        <v>506</v>
      </c>
      <c r="Q1082" s="13" t="s">
        <v>81</v>
      </c>
      <c r="R1082" s="14" t="s">
        <v>1504</v>
      </c>
      <c r="S1082" s="13">
        <v>2328</v>
      </c>
      <c r="T1082" s="13">
        <v>1629.6</v>
      </c>
      <c r="U1082" s="32">
        <v>1629.6</v>
      </c>
      <c r="V1082" s="31" t="s">
        <v>82</v>
      </c>
      <c r="W1082" s="15"/>
      <c r="X1082" s="15"/>
      <c r="Y1082" s="16"/>
      <c r="Z1082" s="17"/>
      <c r="AA1082" s="16"/>
      <c r="AB1082" s="24">
        <v>-1629.6</v>
      </c>
      <c r="AC1082" s="20">
        <v>181.06666666666646</v>
      </c>
      <c r="AD1082" s="21">
        <v>46091</v>
      </c>
      <c r="AE1082" s="22">
        <v>671593.11154941178</v>
      </c>
      <c r="AF1082" s="23">
        <v>518655.68593333376</v>
      </c>
      <c r="AG1082" s="24">
        <v>620285.28593333368</v>
      </c>
      <c r="AH1082" s="15">
        <v>0.5</v>
      </c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5"/>
      <c r="BO1082" s="25"/>
      <c r="BP1082" s="25"/>
    </row>
    <row r="1083" spans="1:68" ht="15" customHeight="1" x14ac:dyDescent="0.25">
      <c r="A1083" s="1">
        <f t="shared" si="67"/>
        <v>580</v>
      </c>
      <c r="B1083" s="1" t="str">
        <f t="shared" si="64"/>
        <v xml:space="preserve">Idaho </v>
      </c>
      <c r="C1083" s="1">
        <f t="shared" si="65"/>
        <v>0</v>
      </c>
      <c r="D1083" s="2" t="str">
        <f t="shared" si="66"/>
        <v>2026-03</v>
      </c>
      <c r="E1083" s="3" t="s">
        <v>1505</v>
      </c>
      <c r="F1083" s="4" t="s">
        <v>1500</v>
      </c>
      <c r="G1083" s="39">
        <v>46091</v>
      </c>
      <c r="H1083" s="40">
        <v>-104</v>
      </c>
      <c r="I1083" s="40">
        <v>104</v>
      </c>
      <c r="J1083" s="7">
        <v>114</v>
      </c>
      <c r="K1083" s="8">
        <v>9.0980392156862544E-2</v>
      </c>
      <c r="L1083" s="9">
        <v>4.251420194245914E-2</v>
      </c>
      <c r="M1083" s="10">
        <v>-103.99999999999999</v>
      </c>
      <c r="N1083" s="11">
        <v>2.1399999999999997</v>
      </c>
      <c r="O1083" s="12">
        <v>24482.345321041139</v>
      </c>
      <c r="P1083" s="13" t="s">
        <v>506</v>
      </c>
      <c r="Q1083" s="13" t="s">
        <v>76</v>
      </c>
      <c r="R1083" s="14" t="s">
        <v>1506</v>
      </c>
      <c r="S1083" s="13">
        <v>459</v>
      </c>
      <c r="T1083" s="13">
        <v>321.29999999999995</v>
      </c>
      <c r="U1083" s="32">
        <v>321.29999999999995</v>
      </c>
      <c r="V1083" s="31" t="s">
        <v>77</v>
      </c>
      <c r="W1083" s="15"/>
      <c r="X1083" s="15"/>
      <c r="Y1083" s="16"/>
      <c r="Z1083" s="17"/>
      <c r="AA1083" s="16"/>
      <c r="AB1083" s="24">
        <v>366.28</v>
      </c>
      <c r="AC1083" s="20">
        <v>29.231999999999932</v>
      </c>
      <c r="AD1083" s="21">
        <v>46091</v>
      </c>
      <c r="AE1083" s="22">
        <v>675621.57602966775</v>
      </c>
      <c r="AF1083" s="23">
        <v>513902.29593333381</v>
      </c>
      <c r="AG1083" s="24">
        <v>613536.0159333339</v>
      </c>
      <c r="AH1083" s="15">
        <v>0.5</v>
      </c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25"/>
      <c r="AY1083" s="25"/>
      <c r="AZ1083" s="25"/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5"/>
      <c r="BL1083" s="25"/>
      <c r="BM1083" s="25"/>
      <c r="BN1083" s="25"/>
      <c r="BO1083" s="25"/>
      <c r="BP1083" s="25"/>
    </row>
    <row r="1084" spans="1:68" ht="15" customHeight="1" x14ac:dyDescent="0.25">
      <c r="A1084" s="1">
        <f t="shared" si="67"/>
        <v>580</v>
      </c>
      <c r="B1084" s="1" t="str">
        <f t="shared" si="64"/>
        <v xml:space="preserve">Idaho </v>
      </c>
      <c r="C1084" s="1">
        <f t="shared" si="65"/>
        <v>0</v>
      </c>
      <c r="D1084" s="2" t="str">
        <f t="shared" si="66"/>
        <v>2026-03</v>
      </c>
      <c r="E1084" s="3" t="s">
        <v>1507</v>
      </c>
      <c r="F1084" s="4" t="s">
        <v>1500</v>
      </c>
      <c r="G1084" s="39">
        <v>46091</v>
      </c>
      <c r="H1084" s="40">
        <v>-108</v>
      </c>
      <c r="I1084" s="40">
        <v>108</v>
      </c>
      <c r="J1084" s="7">
        <v>118</v>
      </c>
      <c r="K1084" s="8">
        <v>0.13192307692307681</v>
      </c>
      <c r="L1084" s="9">
        <v>6.0515172900493963E-2</v>
      </c>
      <c r="M1084" s="10">
        <v>-108.00000000000001</v>
      </c>
      <c r="N1084" s="11">
        <v>2.1799999999999997</v>
      </c>
      <c r="O1084" s="12">
        <v>34316.898224435041</v>
      </c>
      <c r="P1084" s="13" t="s">
        <v>506</v>
      </c>
      <c r="Q1084" s="13" t="s">
        <v>76</v>
      </c>
      <c r="R1084" s="14" t="s">
        <v>1506</v>
      </c>
      <c r="S1084" s="13">
        <v>443</v>
      </c>
      <c r="T1084" s="13">
        <v>310.09999999999997</v>
      </c>
      <c r="U1084" s="32">
        <v>310.09999999999997</v>
      </c>
      <c r="V1084" s="31" t="s">
        <v>77</v>
      </c>
      <c r="W1084" s="15"/>
      <c r="X1084" s="15"/>
      <c r="Y1084" s="16"/>
      <c r="Z1084" s="17"/>
      <c r="AA1084" s="16"/>
      <c r="AB1084" s="24">
        <v>365.92</v>
      </c>
      <c r="AC1084" s="20">
        <v>40.909346153846116</v>
      </c>
      <c r="AD1084" s="21">
        <v>46091</v>
      </c>
      <c r="AE1084" s="22">
        <v>675662.48537582159</v>
      </c>
      <c r="AF1084" s="23">
        <v>514268.21593333379</v>
      </c>
      <c r="AG1084" s="24">
        <v>613902.29593333392</v>
      </c>
      <c r="AH1084" s="15">
        <v>0.5</v>
      </c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  <c r="BN1084" s="25"/>
      <c r="BO1084" s="25"/>
      <c r="BP1084" s="25"/>
    </row>
    <row r="1085" spans="1:68" ht="15" customHeight="1" x14ac:dyDescent="0.25">
      <c r="A1085" s="1">
        <f t="shared" si="67"/>
        <v>580</v>
      </c>
      <c r="B1085" s="1" t="str">
        <f t="shared" si="64"/>
        <v xml:space="preserve">Idaho </v>
      </c>
      <c r="C1085" s="1">
        <f t="shared" si="65"/>
        <v>0</v>
      </c>
      <c r="D1085" s="2" t="str">
        <f t="shared" si="66"/>
        <v>2026-03</v>
      </c>
      <c r="E1085" s="3" t="s">
        <v>1508</v>
      </c>
      <c r="F1085" s="4" t="s">
        <v>1500</v>
      </c>
      <c r="G1085" s="39">
        <v>46091</v>
      </c>
      <c r="H1085" s="40">
        <v>-143</v>
      </c>
      <c r="I1085" s="40">
        <v>143</v>
      </c>
      <c r="J1085" s="7">
        <v>-111</v>
      </c>
      <c r="K1085" s="8">
        <v>0.11863715567419292</v>
      </c>
      <c r="L1085" s="9">
        <v>6.2411015544243664E-2</v>
      </c>
      <c r="M1085" s="10">
        <v>-143</v>
      </c>
      <c r="N1085" s="11">
        <v>1.900900900900901</v>
      </c>
      <c r="O1085" s="12">
        <v>40445.643847462379</v>
      </c>
      <c r="P1085" s="13" t="s">
        <v>506</v>
      </c>
      <c r="Q1085" s="13" t="s">
        <v>76</v>
      </c>
      <c r="R1085" s="14" t="s">
        <v>1506</v>
      </c>
      <c r="S1085" s="13">
        <v>582</v>
      </c>
      <c r="T1085" s="13">
        <v>407.4</v>
      </c>
      <c r="U1085" s="32">
        <v>407.4</v>
      </c>
      <c r="V1085" s="31" t="s">
        <v>77</v>
      </c>
      <c r="W1085" s="15"/>
      <c r="X1085" s="15"/>
      <c r="Y1085" s="16"/>
      <c r="Z1085" s="17"/>
      <c r="AA1085" s="16"/>
      <c r="AB1085" s="24">
        <v>367.03</v>
      </c>
      <c r="AC1085" s="20">
        <v>48.332777221666191</v>
      </c>
      <c r="AD1085" s="21">
        <v>46091</v>
      </c>
      <c r="AE1085" s="22">
        <v>675710.81815304328</v>
      </c>
      <c r="AF1085" s="23">
        <v>514635.24593333382</v>
      </c>
      <c r="AG1085" s="24">
        <v>614268.21593333397</v>
      </c>
      <c r="AH1085" s="15">
        <v>0.5</v>
      </c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25"/>
      <c r="AY1085" s="25"/>
      <c r="AZ1085" s="25"/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5"/>
      <c r="BL1085" s="25"/>
      <c r="BM1085" s="25"/>
      <c r="BN1085" s="25"/>
      <c r="BO1085" s="25"/>
      <c r="BP1085" s="25"/>
    </row>
    <row r="1086" spans="1:68" ht="15" customHeight="1" x14ac:dyDescent="0.25">
      <c r="A1086" s="1">
        <f t="shared" si="67"/>
        <v>580</v>
      </c>
      <c r="B1086" s="1" t="str">
        <f t="shared" si="64"/>
        <v xml:space="preserve">Idaho </v>
      </c>
      <c r="C1086" s="1">
        <f t="shared" si="65"/>
        <v>0</v>
      </c>
      <c r="D1086" s="2" t="str">
        <f t="shared" si="66"/>
        <v>2026-03</v>
      </c>
      <c r="E1086" s="3" t="s">
        <v>1509</v>
      </c>
      <c r="F1086" s="4" t="s">
        <v>1500</v>
      </c>
      <c r="G1086" s="5">
        <v>46091</v>
      </c>
      <c r="H1086" s="40">
        <v>113</v>
      </c>
      <c r="I1086" s="40">
        <v>-113</v>
      </c>
      <c r="J1086" s="7">
        <v>138</v>
      </c>
      <c r="K1086" s="8">
        <v>0.11737089201877933</v>
      </c>
      <c r="L1086" s="9">
        <v>4.9315500848226612E-2</v>
      </c>
      <c r="M1086" s="10">
        <v>113</v>
      </c>
      <c r="N1086" s="11">
        <v>2.38</v>
      </c>
      <c r="O1086" s="12">
        <v>26157.637865437417</v>
      </c>
      <c r="P1086" s="13" t="s">
        <v>506</v>
      </c>
      <c r="Q1086" s="13" t="s">
        <v>76</v>
      </c>
      <c r="R1086" s="14" t="s">
        <v>1506</v>
      </c>
      <c r="S1086" s="13">
        <v>379</v>
      </c>
      <c r="T1086" s="13">
        <v>265.3</v>
      </c>
      <c r="U1086" s="32">
        <v>265.3</v>
      </c>
      <c r="V1086" s="31" t="s">
        <v>77</v>
      </c>
      <c r="W1086" s="15"/>
      <c r="X1086" s="15"/>
      <c r="Y1086" s="16"/>
      <c r="Z1086" s="17"/>
      <c r="AA1086" s="16"/>
      <c r="AB1086" s="24">
        <v>366.11</v>
      </c>
      <c r="AC1086" s="20">
        <v>31.138497652582156</v>
      </c>
      <c r="AD1086" s="21">
        <v>46091</v>
      </c>
      <c r="AE1086" s="22">
        <v>675900.28054365632</v>
      </c>
      <c r="AF1086" s="23">
        <v>515468.19593333383</v>
      </c>
      <c r="AG1086" s="24">
        <v>615102.08593333396</v>
      </c>
      <c r="AH1086" s="15">
        <v>0.5</v>
      </c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  <c r="BN1086" s="25"/>
      <c r="BO1086" s="25"/>
      <c r="BP1086" s="25"/>
    </row>
    <row r="1087" spans="1:68" ht="15" customHeight="1" x14ac:dyDescent="0.25">
      <c r="A1087" s="1">
        <f t="shared" si="67"/>
        <v>580</v>
      </c>
      <c r="B1087" s="1" t="str">
        <f t="shared" si="64"/>
        <v xml:space="preserve">Idaho </v>
      </c>
      <c r="C1087" s="1">
        <f t="shared" si="65"/>
        <v>0</v>
      </c>
      <c r="D1087" s="2" t="str">
        <f t="shared" si="66"/>
        <v>2026-03</v>
      </c>
      <c r="E1087" s="3" t="s">
        <v>1510</v>
      </c>
      <c r="F1087" s="4" t="s">
        <v>1500</v>
      </c>
      <c r="G1087" s="5">
        <v>46091</v>
      </c>
      <c r="H1087" s="40">
        <v>-103</v>
      </c>
      <c r="I1087" s="40">
        <v>103</v>
      </c>
      <c r="J1087" s="7">
        <v>116</v>
      </c>
      <c r="K1087" s="8">
        <v>9.5960591133005146E-2</v>
      </c>
      <c r="L1087" s="9">
        <v>4.4426199598613492E-2</v>
      </c>
      <c r="M1087" s="10">
        <v>-103.00000000000001</v>
      </c>
      <c r="N1087" s="11">
        <v>2.16</v>
      </c>
      <c r="O1087" s="12">
        <v>25487.517092707178</v>
      </c>
      <c r="P1087" s="13" t="s">
        <v>506</v>
      </c>
      <c r="Q1087" s="13" t="s">
        <v>76</v>
      </c>
      <c r="R1087" s="14" t="s">
        <v>1506</v>
      </c>
      <c r="S1087" s="13">
        <v>451</v>
      </c>
      <c r="T1087" s="13">
        <v>315.7</v>
      </c>
      <c r="U1087" s="32">
        <v>315.7</v>
      </c>
      <c r="V1087" s="31" t="s">
        <v>77</v>
      </c>
      <c r="W1087" s="15"/>
      <c r="X1087" s="15"/>
      <c r="Y1087" s="16"/>
      <c r="Z1087" s="17"/>
      <c r="AA1087" s="16"/>
      <c r="AB1087" s="24">
        <v>366.21</v>
      </c>
      <c r="AC1087" s="20">
        <v>30.294758620689723</v>
      </c>
      <c r="AD1087" s="21">
        <v>46091</v>
      </c>
      <c r="AE1087" s="22">
        <v>676046.24291385571</v>
      </c>
      <c r="AF1087" s="23">
        <v>516567.49593333382</v>
      </c>
      <c r="AG1087" s="24">
        <v>616201.28593333403</v>
      </c>
      <c r="AH1087" s="15">
        <v>0.5</v>
      </c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25"/>
      <c r="AY1087" s="25"/>
      <c r="AZ1087" s="25"/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5"/>
      <c r="BL1087" s="25"/>
      <c r="BM1087" s="25"/>
      <c r="BN1087" s="25"/>
      <c r="BO1087" s="25"/>
      <c r="BP1087" s="25"/>
    </row>
    <row r="1088" spans="1:68" ht="15" customHeight="1" x14ac:dyDescent="0.25">
      <c r="A1088" s="1">
        <f t="shared" si="67"/>
        <v>581</v>
      </c>
      <c r="B1088" s="1" t="str">
        <f t="shared" si="64"/>
        <v xml:space="preserve">Idaho </v>
      </c>
      <c r="C1088" s="1">
        <f t="shared" si="65"/>
        <v>1</v>
      </c>
      <c r="D1088" s="2" t="str">
        <f t="shared" si="66"/>
        <v>2026-03</v>
      </c>
      <c r="E1088" s="3" t="s">
        <v>1511</v>
      </c>
      <c r="F1088" s="4" t="s">
        <v>1500</v>
      </c>
      <c r="G1088" s="39">
        <v>46091</v>
      </c>
      <c r="H1088" s="40">
        <v>-105</v>
      </c>
      <c r="I1088" s="40">
        <v>105</v>
      </c>
      <c r="J1088" s="7">
        <v>132</v>
      </c>
      <c r="K1088" s="8">
        <v>0.18829268292682938</v>
      </c>
      <c r="L1088" s="9">
        <v>8.116063919259886E-2</v>
      </c>
      <c r="M1088" s="10">
        <v>-105</v>
      </c>
      <c r="N1088" s="11">
        <v>2.3200000000000003</v>
      </c>
      <c r="O1088" s="12">
        <v>43837.621014461751</v>
      </c>
      <c r="P1088" s="13" t="s">
        <v>506</v>
      </c>
      <c r="Q1088" s="13" t="s">
        <v>92</v>
      </c>
      <c r="R1088" s="14" t="s">
        <v>1506</v>
      </c>
      <c r="S1088" s="13">
        <v>396</v>
      </c>
      <c r="T1088" s="13">
        <v>277.2</v>
      </c>
      <c r="U1088" s="32">
        <v>277.2</v>
      </c>
      <c r="V1088" s="31" t="s">
        <v>77</v>
      </c>
      <c r="W1088" s="15"/>
      <c r="X1088" s="15"/>
      <c r="Y1088" s="16"/>
      <c r="Z1088" s="17"/>
      <c r="AA1088" s="16"/>
      <c r="AB1088" s="24">
        <v>365.9</v>
      </c>
      <c r="AC1088" s="20">
        <v>52.194731707317104</v>
      </c>
      <c r="AD1088" s="21">
        <v>46091</v>
      </c>
      <c r="AE1088" s="22">
        <v>675763.01288475061</v>
      </c>
      <c r="AF1088" s="23">
        <v>515001.14593333384</v>
      </c>
      <c r="AG1088" s="24">
        <v>614635.24593333399</v>
      </c>
      <c r="AH1088" s="15">
        <v>0.5</v>
      </c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  <c r="BN1088" s="25"/>
      <c r="BO1088" s="25"/>
      <c r="BP1088" s="25"/>
    </row>
    <row r="1089" spans="1:68" ht="15" customHeight="1" x14ac:dyDescent="0.25">
      <c r="A1089" s="1">
        <f t="shared" si="67"/>
        <v>581</v>
      </c>
      <c r="B1089" s="1" t="str">
        <f t="shared" si="64"/>
        <v xml:space="preserve">Idaho </v>
      </c>
      <c r="C1089" s="1">
        <f t="shared" si="65"/>
        <v>1</v>
      </c>
      <c r="D1089" s="2" t="str">
        <f t="shared" si="66"/>
        <v>2026-03</v>
      </c>
      <c r="E1089" s="3" t="s">
        <v>1511</v>
      </c>
      <c r="F1089" s="4" t="s">
        <v>1500</v>
      </c>
      <c r="G1089" s="39">
        <v>46091</v>
      </c>
      <c r="H1089" s="40">
        <v>-111</v>
      </c>
      <c r="I1089" s="40">
        <v>111</v>
      </c>
      <c r="J1089" s="7">
        <v>120</v>
      </c>
      <c r="K1089" s="8">
        <v>0.15734597156398106</v>
      </c>
      <c r="L1089" s="9">
        <v>7.1520896165445935E-2</v>
      </c>
      <c r="M1089" s="10">
        <v>-111</v>
      </c>
      <c r="N1089" s="11">
        <v>2.2000000000000002</v>
      </c>
      <c r="O1089" s="12">
        <v>40319.98034160088</v>
      </c>
      <c r="P1089" s="13" t="s">
        <v>506</v>
      </c>
      <c r="Q1089" s="13" t="s">
        <v>92</v>
      </c>
      <c r="R1089" s="14" t="s">
        <v>1506</v>
      </c>
      <c r="S1089" s="13">
        <v>436</v>
      </c>
      <c r="T1089" s="13">
        <v>305.2</v>
      </c>
      <c r="U1089" s="32">
        <v>305.2</v>
      </c>
      <c r="V1089" s="31" t="s">
        <v>77</v>
      </c>
      <c r="W1089" s="15"/>
      <c r="X1089" s="15"/>
      <c r="Y1089" s="16"/>
      <c r="Z1089" s="17"/>
      <c r="AA1089" s="16"/>
      <c r="AB1089" s="24">
        <v>366.24</v>
      </c>
      <c r="AC1089" s="20">
        <v>48.02199052132702</v>
      </c>
      <c r="AD1089" s="21">
        <v>46091</v>
      </c>
      <c r="AE1089" s="22">
        <v>675811.03487527196</v>
      </c>
      <c r="AF1089" s="23">
        <v>515367.38593333383</v>
      </c>
      <c r="AG1089" s="24">
        <v>615001.14593333402</v>
      </c>
      <c r="AH1089" s="15">
        <v>0.5</v>
      </c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25"/>
      <c r="AY1089" s="25"/>
      <c r="AZ1089" s="25"/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5"/>
      <c r="BL1089" s="25"/>
      <c r="BM1089" s="25"/>
      <c r="BN1089" s="25"/>
      <c r="BO1089" s="25"/>
      <c r="BP1089" s="25"/>
    </row>
    <row r="1090" spans="1:68" ht="15" customHeight="1" x14ac:dyDescent="0.25">
      <c r="A1090" s="1">
        <f t="shared" si="67"/>
        <v>581</v>
      </c>
      <c r="B1090" s="1" t="str">
        <f t="shared" ref="B1090:B1118" si="68">LEFT(E1090, FIND(" ", E1090))</f>
        <v xml:space="preserve">Idaho </v>
      </c>
      <c r="C1090" s="1">
        <f t="shared" ref="C1090:C1118" si="69">IF(Q1090="total", 1, 0)</f>
        <v>1</v>
      </c>
      <c r="D1090" s="2" t="str">
        <f t="shared" ref="D1090:D1118" si="70">YEAR(G1090)&amp;"-"&amp;IF(MONTH(G1090)&lt;10, "0", "")&amp;MONTH(G1090)</f>
        <v>2026-03</v>
      </c>
      <c r="E1090" s="3" t="s">
        <v>1512</v>
      </c>
      <c r="F1090" s="4" t="s">
        <v>1500</v>
      </c>
      <c r="G1090" s="39">
        <v>46091</v>
      </c>
      <c r="H1090" s="40">
        <v>-105</v>
      </c>
      <c r="I1090" s="40">
        <v>105</v>
      </c>
      <c r="J1090" s="7">
        <v>138</v>
      </c>
      <c r="K1090" s="8">
        <v>0.21902439024390244</v>
      </c>
      <c r="L1090" s="9">
        <v>9.2027054724328761E-2</v>
      </c>
      <c r="M1090" s="10">
        <v>-105</v>
      </c>
      <c r="N1090" s="11">
        <v>2.38</v>
      </c>
      <c r="O1090" s="12">
        <v>48833.50234783793</v>
      </c>
      <c r="P1090" s="13" t="s">
        <v>506</v>
      </c>
      <c r="Q1090" s="13" t="s">
        <v>92</v>
      </c>
      <c r="R1090" s="14" t="s">
        <v>1506</v>
      </c>
      <c r="S1090" s="13">
        <v>379</v>
      </c>
      <c r="T1090" s="13">
        <v>265.3</v>
      </c>
      <c r="U1090" s="32">
        <v>265.3</v>
      </c>
      <c r="V1090" s="31" t="s">
        <v>82</v>
      </c>
      <c r="W1090" s="15"/>
      <c r="X1090" s="15"/>
      <c r="Y1090" s="16"/>
      <c r="Z1090" s="17"/>
      <c r="AA1090" s="16"/>
      <c r="AB1090" s="24">
        <v>-265.3</v>
      </c>
      <c r="AC1090" s="20">
        <v>58.10717073170732</v>
      </c>
      <c r="AD1090" s="21">
        <v>46091</v>
      </c>
      <c r="AE1090" s="22">
        <v>675869.14204600372</v>
      </c>
      <c r="AF1090" s="23">
        <v>515102.08593333384</v>
      </c>
      <c r="AG1090" s="24">
        <v>615367.38593333401</v>
      </c>
      <c r="AH1090" s="15">
        <v>0.5</v>
      </c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  <c r="BN1090" s="25"/>
      <c r="BO1090" s="25"/>
      <c r="BP1090" s="25"/>
    </row>
    <row r="1091" spans="1:68" ht="15" customHeight="1" x14ac:dyDescent="0.25">
      <c r="A1091" s="1">
        <f t="shared" si="67"/>
        <v>581</v>
      </c>
      <c r="B1091" s="1" t="str">
        <f t="shared" si="68"/>
        <v xml:space="preserve">Idaho </v>
      </c>
      <c r="C1091" s="1">
        <f t="shared" si="69"/>
        <v>1</v>
      </c>
      <c r="D1091" s="2" t="str">
        <f t="shared" si="70"/>
        <v>2026-03</v>
      </c>
      <c r="E1091" s="3" t="s">
        <v>1513</v>
      </c>
      <c r="F1091" s="4" t="s">
        <v>1500</v>
      </c>
      <c r="G1091" s="5">
        <v>46091</v>
      </c>
      <c r="H1091" s="40">
        <v>-103</v>
      </c>
      <c r="I1091" s="40">
        <v>103</v>
      </c>
      <c r="J1091" s="7">
        <v>135</v>
      </c>
      <c r="K1091" s="8">
        <v>0.19236453201970452</v>
      </c>
      <c r="L1091" s="9">
        <v>8.1857247667959376E-2</v>
      </c>
      <c r="M1091" s="10">
        <v>-103.00000000000001</v>
      </c>
      <c r="N1091" s="11">
        <v>2.35</v>
      </c>
      <c r="O1091" s="12">
        <v>43849.722771750952</v>
      </c>
      <c r="P1091" s="13" t="s">
        <v>506</v>
      </c>
      <c r="Q1091" s="13" t="s">
        <v>92</v>
      </c>
      <c r="R1091" s="14" t="s">
        <v>1506</v>
      </c>
      <c r="S1091" s="13">
        <v>388</v>
      </c>
      <c r="T1091" s="13">
        <v>271.59999999999997</v>
      </c>
      <c r="U1091" s="32">
        <v>271.59999999999997</v>
      </c>
      <c r="V1091" s="31" t="s">
        <v>77</v>
      </c>
      <c r="W1091" s="15"/>
      <c r="X1091" s="15"/>
      <c r="Y1091" s="16"/>
      <c r="Z1091" s="17"/>
      <c r="AA1091" s="16"/>
      <c r="AB1091" s="24">
        <v>366.66</v>
      </c>
      <c r="AC1091" s="20">
        <v>52.24620689655174</v>
      </c>
      <c r="AD1091" s="21">
        <v>46091</v>
      </c>
      <c r="AE1091" s="22">
        <v>675952.52675055282</v>
      </c>
      <c r="AF1091" s="23">
        <v>515834.85593333381</v>
      </c>
      <c r="AG1091" s="24">
        <v>615468.19593333395</v>
      </c>
      <c r="AH1091" s="15">
        <v>0.5</v>
      </c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25"/>
      <c r="AY1091" s="25"/>
      <c r="AZ1091" s="25"/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5"/>
      <c r="BL1091" s="25"/>
      <c r="BM1091" s="25"/>
      <c r="BN1091" s="25"/>
      <c r="BO1091" s="25"/>
      <c r="BP1091" s="25"/>
    </row>
    <row r="1092" spans="1:68" ht="15" customHeight="1" x14ac:dyDescent="0.25">
      <c r="A1092" s="1">
        <f t="shared" ref="A1092:A1118" si="71">IF(AND(B1092=B1091, C1092=C1091, G1092=G1091), A1091, A1091+1)</f>
        <v>581</v>
      </c>
      <c r="B1092" s="1" t="str">
        <f t="shared" si="68"/>
        <v xml:space="preserve">Idaho </v>
      </c>
      <c r="C1092" s="1">
        <f t="shared" si="69"/>
        <v>1</v>
      </c>
      <c r="D1092" s="2" t="str">
        <f t="shared" si="70"/>
        <v>2026-03</v>
      </c>
      <c r="E1092" s="3" t="s">
        <v>1511</v>
      </c>
      <c r="F1092" s="4" t="s">
        <v>1500</v>
      </c>
      <c r="G1092" s="5">
        <v>46091</v>
      </c>
      <c r="H1092" s="40">
        <v>-160</v>
      </c>
      <c r="I1092" s="40">
        <v>160</v>
      </c>
      <c r="J1092" s="7">
        <v>-115</v>
      </c>
      <c r="K1092" s="8">
        <v>0.1505016722408026</v>
      </c>
      <c r="L1092" s="9">
        <v>8.0500894454382799E-2</v>
      </c>
      <c r="M1092" s="10">
        <v>-160.00000000000003</v>
      </c>
      <c r="N1092" s="11">
        <v>1.8695652173913042</v>
      </c>
      <c r="O1092" s="12">
        <v>53293.400994230804</v>
      </c>
      <c r="P1092" s="13" t="s">
        <v>506</v>
      </c>
      <c r="Q1092" s="13" t="s">
        <v>92</v>
      </c>
      <c r="R1092" s="14" t="s">
        <v>1506</v>
      </c>
      <c r="S1092" s="13">
        <v>602</v>
      </c>
      <c r="T1092" s="13">
        <v>421.4</v>
      </c>
      <c r="U1092" s="32">
        <v>421.4</v>
      </c>
      <c r="V1092" s="31" t="s">
        <v>77</v>
      </c>
      <c r="W1092" s="15"/>
      <c r="X1092" s="15"/>
      <c r="Y1092" s="16"/>
      <c r="Z1092" s="17"/>
      <c r="AA1092" s="16"/>
      <c r="AB1092" s="24">
        <v>366.43</v>
      </c>
      <c r="AC1092" s="20">
        <v>63.421404682274215</v>
      </c>
      <c r="AD1092" s="21">
        <v>46091</v>
      </c>
      <c r="AE1092" s="22">
        <v>676015.94815523503</v>
      </c>
      <c r="AF1092" s="23">
        <v>516201.2859333338</v>
      </c>
      <c r="AG1092" s="24">
        <v>615834.85593333398</v>
      </c>
      <c r="AH1092" s="15">
        <v>0.5</v>
      </c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  <c r="BN1092" s="25"/>
      <c r="BO1092" s="25"/>
      <c r="BP1092" s="25"/>
    </row>
    <row r="1093" spans="1:68" ht="15" customHeight="1" x14ac:dyDescent="0.25">
      <c r="A1093" s="1">
        <f t="shared" si="71"/>
        <v>582</v>
      </c>
      <c r="B1093" s="1" t="str">
        <f t="shared" si="68"/>
        <v xml:space="preserve">Kansas </v>
      </c>
      <c r="C1093" s="1">
        <f t="shared" si="69"/>
        <v>1</v>
      </c>
      <c r="D1093" s="2" t="str">
        <f t="shared" si="70"/>
        <v>2026-03</v>
      </c>
      <c r="E1093" s="3" t="s">
        <v>1514</v>
      </c>
      <c r="F1093" s="4" t="s">
        <v>1500</v>
      </c>
      <c r="G1093" s="39">
        <v>46091</v>
      </c>
      <c r="H1093" s="40">
        <v>109</v>
      </c>
      <c r="I1093" s="40">
        <v>-109</v>
      </c>
      <c r="J1093" s="7">
        <v>128</v>
      </c>
      <c r="K1093" s="8">
        <v>9.0909090909091092E-2</v>
      </c>
      <c r="L1093" s="9">
        <v>3.9872408293461004E-2</v>
      </c>
      <c r="M1093" s="10">
        <v>108.99999999999999</v>
      </c>
      <c r="N1093" s="11">
        <v>2.2800000000000002</v>
      </c>
      <c r="O1093" s="12">
        <v>22032.758023200811</v>
      </c>
      <c r="P1093" s="13" t="s">
        <v>506</v>
      </c>
      <c r="Q1093" s="13" t="s">
        <v>92</v>
      </c>
      <c r="R1093" s="14" t="s">
        <v>550</v>
      </c>
      <c r="S1093" s="13">
        <v>1637</v>
      </c>
      <c r="T1093" s="13">
        <v>1145.8999999999999</v>
      </c>
      <c r="U1093" s="32">
        <v>1145.8999999999999</v>
      </c>
      <c r="V1093" s="31" t="s">
        <v>82</v>
      </c>
      <c r="W1093" s="15"/>
      <c r="X1093" s="15"/>
      <c r="Y1093" s="16"/>
      <c r="Z1093" s="17"/>
      <c r="AA1093" s="16"/>
      <c r="AB1093" s="24">
        <v>-1145.8999999999999</v>
      </c>
      <c r="AC1093" s="20">
        <v>104.17272727272747</v>
      </c>
      <c r="AD1093" s="21">
        <v>46091</v>
      </c>
      <c r="AE1093" s="22">
        <v>672608.93708186713</v>
      </c>
      <c r="AF1093" s="23">
        <v>519296.56593333371</v>
      </c>
      <c r="AG1093" s="24">
        <v>620442.46593333373</v>
      </c>
      <c r="AH1093" s="15">
        <v>0.5</v>
      </c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25"/>
      <c r="AY1093" s="25"/>
      <c r="AZ1093" s="25"/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5"/>
      <c r="BL1093" s="25"/>
      <c r="BM1093" s="25"/>
      <c r="BN1093" s="25"/>
      <c r="BO1093" s="25"/>
      <c r="BP1093" s="25"/>
    </row>
    <row r="1094" spans="1:68" ht="15" customHeight="1" x14ac:dyDescent="0.25">
      <c r="A1094" s="1">
        <f t="shared" si="71"/>
        <v>583</v>
      </c>
      <c r="B1094" s="1" t="str">
        <f t="shared" si="68"/>
        <v xml:space="preserve">Long </v>
      </c>
      <c r="C1094" s="1">
        <f t="shared" si="69"/>
        <v>0</v>
      </c>
      <c r="D1094" s="2" t="str">
        <f t="shared" si="70"/>
        <v>2026-03</v>
      </c>
      <c r="E1094" s="3" t="s">
        <v>1515</v>
      </c>
      <c r="F1094" s="4" t="s">
        <v>1500</v>
      </c>
      <c r="G1094" s="39">
        <v>46091</v>
      </c>
      <c r="H1094" s="40">
        <v>-122</v>
      </c>
      <c r="I1094" s="40">
        <v>122</v>
      </c>
      <c r="J1094" s="7">
        <v>-110</v>
      </c>
      <c r="K1094" s="8">
        <v>4.9140049140048971E-2</v>
      </c>
      <c r="L1094" s="9">
        <v>2.5740025740025652E-2</v>
      </c>
      <c r="M1094" s="10">
        <v>-121.99999999999997</v>
      </c>
      <c r="N1094" s="11">
        <v>1.9090909090909092</v>
      </c>
      <c r="O1094" s="12">
        <v>16745.233403603557</v>
      </c>
      <c r="P1094" s="13" t="s">
        <v>506</v>
      </c>
      <c r="Q1094" s="13" t="s">
        <v>81</v>
      </c>
      <c r="R1094" s="14" t="s">
        <v>1516</v>
      </c>
      <c r="S1094" s="13">
        <v>3837</v>
      </c>
      <c r="T1094" s="13">
        <v>2685.8999999999996</v>
      </c>
      <c r="U1094" s="32">
        <v>2685.8999999999996</v>
      </c>
      <c r="V1094" s="31" t="s">
        <v>77</v>
      </c>
      <c r="W1094" s="15"/>
      <c r="X1094" s="15"/>
      <c r="Y1094" s="16"/>
      <c r="Z1094" s="17"/>
      <c r="AA1094" s="16"/>
      <c r="AB1094" s="24">
        <v>2441.73</v>
      </c>
      <c r="AC1094" s="20">
        <v>131.9852579852575</v>
      </c>
      <c r="AD1094" s="21">
        <v>46091</v>
      </c>
      <c r="AE1094" s="22">
        <v>672260.23273177829</v>
      </c>
      <c r="AF1094" s="23">
        <v>522015.36593333376</v>
      </c>
      <c r="AG1094" s="24">
        <v>619573.63593333378</v>
      </c>
      <c r="AH1094" s="15">
        <v>0.5</v>
      </c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  <c r="BN1094" s="25"/>
      <c r="BO1094" s="25"/>
      <c r="BP1094" s="25"/>
    </row>
    <row r="1095" spans="1:68" ht="15" customHeight="1" x14ac:dyDescent="0.25">
      <c r="A1095" s="1">
        <f t="shared" si="71"/>
        <v>584</v>
      </c>
      <c r="B1095" s="1" t="str">
        <f t="shared" si="68"/>
        <v xml:space="preserve">Los </v>
      </c>
      <c r="C1095" s="1">
        <f t="shared" si="69"/>
        <v>0</v>
      </c>
      <c r="D1095" s="2" t="str">
        <f t="shared" si="70"/>
        <v>2026-03</v>
      </c>
      <c r="E1095" s="3" t="s">
        <v>1517</v>
      </c>
      <c r="F1095" s="4" t="s">
        <v>1500</v>
      </c>
      <c r="G1095" s="39">
        <v>46091</v>
      </c>
      <c r="H1095" s="40">
        <v>-134</v>
      </c>
      <c r="I1095" s="40">
        <v>134</v>
      </c>
      <c r="J1095" s="7">
        <v>-104</v>
      </c>
      <c r="K1095" s="8">
        <v>0.12327416173570042</v>
      </c>
      <c r="L1095" s="9">
        <v>6.2845651080945308E-2</v>
      </c>
      <c r="M1095" s="10">
        <v>-134.00000000000006</v>
      </c>
      <c r="N1095" s="11">
        <v>1.9615384615384617</v>
      </c>
      <c r="O1095" s="12">
        <v>39016.10679059838</v>
      </c>
      <c r="P1095" s="13" t="s">
        <v>506</v>
      </c>
      <c r="Q1095" s="13" t="s">
        <v>76</v>
      </c>
      <c r="R1095" s="14" t="s">
        <v>723</v>
      </c>
      <c r="S1095" s="13">
        <v>1818</v>
      </c>
      <c r="T1095" s="13">
        <v>1272.5999999999999</v>
      </c>
      <c r="U1095" s="32">
        <v>1272.5999999999999</v>
      </c>
      <c r="V1095" s="31" t="s">
        <v>77</v>
      </c>
      <c r="W1095" s="15"/>
      <c r="X1095" s="15"/>
      <c r="Y1095" s="16"/>
      <c r="Z1095" s="17"/>
      <c r="AA1095" s="16"/>
      <c r="AB1095" s="24">
        <v>1223.6500000000001</v>
      </c>
      <c r="AC1095" s="20">
        <v>156.87869822485234</v>
      </c>
      <c r="AD1095" s="21">
        <v>46091</v>
      </c>
      <c r="AE1095" s="22">
        <v>675267.35076358344</v>
      </c>
      <c r="AF1095" s="23">
        <v>509874.91593333374</v>
      </c>
      <c r="AG1095" s="24">
        <v>608651.26593333378</v>
      </c>
      <c r="AH1095" s="15">
        <v>0.5</v>
      </c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  <c r="AZ1095" s="25"/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5"/>
      <c r="BL1095" s="25"/>
      <c r="BM1095" s="25"/>
      <c r="BN1095" s="25"/>
      <c r="BO1095" s="25"/>
      <c r="BP1095" s="25"/>
    </row>
    <row r="1096" spans="1:68" ht="15" customHeight="1" x14ac:dyDescent="0.25">
      <c r="A1096" s="1">
        <f t="shared" si="71"/>
        <v>584</v>
      </c>
      <c r="B1096" s="1" t="str">
        <f t="shared" si="68"/>
        <v xml:space="preserve">Los </v>
      </c>
      <c r="C1096" s="1">
        <f t="shared" si="69"/>
        <v>0</v>
      </c>
      <c r="D1096" s="2" t="str">
        <f t="shared" si="70"/>
        <v>2026-03</v>
      </c>
      <c r="E1096" s="3" t="s">
        <v>1518</v>
      </c>
      <c r="F1096" s="4" t="s">
        <v>1500</v>
      </c>
      <c r="G1096" s="39">
        <v>46091</v>
      </c>
      <c r="H1096" s="40">
        <v>-130</v>
      </c>
      <c r="I1096" s="40">
        <v>130</v>
      </c>
      <c r="J1096" s="7">
        <v>-109</v>
      </c>
      <c r="K1096" s="8">
        <v>8.3765456721180936E-2</v>
      </c>
      <c r="L1096" s="9">
        <v>4.3686290825879048E-2</v>
      </c>
      <c r="M1096" s="10">
        <v>-130.00000000000003</v>
      </c>
      <c r="N1096" s="11">
        <v>1.9174311926605505</v>
      </c>
      <c r="O1096" s="12">
        <v>27842.115727391407</v>
      </c>
      <c r="P1096" s="13" t="s">
        <v>506</v>
      </c>
      <c r="Q1096" s="13" t="s">
        <v>76</v>
      </c>
      <c r="R1096" s="14" t="s">
        <v>723</v>
      </c>
      <c r="S1096" s="13">
        <v>1897</v>
      </c>
      <c r="T1096" s="13">
        <v>1327.8999999999999</v>
      </c>
      <c r="U1096" s="32">
        <v>1327.8999999999999</v>
      </c>
      <c r="V1096" s="31" t="s">
        <v>77</v>
      </c>
      <c r="W1096" s="15"/>
      <c r="X1096" s="15"/>
      <c r="Y1096" s="16"/>
      <c r="Z1096" s="17"/>
      <c r="AA1096" s="16"/>
      <c r="AB1096" s="24">
        <v>1218.26</v>
      </c>
      <c r="AC1096" s="20">
        <v>111.23214998005615</v>
      </c>
      <c r="AD1096" s="21">
        <v>46091</v>
      </c>
      <c r="AE1096" s="22">
        <v>675378.58291356347</v>
      </c>
      <c r="AF1096" s="23">
        <v>511093.17593333375</v>
      </c>
      <c r="AG1096" s="24">
        <v>609874.9159333338</v>
      </c>
      <c r="AH1096" s="15">
        <v>0.5</v>
      </c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  <c r="BN1096" s="25"/>
      <c r="BO1096" s="25"/>
      <c r="BP1096" s="25"/>
    </row>
    <row r="1097" spans="1:68" ht="15" customHeight="1" x14ac:dyDescent="0.25">
      <c r="A1097" s="1">
        <f t="shared" si="71"/>
        <v>584</v>
      </c>
      <c r="B1097" s="1" t="str">
        <f t="shared" si="68"/>
        <v xml:space="preserve">Los </v>
      </c>
      <c r="C1097" s="1">
        <f t="shared" si="69"/>
        <v>0</v>
      </c>
      <c r="D1097" s="2" t="str">
        <f t="shared" si="70"/>
        <v>2026-03</v>
      </c>
      <c r="E1097" s="3" t="s">
        <v>1519</v>
      </c>
      <c r="F1097" s="4" t="s">
        <v>1500</v>
      </c>
      <c r="G1097" s="39">
        <v>46091</v>
      </c>
      <c r="H1097" s="40">
        <v>-171</v>
      </c>
      <c r="I1097" s="40">
        <v>171</v>
      </c>
      <c r="J1097" s="7">
        <v>-141</v>
      </c>
      <c r="K1097" s="8">
        <v>7.851142341210661E-2</v>
      </c>
      <c r="L1097" s="9">
        <v>4.5934069299199298E-2</v>
      </c>
      <c r="M1097" s="10">
        <v>-171</v>
      </c>
      <c r="N1097" s="11">
        <v>1.7092198581560285</v>
      </c>
      <c r="O1097" s="12">
        <v>33824.345531365398</v>
      </c>
      <c r="P1097" s="13" t="s">
        <v>506</v>
      </c>
      <c r="Q1097" s="13" t="s">
        <v>76</v>
      </c>
      <c r="R1097" s="14" t="s">
        <v>723</v>
      </c>
      <c r="S1097" s="13">
        <v>2459</v>
      </c>
      <c r="T1097" s="13">
        <v>1721.3</v>
      </c>
      <c r="U1097" s="32">
        <v>1721.3</v>
      </c>
      <c r="V1097" s="31" t="s">
        <v>77</v>
      </c>
      <c r="W1097" s="15"/>
      <c r="X1097" s="15"/>
      <c r="Y1097" s="16"/>
      <c r="Z1097" s="17"/>
      <c r="AA1097" s="16"/>
      <c r="AB1097" s="24">
        <v>1220.78</v>
      </c>
      <c r="AC1097" s="20">
        <v>135.14171311925909</v>
      </c>
      <c r="AD1097" s="21">
        <v>46091</v>
      </c>
      <c r="AE1097" s="22">
        <v>675513.7246266827</v>
      </c>
      <c r="AF1097" s="23">
        <v>512313.95593333378</v>
      </c>
      <c r="AG1097" s="24">
        <v>611093.17593333381</v>
      </c>
      <c r="AH1097" s="15">
        <v>0.5</v>
      </c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25"/>
      <c r="AY1097" s="25"/>
      <c r="AZ1097" s="25"/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5"/>
      <c r="BL1097" s="25"/>
      <c r="BM1097" s="25"/>
      <c r="BN1097" s="25"/>
      <c r="BO1097" s="25"/>
      <c r="BP1097" s="25"/>
    </row>
    <row r="1098" spans="1:68" ht="15" customHeight="1" x14ac:dyDescent="0.25">
      <c r="A1098" s="1">
        <f t="shared" si="71"/>
        <v>584</v>
      </c>
      <c r="B1098" s="1" t="str">
        <f t="shared" si="68"/>
        <v xml:space="preserve">Los </v>
      </c>
      <c r="C1098" s="1">
        <f t="shared" si="69"/>
        <v>0</v>
      </c>
      <c r="D1098" s="2" t="str">
        <f t="shared" si="70"/>
        <v>2026-03</v>
      </c>
      <c r="E1098" s="3" t="s">
        <v>1517</v>
      </c>
      <c r="F1098" s="4" t="s">
        <v>1500</v>
      </c>
      <c r="G1098" s="39">
        <v>46091</v>
      </c>
      <c r="H1098" s="40">
        <v>101</v>
      </c>
      <c r="I1098" s="40">
        <v>-101</v>
      </c>
      <c r="J1098" s="7">
        <v>116</v>
      </c>
      <c r="K1098" s="8">
        <v>7.4626865671642062E-2</v>
      </c>
      <c r="L1098" s="9">
        <v>3.4549474847982431E-2</v>
      </c>
      <c r="M1098" s="10">
        <v>100.99999999999997</v>
      </c>
      <c r="N1098" s="11">
        <v>2.16</v>
      </c>
      <c r="O1098" s="12">
        <v>19696.151438926143</v>
      </c>
      <c r="P1098" s="13" t="s">
        <v>506</v>
      </c>
      <c r="Q1098" s="13" t="s">
        <v>76</v>
      </c>
      <c r="R1098" s="14" t="s">
        <v>723</v>
      </c>
      <c r="S1098" s="13">
        <v>1505</v>
      </c>
      <c r="T1098" s="13">
        <v>1053.5</v>
      </c>
      <c r="U1098" s="32">
        <v>1053.5</v>
      </c>
      <c r="V1098" s="31" t="s">
        <v>77</v>
      </c>
      <c r="W1098" s="15"/>
      <c r="X1098" s="15"/>
      <c r="Y1098" s="16"/>
      <c r="Z1098" s="17"/>
      <c r="AA1098" s="16"/>
      <c r="AB1098" s="24">
        <v>1222.06</v>
      </c>
      <c r="AC1098" s="20">
        <v>78.619402985074913</v>
      </c>
      <c r="AD1098" s="21">
        <v>46091</v>
      </c>
      <c r="AE1098" s="22">
        <v>675592.34402966779</v>
      </c>
      <c r="AF1098" s="23">
        <v>513536.01593333378</v>
      </c>
      <c r="AG1098" s="24">
        <v>612313.95593333384</v>
      </c>
      <c r="AH1098" s="15">
        <v>0.5</v>
      </c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  <c r="BN1098" s="25"/>
      <c r="BO1098" s="25"/>
      <c r="BP1098" s="25"/>
    </row>
    <row r="1099" spans="1:68" ht="15" customHeight="1" x14ac:dyDescent="0.25">
      <c r="A1099" s="1">
        <f t="shared" si="71"/>
        <v>585</v>
      </c>
      <c r="B1099" s="1" t="str">
        <f t="shared" si="68"/>
        <v xml:space="preserve">Mercyhurst </v>
      </c>
      <c r="C1099" s="1">
        <f t="shared" si="69"/>
        <v>1</v>
      </c>
      <c r="D1099" s="2" t="str">
        <f t="shared" si="70"/>
        <v>2026-03</v>
      </c>
      <c r="E1099" s="3" t="s">
        <v>1520</v>
      </c>
      <c r="F1099" s="4" t="s">
        <v>1500</v>
      </c>
      <c r="G1099" s="39">
        <v>46091</v>
      </c>
      <c r="H1099" s="40">
        <v>116</v>
      </c>
      <c r="I1099" s="40">
        <v>-117</v>
      </c>
      <c r="J1099" s="7">
        <v>120</v>
      </c>
      <c r="K1099" s="8">
        <v>1.6350166056373818E-2</v>
      </c>
      <c r="L1099" s="9">
        <v>7.4318936619880982E-3</v>
      </c>
      <c r="M1099" s="10">
        <v>116.4608294930876</v>
      </c>
      <c r="N1099" s="11">
        <v>2.2000000000000002</v>
      </c>
      <c r="O1099" s="12">
        <v>4211.0294536886749</v>
      </c>
      <c r="P1099" s="13" t="s">
        <v>506</v>
      </c>
      <c r="Q1099" s="13" t="s">
        <v>92</v>
      </c>
      <c r="R1099" s="14" t="s">
        <v>1521</v>
      </c>
      <c r="S1099" s="13">
        <v>1746</v>
      </c>
      <c r="T1099" s="13">
        <v>1222.1999999999998</v>
      </c>
      <c r="U1099" s="32">
        <v>1222.1999999999998</v>
      </c>
      <c r="V1099" s="31" t="s">
        <v>77</v>
      </c>
      <c r="W1099" s="15"/>
      <c r="X1099" s="15"/>
      <c r="Y1099" s="16"/>
      <c r="Z1099" s="17"/>
      <c r="AA1099" s="16"/>
      <c r="AB1099" s="24">
        <v>1466.64</v>
      </c>
      <c r="AC1099" s="20">
        <v>19.983172954100077</v>
      </c>
      <c r="AD1099" s="21">
        <v>46091</v>
      </c>
      <c r="AE1099" s="22">
        <v>671818.7523639712</v>
      </c>
      <c r="AF1099" s="23">
        <v>519593.12593333377</v>
      </c>
      <c r="AG1099" s="24">
        <v>618126.48593333375</v>
      </c>
      <c r="AH1099" s="15">
        <v>0.5</v>
      </c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25"/>
      <c r="AY1099" s="25"/>
      <c r="AZ1099" s="25"/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5"/>
      <c r="BL1099" s="25"/>
      <c r="BM1099" s="25"/>
      <c r="BN1099" s="25"/>
      <c r="BO1099" s="25"/>
      <c r="BP1099" s="25"/>
    </row>
    <row r="1100" spans="1:68" ht="15" customHeight="1" x14ac:dyDescent="0.25">
      <c r="A1100" s="1">
        <f t="shared" si="71"/>
        <v>586</v>
      </c>
      <c r="B1100" s="1" t="str">
        <f t="shared" si="68"/>
        <v xml:space="preserve">Milwaukee </v>
      </c>
      <c r="C1100" s="1">
        <f t="shared" si="69"/>
        <v>0</v>
      </c>
      <c r="D1100" s="2" t="str">
        <f t="shared" si="70"/>
        <v>2026-03</v>
      </c>
      <c r="E1100" s="3" t="s">
        <v>1522</v>
      </c>
      <c r="F1100" s="4" t="s">
        <v>1500</v>
      </c>
      <c r="G1100" s="39">
        <v>46091</v>
      </c>
      <c r="H1100" s="40">
        <v>149</v>
      </c>
      <c r="I1100" s="40">
        <v>-149</v>
      </c>
      <c r="J1100" s="7">
        <v>175</v>
      </c>
      <c r="K1100" s="8">
        <v>0.10441767068273074</v>
      </c>
      <c r="L1100" s="9">
        <v>3.7970062066447541E-2</v>
      </c>
      <c r="M1100" s="10">
        <v>149.00000000000003</v>
      </c>
      <c r="N1100" s="11">
        <v>2.75</v>
      </c>
      <c r="O1100" s="12">
        <v>18435.810779422427</v>
      </c>
      <c r="P1100" s="13" t="s">
        <v>506</v>
      </c>
      <c r="Q1100" s="13" t="s">
        <v>76</v>
      </c>
      <c r="R1100" s="14" t="s">
        <v>717</v>
      </c>
      <c r="S1100" s="13">
        <v>2971</v>
      </c>
      <c r="T1100" s="13">
        <v>2079.6999999999998</v>
      </c>
      <c r="U1100" s="32">
        <v>2079.6999999999998</v>
      </c>
      <c r="V1100" s="31" t="s">
        <v>82</v>
      </c>
      <c r="W1100" s="15"/>
      <c r="X1100" s="15"/>
      <c r="Y1100" s="16"/>
      <c r="Z1100" s="17"/>
      <c r="AA1100" s="16"/>
      <c r="AB1100" s="24">
        <v>-2079.6999999999998</v>
      </c>
      <c r="AC1100" s="20">
        <v>217.15742971887511</v>
      </c>
      <c r="AD1100" s="21">
        <v>46091</v>
      </c>
      <c r="AE1100" s="22">
        <v>673630.26301678957</v>
      </c>
      <c r="AF1100" s="23">
        <v>515874.4959333337</v>
      </c>
      <c r="AG1100" s="24">
        <v>617954.1959333336</v>
      </c>
      <c r="AH1100" s="15">
        <v>0.5</v>
      </c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  <c r="BN1100" s="25"/>
      <c r="BO1100" s="25"/>
      <c r="BP1100" s="25"/>
    </row>
    <row r="1101" spans="1:68" ht="15" customHeight="1" x14ac:dyDescent="0.25">
      <c r="A1101" s="1">
        <f t="shared" si="71"/>
        <v>586</v>
      </c>
      <c r="B1101" s="1" t="str">
        <f t="shared" si="68"/>
        <v xml:space="preserve">Milwaukee </v>
      </c>
      <c r="C1101" s="1">
        <f t="shared" si="69"/>
        <v>0</v>
      </c>
      <c r="D1101" s="2" t="str">
        <f t="shared" si="70"/>
        <v>2026-03</v>
      </c>
      <c r="E1101" s="3" t="s">
        <v>1523</v>
      </c>
      <c r="F1101" s="4" t="s">
        <v>1500</v>
      </c>
      <c r="G1101" s="39">
        <v>46091</v>
      </c>
      <c r="H1101" s="40">
        <v>-132</v>
      </c>
      <c r="I1101" s="40">
        <v>132</v>
      </c>
      <c r="J1101" s="7">
        <v>-105</v>
      </c>
      <c r="K1101" s="8">
        <v>0.11083743842364535</v>
      </c>
      <c r="L1101" s="9">
        <v>5.6770395290159814E-2</v>
      </c>
      <c r="M1101" s="10">
        <v>-132.00000000000003</v>
      </c>
      <c r="N1101" s="11">
        <v>1.9523809523809523</v>
      </c>
      <c r="O1101" s="12">
        <v>35837.524547844856</v>
      </c>
      <c r="P1101" s="13" t="s">
        <v>506</v>
      </c>
      <c r="Q1101" s="13" t="s">
        <v>81</v>
      </c>
      <c r="R1101" s="14" t="s">
        <v>717</v>
      </c>
      <c r="S1101" s="13">
        <v>5512</v>
      </c>
      <c r="T1101" s="13">
        <v>3858.3999999999996</v>
      </c>
      <c r="U1101" s="32">
        <v>3858.3999999999996</v>
      </c>
      <c r="V1101" s="31" t="s">
        <v>82</v>
      </c>
      <c r="W1101" s="15"/>
      <c r="X1101" s="15"/>
      <c r="Y1101" s="16"/>
      <c r="Z1101" s="17"/>
      <c r="AA1101" s="16"/>
      <c r="AB1101" s="24">
        <v>-3858.3999999999996</v>
      </c>
      <c r="AC1101" s="20">
        <v>427.6551724137932</v>
      </c>
      <c r="AD1101" s="21">
        <v>46091</v>
      </c>
      <c r="AE1101" s="22">
        <v>674057.91818920337</v>
      </c>
      <c r="AF1101" s="23">
        <v>512016.09593333368</v>
      </c>
      <c r="AG1101" s="24">
        <v>615874.49593333364</v>
      </c>
      <c r="AH1101" s="15">
        <v>0.5</v>
      </c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25"/>
      <c r="AY1101" s="25"/>
      <c r="AZ1101" s="25"/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5"/>
      <c r="BL1101" s="25"/>
      <c r="BM1101" s="25"/>
      <c r="BN1101" s="25"/>
      <c r="BO1101" s="25"/>
      <c r="BP1101" s="25"/>
    </row>
    <row r="1102" spans="1:68" ht="15" customHeight="1" x14ac:dyDescent="0.25">
      <c r="A1102" s="1">
        <f t="shared" si="71"/>
        <v>587</v>
      </c>
      <c r="B1102" s="1" t="str">
        <f t="shared" si="68"/>
        <v xml:space="preserve">Minnesota </v>
      </c>
      <c r="C1102" s="1">
        <f t="shared" si="69"/>
        <v>1</v>
      </c>
      <c r="D1102" s="2" t="str">
        <f t="shared" si="70"/>
        <v>2026-03</v>
      </c>
      <c r="E1102" s="3" t="s">
        <v>1524</v>
      </c>
      <c r="F1102" s="4" t="s">
        <v>1500</v>
      </c>
      <c r="G1102" s="39">
        <v>46091</v>
      </c>
      <c r="H1102" s="40">
        <v>164</v>
      </c>
      <c r="I1102" s="40">
        <v>-164</v>
      </c>
      <c r="J1102" s="7">
        <v>188</v>
      </c>
      <c r="K1102" s="8">
        <v>9.0909090909091092E-2</v>
      </c>
      <c r="L1102" s="9">
        <v>3.156565656565663E-2</v>
      </c>
      <c r="M1102" s="10">
        <v>163.99999999999997</v>
      </c>
      <c r="N1102" s="11">
        <v>2.88</v>
      </c>
      <c r="O1102" s="12">
        <v>14698.217019664773</v>
      </c>
      <c r="P1102" s="13" t="s">
        <v>506</v>
      </c>
      <c r="Q1102" s="13" t="s">
        <v>92</v>
      </c>
      <c r="R1102" s="14" t="s">
        <v>530</v>
      </c>
      <c r="S1102" s="13">
        <v>557</v>
      </c>
      <c r="T1102" s="13">
        <v>389.9</v>
      </c>
      <c r="U1102" s="32">
        <v>389.9</v>
      </c>
      <c r="V1102" s="31" t="s">
        <v>77</v>
      </c>
      <c r="W1102" s="15"/>
      <c r="X1102" s="15"/>
      <c r="Y1102" s="16"/>
      <c r="Z1102" s="17"/>
      <c r="AA1102" s="16"/>
      <c r="AB1102" s="24">
        <v>733.01</v>
      </c>
      <c r="AC1102" s="20">
        <v>35.445454545454616</v>
      </c>
      <c r="AD1102" s="21">
        <v>46091</v>
      </c>
      <c r="AE1102" s="22">
        <v>675110.47206535854</v>
      </c>
      <c r="AF1102" s="23">
        <v>508651.26593333372</v>
      </c>
      <c r="AG1102" s="24">
        <v>607918.25593333377</v>
      </c>
      <c r="AH1102" s="15">
        <v>0.5</v>
      </c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  <c r="BN1102" s="25"/>
      <c r="BO1102" s="25"/>
      <c r="BP1102" s="25"/>
    </row>
    <row r="1103" spans="1:68" ht="15" customHeight="1" x14ac:dyDescent="0.25">
      <c r="A1103" s="1">
        <f t="shared" si="71"/>
        <v>588</v>
      </c>
      <c r="B1103" s="1" t="str">
        <f t="shared" si="68"/>
        <v xml:space="preserve">Monmouth </v>
      </c>
      <c r="C1103" s="1">
        <f t="shared" si="69"/>
        <v>1</v>
      </c>
      <c r="D1103" s="2" t="str">
        <f t="shared" si="70"/>
        <v>2026-03</v>
      </c>
      <c r="E1103" s="3" t="s">
        <v>1525</v>
      </c>
      <c r="F1103" s="4" t="s">
        <v>1500</v>
      </c>
      <c r="G1103" s="39">
        <v>46091</v>
      </c>
      <c r="H1103" s="40">
        <v>-103</v>
      </c>
      <c r="I1103" s="40">
        <v>103</v>
      </c>
      <c r="J1103" s="7">
        <v>116</v>
      </c>
      <c r="K1103" s="8">
        <v>9.5960591133005146E-2</v>
      </c>
      <c r="L1103" s="9">
        <v>4.4426199598613492E-2</v>
      </c>
      <c r="M1103" s="10">
        <v>-103.00000000000001</v>
      </c>
      <c r="N1103" s="11">
        <v>2.16</v>
      </c>
      <c r="O1103" s="12">
        <v>25589.036780154081</v>
      </c>
      <c r="P1103" s="13" t="s">
        <v>506</v>
      </c>
      <c r="Q1103" s="13" t="s">
        <v>92</v>
      </c>
      <c r="R1103" s="14" t="s">
        <v>1078</v>
      </c>
      <c r="S1103" s="13">
        <v>1806</v>
      </c>
      <c r="T1103" s="13">
        <v>1264.1999999999998</v>
      </c>
      <c r="U1103" s="32">
        <v>1264.1999999999998</v>
      </c>
      <c r="V1103" s="31" t="s">
        <v>82</v>
      </c>
      <c r="W1103" s="15"/>
      <c r="X1103" s="15"/>
      <c r="Y1103" s="16"/>
      <c r="Z1103" s="17"/>
      <c r="AA1103" s="16"/>
      <c r="AB1103" s="24">
        <v>-1264.1999999999998</v>
      </c>
      <c r="AC1103" s="20">
        <v>121.31337931034508</v>
      </c>
      <c r="AD1103" s="21">
        <v>46091</v>
      </c>
      <c r="AE1103" s="22">
        <v>671714.42492872209</v>
      </c>
      <c r="AF1103" s="23">
        <v>517391.48593333375</v>
      </c>
      <c r="AG1103" s="24">
        <v>618655.68593333371</v>
      </c>
      <c r="AH1103" s="15">
        <v>0.5</v>
      </c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25"/>
      <c r="AY1103" s="25"/>
      <c r="AZ1103" s="25"/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5"/>
      <c r="BL1103" s="25"/>
      <c r="BM1103" s="25"/>
      <c r="BN1103" s="25"/>
      <c r="BO1103" s="25"/>
      <c r="BP1103" s="25"/>
    </row>
    <row r="1104" spans="1:68" ht="15" customHeight="1" x14ac:dyDescent="0.25">
      <c r="A1104" s="1">
        <f t="shared" si="71"/>
        <v>589</v>
      </c>
      <c r="B1104" s="1" t="str">
        <f t="shared" si="68"/>
        <v xml:space="preserve">Oklahoma </v>
      </c>
      <c r="C1104" s="1">
        <f t="shared" si="69"/>
        <v>0</v>
      </c>
      <c r="D1104" s="2" t="str">
        <f t="shared" si="70"/>
        <v>2026-03</v>
      </c>
      <c r="E1104" s="3" t="s">
        <v>1526</v>
      </c>
      <c r="F1104" s="4" t="s">
        <v>1500</v>
      </c>
      <c r="G1104" s="39">
        <v>46091</v>
      </c>
      <c r="H1104" s="40">
        <v>-112</v>
      </c>
      <c r="I1104" s="40">
        <v>112</v>
      </c>
      <c r="J1104" s="7">
        <v>108</v>
      </c>
      <c r="K1104" s="8">
        <v>9.8867924528301968E-2</v>
      </c>
      <c r="L1104" s="9">
        <v>4.7532656023222097E-2</v>
      </c>
      <c r="M1104" s="10">
        <v>-112</v>
      </c>
      <c r="N1104" s="11">
        <v>2.08</v>
      </c>
      <c r="O1104" s="12">
        <v>27916.864209387411</v>
      </c>
      <c r="P1104" s="13" t="s">
        <v>506</v>
      </c>
      <c r="Q1104" s="13" t="s">
        <v>76</v>
      </c>
      <c r="R1104" s="14" t="s">
        <v>701</v>
      </c>
      <c r="S1104" s="13">
        <v>3063</v>
      </c>
      <c r="T1104" s="13">
        <v>2144.1</v>
      </c>
      <c r="U1104" s="32">
        <v>2144.1</v>
      </c>
      <c r="V1104" s="31" t="s">
        <v>82</v>
      </c>
      <c r="W1104" s="15"/>
      <c r="X1104" s="15"/>
      <c r="Y1104" s="16"/>
      <c r="Z1104" s="17"/>
      <c r="AA1104" s="16"/>
      <c r="AB1104" s="24">
        <v>-2144.1</v>
      </c>
      <c r="AC1104" s="20">
        <v>211.98271698113223</v>
      </c>
      <c r="AD1104" s="21">
        <v>46091</v>
      </c>
      <c r="AE1104" s="22">
        <v>674437.29745810956</v>
      </c>
      <c r="AF1104" s="23">
        <v>507764.79593333369</v>
      </c>
      <c r="AG1104" s="24">
        <v>609908.89593333367</v>
      </c>
      <c r="AH1104" s="15">
        <v>0.5</v>
      </c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  <c r="BN1104" s="25"/>
      <c r="BO1104" s="25"/>
      <c r="BP1104" s="25"/>
    </row>
    <row r="1105" spans="1:68" ht="15" customHeight="1" x14ac:dyDescent="0.25">
      <c r="A1105" s="1">
        <f t="shared" si="71"/>
        <v>590</v>
      </c>
      <c r="B1105" s="1" t="str">
        <f t="shared" si="68"/>
        <v xml:space="preserve">Oklahoma </v>
      </c>
      <c r="C1105" s="1">
        <f t="shared" si="69"/>
        <v>1</v>
      </c>
      <c r="D1105" s="2" t="str">
        <f t="shared" si="70"/>
        <v>2026-03</v>
      </c>
      <c r="E1105" s="3" t="s">
        <v>1527</v>
      </c>
      <c r="F1105" s="4" t="s">
        <v>1500</v>
      </c>
      <c r="G1105" s="39">
        <v>46091</v>
      </c>
      <c r="H1105" s="40">
        <v>175</v>
      </c>
      <c r="I1105" s="40">
        <v>-175</v>
      </c>
      <c r="J1105" s="7">
        <v>175</v>
      </c>
      <c r="K1105" s="8">
        <v>0</v>
      </c>
      <c r="L1105" s="9">
        <v>0</v>
      </c>
      <c r="M1105" s="10">
        <v>175</v>
      </c>
      <c r="N1105" s="11">
        <v>2.75</v>
      </c>
      <c r="O1105" s="12">
        <v>0</v>
      </c>
      <c r="P1105" s="13" t="s">
        <v>506</v>
      </c>
      <c r="Q1105" s="13" t="s">
        <v>92</v>
      </c>
      <c r="R1105" s="14" t="s">
        <v>701</v>
      </c>
      <c r="S1105" s="13">
        <v>1197</v>
      </c>
      <c r="T1105" s="13">
        <v>837.9</v>
      </c>
      <c r="U1105" s="32">
        <v>837.9</v>
      </c>
      <c r="V1105" s="31" t="s">
        <v>77</v>
      </c>
      <c r="W1105" s="15"/>
      <c r="X1105" s="15"/>
      <c r="Y1105" s="16"/>
      <c r="Z1105" s="17"/>
      <c r="AA1105" s="16"/>
      <c r="AB1105" s="24">
        <v>1466.33</v>
      </c>
      <c r="AC1105" s="20">
        <v>0</v>
      </c>
      <c r="AD1105" s="21">
        <v>46091</v>
      </c>
      <c r="AE1105" s="22">
        <v>674437.29745810956</v>
      </c>
      <c r="AF1105" s="23">
        <v>509231.12593333371</v>
      </c>
      <c r="AG1105" s="24">
        <v>607764.79593333369</v>
      </c>
      <c r="AH1105" s="15">
        <v>0.5</v>
      </c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25"/>
      <c r="AY1105" s="25"/>
      <c r="AZ1105" s="25"/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5"/>
      <c r="BL1105" s="25"/>
      <c r="BM1105" s="25"/>
      <c r="BN1105" s="25"/>
      <c r="BO1105" s="25"/>
      <c r="BP1105" s="25"/>
    </row>
    <row r="1106" spans="1:68" ht="15" customHeight="1" x14ac:dyDescent="0.25">
      <c r="A1106" s="1">
        <f t="shared" si="71"/>
        <v>591</v>
      </c>
      <c r="B1106" s="1" t="str">
        <f t="shared" si="68"/>
        <v xml:space="preserve">Oregon </v>
      </c>
      <c r="C1106" s="1">
        <f t="shared" si="69"/>
        <v>0</v>
      </c>
      <c r="D1106" s="2" t="str">
        <f t="shared" si="70"/>
        <v>2026-03</v>
      </c>
      <c r="E1106" s="3" t="s">
        <v>1528</v>
      </c>
      <c r="F1106" s="4" t="s">
        <v>1500</v>
      </c>
      <c r="G1106" s="39">
        <v>46091</v>
      </c>
      <c r="H1106" s="40">
        <v>-111</v>
      </c>
      <c r="I1106" s="40">
        <v>111</v>
      </c>
      <c r="J1106" s="7">
        <v>106</v>
      </c>
      <c r="K1106" s="8">
        <v>8.3696682464454941E-2</v>
      </c>
      <c r="L1106" s="9">
        <v>4.0629457507016964E-2</v>
      </c>
      <c r="M1106" s="10">
        <v>-111</v>
      </c>
      <c r="N1106" s="11">
        <v>2.06</v>
      </c>
      <c r="O1106" s="12">
        <v>24392.100645136965</v>
      </c>
      <c r="P1106" s="13" t="s">
        <v>506</v>
      </c>
      <c r="Q1106" s="13" t="s">
        <v>76</v>
      </c>
      <c r="R1106" s="14" t="s">
        <v>614</v>
      </c>
      <c r="S1106" s="13">
        <v>3294</v>
      </c>
      <c r="T1106" s="13">
        <v>2305.7999999999997</v>
      </c>
      <c r="U1106" s="32">
        <v>2305.7999999999997</v>
      </c>
      <c r="V1106" s="31" t="s">
        <v>77</v>
      </c>
      <c r="W1106" s="15"/>
      <c r="X1106" s="15"/>
      <c r="Y1106" s="16"/>
      <c r="Z1106" s="17"/>
      <c r="AA1106" s="16"/>
      <c r="AB1106" s="24">
        <v>2444.15</v>
      </c>
      <c r="AC1106" s="20">
        <v>192.98781042654019</v>
      </c>
      <c r="AD1106" s="21">
        <v>46091</v>
      </c>
      <c r="AE1106" s="22">
        <v>671412.04488274513</v>
      </c>
      <c r="AF1106" s="23">
        <v>520285.28593333374</v>
      </c>
      <c r="AG1106" s="24">
        <v>617841.13593333366</v>
      </c>
      <c r="AH1106" s="15">
        <v>0.5</v>
      </c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  <c r="BN1106" s="25"/>
      <c r="BO1106" s="25"/>
      <c r="BP1106" s="25"/>
    </row>
    <row r="1107" spans="1:68" ht="15" customHeight="1" x14ac:dyDescent="0.25">
      <c r="A1107" s="1">
        <f t="shared" si="71"/>
        <v>592</v>
      </c>
      <c r="B1107" s="1" t="str">
        <f t="shared" si="68"/>
        <v xml:space="preserve">Portland </v>
      </c>
      <c r="C1107" s="1">
        <f t="shared" si="69"/>
        <v>0</v>
      </c>
      <c r="D1107" s="2" t="str">
        <f t="shared" si="70"/>
        <v>2026-03</v>
      </c>
      <c r="E1107" s="3" t="s">
        <v>1529</v>
      </c>
      <c r="F1107" s="4" t="s">
        <v>1500</v>
      </c>
      <c r="G1107" s="39">
        <v>46091</v>
      </c>
      <c r="H1107" s="40">
        <v>108</v>
      </c>
      <c r="I1107" s="40">
        <v>-108</v>
      </c>
      <c r="J1107" s="7">
        <v>125</v>
      </c>
      <c r="K1107" s="8">
        <v>8.173076923076919E-2</v>
      </c>
      <c r="L1107" s="9">
        <v>3.6324786324786307E-2</v>
      </c>
      <c r="M1107" s="10">
        <v>107.99999999999999</v>
      </c>
      <c r="N1107" s="11">
        <v>2.25</v>
      </c>
      <c r="O1107" s="12">
        <v>20008.218520897433</v>
      </c>
      <c r="P1107" s="13" t="s">
        <v>506</v>
      </c>
      <c r="Q1107" s="13" t="s">
        <v>81</v>
      </c>
      <c r="R1107" s="14" t="s">
        <v>1380</v>
      </c>
      <c r="S1107" s="13">
        <v>1396</v>
      </c>
      <c r="T1107" s="13">
        <v>977.19999999999993</v>
      </c>
      <c r="U1107" s="32">
        <v>977.19999999999993</v>
      </c>
      <c r="V1107" s="31" t="s">
        <v>82</v>
      </c>
      <c r="W1107" s="15"/>
      <c r="X1107" s="15"/>
      <c r="Y1107" s="16"/>
      <c r="Z1107" s="17"/>
      <c r="AA1107" s="16"/>
      <c r="AB1107" s="24">
        <v>-977.19999999999993</v>
      </c>
      <c r="AC1107" s="20">
        <v>79.867307692307648</v>
      </c>
      <c r="AD1107" s="21">
        <v>46091</v>
      </c>
      <c r="AE1107" s="22">
        <v>674137.78549689567</v>
      </c>
      <c r="AF1107" s="23">
        <v>511038.89593333367</v>
      </c>
      <c r="AG1107" s="24">
        <v>612016.09593333362</v>
      </c>
      <c r="AH1107" s="15">
        <v>0.5</v>
      </c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25"/>
      <c r="AY1107" s="25"/>
      <c r="AZ1107" s="25"/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5"/>
      <c r="BL1107" s="25"/>
      <c r="BM1107" s="25"/>
      <c r="BN1107" s="25"/>
      <c r="BO1107" s="25"/>
      <c r="BP1107" s="25"/>
    </row>
    <row r="1108" spans="1:68" ht="15" customHeight="1" x14ac:dyDescent="0.25">
      <c r="A1108" s="1">
        <f t="shared" si="71"/>
        <v>592</v>
      </c>
      <c r="B1108" s="1" t="str">
        <f t="shared" si="68"/>
        <v xml:space="preserve">Portland </v>
      </c>
      <c r="C1108" s="1">
        <f t="shared" si="69"/>
        <v>0</v>
      </c>
      <c r="D1108" s="2" t="str">
        <f t="shared" si="70"/>
        <v>2026-03</v>
      </c>
      <c r="E1108" s="3" t="s">
        <v>1530</v>
      </c>
      <c r="F1108" s="4" t="s">
        <v>1500</v>
      </c>
      <c r="G1108" s="39">
        <v>46091</v>
      </c>
      <c r="H1108" s="40">
        <v>210</v>
      </c>
      <c r="I1108" s="40">
        <v>-210</v>
      </c>
      <c r="J1108" s="7">
        <v>650</v>
      </c>
      <c r="K1108" s="8">
        <v>1.4193548387096775</v>
      </c>
      <c r="L1108" s="9">
        <v>0.18924731182795698</v>
      </c>
      <c r="M1108" s="10">
        <v>210.00000000000003</v>
      </c>
      <c r="N1108" s="11">
        <v>7.5</v>
      </c>
      <c r="O1108" s="12">
        <v>66420.593699917343</v>
      </c>
      <c r="P1108" s="13" t="s">
        <v>506</v>
      </c>
      <c r="Q1108" s="13" t="s">
        <v>81</v>
      </c>
      <c r="R1108" s="14" t="s">
        <v>1060</v>
      </c>
      <c r="S1108" s="13">
        <v>402</v>
      </c>
      <c r="T1108" s="13">
        <v>281.39999999999998</v>
      </c>
      <c r="U1108" s="32">
        <v>281.39999999999998</v>
      </c>
      <c r="V1108" s="31" t="s">
        <v>82</v>
      </c>
      <c r="W1108" s="15"/>
      <c r="X1108" s="15"/>
      <c r="Y1108" s="16"/>
      <c r="Z1108" s="17"/>
      <c r="AA1108" s="16"/>
      <c r="AB1108" s="24">
        <v>-281.39999999999998</v>
      </c>
      <c r="AC1108" s="20">
        <v>399.4064516129032</v>
      </c>
      <c r="AD1108" s="21">
        <v>46091</v>
      </c>
      <c r="AE1108" s="22">
        <v>674984.63298023981</v>
      </c>
      <c r="AF1108" s="23">
        <v>508070.85593333369</v>
      </c>
      <c r="AG1108" s="24">
        <v>608352.25593333377</v>
      </c>
      <c r="AH1108" s="15">
        <v>0.5</v>
      </c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  <c r="BN1108" s="25"/>
      <c r="BO1108" s="25"/>
      <c r="BP1108" s="25"/>
    </row>
    <row r="1109" spans="1:68" ht="15" customHeight="1" x14ac:dyDescent="0.25">
      <c r="A1109" s="1">
        <f t="shared" si="71"/>
        <v>593</v>
      </c>
      <c r="B1109" s="1" t="str">
        <f t="shared" si="68"/>
        <v xml:space="preserve">San </v>
      </c>
      <c r="C1109" s="1">
        <f t="shared" si="69"/>
        <v>0</v>
      </c>
      <c r="D1109" s="2" t="str">
        <f t="shared" si="70"/>
        <v>2026-03</v>
      </c>
      <c r="E1109" s="3" t="s">
        <v>1531</v>
      </c>
      <c r="F1109" s="4" t="s">
        <v>1500</v>
      </c>
      <c r="G1109" s="39">
        <v>46091</v>
      </c>
      <c r="H1109" s="40">
        <v>-144</v>
      </c>
      <c r="I1109" s="40">
        <v>144</v>
      </c>
      <c r="J1109" s="7">
        <v>-120</v>
      </c>
      <c r="K1109" s="8">
        <v>8.1967213114754162E-2</v>
      </c>
      <c r="L1109" s="9">
        <v>4.4709388971684083E-2</v>
      </c>
      <c r="M1109" s="10">
        <v>-144</v>
      </c>
      <c r="N1109" s="11">
        <v>1.8333333333333335</v>
      </c>
      <c r="O1109" s="12">
        <v>30373.139308196754</v>
      </c>
      <c r="P1109" s="13" t="s">
        <v>506</v>
      </c>
      <c r="Q1109" s="13" t="s">
        <v>81</v>
      </c>
      <c r="R1109" s="14" t="s">
        <v>732</v>
      </c>
      <c r="S1109" s="13">
        <v>6292</v>
      </c>
      <c r="T1109" s="13">
        <v>4404.3999999999996</v>
      </c>
      <c r="U1109" s="32">
        <v>4404.3999999999996</v>
      </c>
      <c r="V1109" s="31" t="s">
        <v>77</v>
      </c>
      <c r="W1109" s="15"/>
      <c r="X1109" s="15"/>
      <c r="Y1109" s="16"/>
      <c r="Z1109" s="17"/>
      <c r="AA1109" s="16"/>
      <c r="AB1109" s="24">
        <v>3670.33</v>
      </c>
      <c r="AC1109" s="20">
        <v>361.01639344262321</v>
      </c>
      <c r="AD1109" s="21">
        <v>46091</v>
      </c>
      <c r="AE1109" s="22">
        <v>673248.03768583608</v>
      </c>
      <c r="AF1109" s="23">
        <v>521257.4959333337</v>
      </c>
      <c r="AG1109" s="24">
        <v>617587.16593333369</v>
      </c>
      <c r="AH1109" s="15">
        <v>0.5</v>
      </c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25"/>
      <c r="AY1109" s="25"/>
      <c r="AZ1109" s="25"/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5"/>
      <c r="BL1109" s="25"/>
      <c r="BM1109" s="25"/>
      <c r="BN1109" s="25"/>
      <c r="BO1109" s="25"/>
      <c r="BP1109" s="25"/>
    </row>
    <row r="1110" spans="1:68" ht="15" customHeight="1" x14ac:dyDescent="0.25">
      <c r="A1110" s="1">
        <f t="shared" si="71"/>
        <v>594</v>
      </c>
      <c r="B1110" s="1" t="str">
        <f t="shared" si="68"/>
        <v xml:space="preserve">Syracuse </v>
      </c>
      <c r="C1110" s="1">
        <f t="shared" si="69"/>
        <v>0</v>
      </c>
      <c r="D1110" s="2" t="str">
        <f t="shared" si="70"/>
        <v>2026-03</v>
      </c>
      <c r="E1110" s="3" t="s">
        <v>1532</v>
      </c>
      <c r="F1110" s="4" t="s">
        <v>1500</v>
      </c>
      <c r="G1110" s="39">
        <v>46091</v>
      </c>
      <c r="H1110" s="40">
        <v>106</v>
      </c>
      <c r="I1110" s="40">
        <v>-106</v>
      </c>
      <c r="J1110" s="7">
        <v>148</v>
      </c>
      <c r="K1110" s="8">
        <v>0.20388349514563125</v>
      </c>
      <c r="L1110" s="9">
        <v>8.2211086752270679E-2</v>
      </c>
      <c r="M1110" s="10">
        <v>105.99999999999999</v>
      </c>
      <c r="N1110" s="11">
        <v>2.48</v>
      </c>
      <c r="O1110" s="12">
        <v>42670.36589674632</v>
      </c>
      <c r="P1110" s="13" t="s">
        <v>506</v>
      </c>
      <c r="Q1110" s="13" t="s">
        <v>76</v>
      </c>
      <c r="R1110" s="14" t="s">
        <v>888</v>
      </c>
      <c r="S1110" s="13">
        <v>2359</v>
      </c>
      <c r="T1110" s="13">
        <v>1651.3</v>
      </c>
      <c r="U1110" s="32">
        <v>1651.3</v>
      </c>
      <c r="V1110" s="31" t="s">
        <v>82</v>
      </c>
      <c r="W1110" s="15"/>
      <c r="X1110" s="15"/>
      <c r="Y1110" s="16"/>
      <c r="Z1110" s="17"/>
      <c r="AA1110" s="16"/>
      <c r="AB1110" s="24">
        <v>-1651.3</v>
      </c>
      <c r="AC1110" s="20">
        <v>336.67281553398089</v>
      </c>
      <c r="AD1110" s="21">
        <v>46091</v>
      </c>
      <c r="AE1110" s="22">
        <v>671219.05707231862</v>
      </c>
      <c r="AF1110" s="23">
        <v>517841.13593333372</v>
      </c>
      <c r="AG1110" s="24">
        <v>619492.43593333371</v>
      </c>
      <c r="AH1110" s="15">
        <v>0.5</v>
      </c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  <c r="BN1110" s="25"/>
      <c r="BO1110" s="25"/>
      <c r="BP1110" s="25"/>
    </row>
    <row r="1111" spans="1:68" ht="15" customHeight="1" x14ac:dyDescent="0.25">
      <c r="A1111" s="1">
        <f t="shared" si="71"/>
        <v>595</v>
      </c>
      <c r="B1111" s="1" t="str">
        <f t="shared" si="68"/>
        <v xml:space="preserve">Texas </v>
      </c>
      <c r="C1111" s="1">
        <f t="shared" si="69"/>
        <v>0</v>
      </c>
      <c r="D1111" s="2" t="str">
        <f t="shared" si="70"/>
        <v>2026-03</v>
      </c>
      <c r="E1111" s="3" t="s">
        <v>1533</v>
      </c>
      <c r="F1111" s="4" t="s">
        <v>1500</v>
      </c>
      <c r="G1111" s="39">
        <v>46091</v>
      </c>
      <c r="H1111" s="40">
        <v>-144</v>
      </c>
      <c r="I1111" s="40">
        <v>144</v>
      </c>
      <c r="J1111" s="7">
        <v>-116</v>
      </c>
      <c r="K1111" s="8">
        <v>9.8925946862634132E-2</v>
      </c>
      <c r="L1111" s="9">
        <v>5.3126897389192407E-2</v>
      </c>
      <c r="M1111" s="10">
        <v>-144</v>
      </c>
      <c r="N1111" s="11">
        <v>1.8620689655172413</v>
      </c>
      <c r="O1111" s="12">
        <v>35424.101651912548</v>
      </c>
      <c r="P1111" s="13" t="s">
        <v>506</v>
      </c>
      <c r="Q1111" s="13" t="s">
        <v>81</v>
      </c>
      <c r="R1111" s="14" t="s">
        <v>1534</v>
      </c>
      <c r="S1111" s="13">
        <v>1218</v>
      </c>
      <c r="T1111" s="13">
        <v>852.59999999999991</v>
      </c>
      <c r="U1111" s="32">
        <v>852.59999999999991</v>
      </c>
      <c r="V1111" s="31" t="s">
        <v>77</v>
      </c>
      <c r="W1111" s="15"/>
      <c r="X1111" s="15"/>
      <c r="Y1111" s="16"/>
      <c r="Z1111" s="17"/>
      <c r="AA1111" s="16"/>
      <c r="AB1111" s="24">
        <v>735</v>
      </c>
      <c r="AC1111" s="20">
        <v>84.344262295081847</v>
      </c>
      <c r="AD1111" s="21">
        <v>46091</v>
      </c>
      <c r="AE1111" s="22">
        <v>671798.76919101714</v>
      </c>
      <c r="AF1111" s="23">
        <v>518126.48593333375</v>
      </c>
      <c r="AG1111" s="24">
        <v>617391.48593333375</v>
      </c>
      <c r="AH1111" s="15">
        <v>0.5</v>
      </c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25"/>
      <c r="AY1111" s="25"/>
      <c r="AZ1111" s="25"/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5"/>
      <c r="BL1111" s="25"/>
      <c r="BM1111" s="25"/>
      <c r="BN1111" s="25"/>
      <c r="BO1111" s="25"/>
      <c r="BP1111" s="25"/>
    </row>
    <row r="1112" spans="1:68" ht="15" customHeight="1" x14ac:dyDescent="0.25">
      <c r="A1112" s="1">
        <f t="shared" si="71"/>
        <v>595</v>
      </c>
      <c r="B1112" s="1" t="str">
        <f t="shared" si="68"/>
        <v xml:space="preserve">Texas </v>
      </c>
      <c r="C1112" s="1">
        <f t="shared" si="69"/>
        <v>0</v>
      </c>
      <c r="D1112" s="2" t="str">
        <f t="shared" si="70"/>
        <v>2026-03</v>
      </c>
      <c r="E1112" s="3" t="s">
        <v>1535</v>
      </c>
      <c r="F1112" s="4" t="s">
        <v>1500</v>
      </c>
      <c r="G1112" s="39">
        <v>46091</v>
      </c>
      <c r="H1112" s="40">
        <v>-101</v>
      </c>
      <c r="I1112" s="40">
        <v>101</v>
      </c>
      <c r="J1112" s="7">
        <v>133</v>
      </c>
      <c r="K1112" s="8">
        <v>0.17079601990049759</v>
      </c>
      <c r="L1112" s="9">
        <v>7.3303012832831582E-2</v>
      </c>
      <c r="M1112" s="10">
        <v>-101.00000000000001</v>
      </c>
      <c r="N1112" s="11">
        <v>2.33</v>
      </c>
      <c r="O1112" s="12">
        <v>39939.003315174792</v>
      </c>
      <c r="P1112" s="13" t="s">
        <v>506</v>
      </c>
      <c r="Q1112" s="13" t="s">
        <v>81</v>
      </c>
      <c r="R1112" s="14" t="s">
        <v>1534</v>
      </c>
      <c r="S1112" s="13">
        <v>1312</v>
      </c>
      <c r="T1112" s="13">
        <v>918.4</v>
      </c>
      <c r="U1112" s="32">
        <v>918.4</v>
      </c>
      <c r="V1112" s="31" t="s">
        <v>82</v>
      </c>
      <c r="W1112" s="15"/>
      <c r="X1112" s="15"/>
      <c r="Y1112" s="16"/>
      <c r="Z1112" s="17"/>
      <c r="AA1112" s="16"/>
      <c r="AB1112" s="24">
        <v>-918.4</v>
      </c>
      <c r="AC1112" s="20">
        <v>156.85906467661698</v>
      </c>
      <c r="AD1112" s="21">
        <v>46091</v>
      </c>
      <c r="AE1112" s="22">
        <v>672417.09179645486</v>
      </c>
      <c r="AF1112" s="23">
        <v>521096.96593333373</v>
      </c>
      <c r="AG1112" s="24">
        <v>622015.36593333376</v>
      </c>
      <c r="AH1112" s="15">
        <v>0.5</v>
      </c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  <c r="BN1112" s="25"/>
      <c r="BO1112" s="25"/>
      <c r="BP1112" s="25"/>
    </row>
    <row r="1113" spans="1:68" ht="15" customHeight="1" x14ac:dyDescent="0.25">
      <c r="A1113" s="1">
        <f t="shared" si="71"/>
        <v>596</v>
      </c>
      <c r="B1113" s="1" t="str">
        <f t="shared" si="68"/>
        <v xml:space="preserve">UT </v>
      </c>
      <c r="C1113" s="1">
        <f t="shared" si="69"/>
        <v>0</v>
      </c>
      <c r="D1113" s="2" t="str">
        <f t="shared" si="70"/>
        <v>2026-03</v>
      </c>
      <c r="E1113" s="3" t="s">
        <v>1536</v>
      </c>
      <c r="F1113" s="4" t="s">
        <v>1500</v>
      </c>
      <c r="G1113" s="39">
        <v>46091</v>
      </c>
      <c r="H1113" s="40">
        <v>110</v>
      </c>
      <c r="I1113" s="40">
        <v>-110</v>
      </c>
      <c r="J1113" s="7">
        <v>155</v>
      </c>
      <c r="K1113" s="8">
        <v>0.21428571428571405</v>
      </c>
      <c r="L1113" s="9">
        <v>8.4033613445378075E-2</v>
      </c>
      <c r="M1113" s="10">
        <v>110.00000000000001</v>
      </c>
      <c r="N1113" s="11">
        <v>2.5499999999999998</v>
      </c>
      <c r="O1113" s="12">
        <v>42112.750640552978</v>
      </c>
      <c r="P1113" s="13" t="s">
        <v>506</v>
      </c>
      <c r="Q1113" s="13" t="s">
        <v>81</v>
      </c>
      <c r="R1113" s="14" t="s">
        <v>1537</v>
      </c>
      <c r="S1113" s="13">
        <v>563</v>
      </c>
      <c r="T1113" s="13">
        <v>394.09999999999997</v>
      </c>
      <c r="U1113" s="32">
        <v>394.09999999999997</v>
      </c>
      <c r="V1113" s="31" t="s">
        <v>82</v>
      </c>
      <c r="W1113" s="15"/>
      <c r="X1113" s="15"/>
      <c r="Y1113" s="16"/>
      <c r="Z1113" s="17"/>
      <c r="AA1113" s="16"/>
      <c r="AB1113" s="24">
        <v>-394.09999999999997</v>
      </c>
      <c r="AC1113" s="20">
        <v>84.449999999999903</v>
      </c>
      <c r="AD1113" s="21">
        <v>46091</v>
      </c>
      <c r="AE1113" s="22">
        <v>674521.74745810952</v>
      </c>
      <c r="AF1113" s="23">
        <v>508837.02593333373</v>
      </c>
      <c r="AG1113" s="24">
        <v>609231.12593333365</v>
      </c>
      <c r="AH1113" s="15">
        <v>0.5</v>
      </c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25"/>
      <c r="AY1113" s="25"/>
      <c r="AZ1113" s="25"/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5"/>
      <c r="BL1113" s="25"/>
      <c r="BM1113" s="25"/>
      <c r="BN1113" s="25"/>
      <c r="BO1113" s="25"/>
      <c r="BP1113" s="25"/>
    </row>
    <row r="1114" spans="1:68" ht="15" customHeight="1" x14ac:dyDescent="0.25">
      <c r="A1114" s="1">
        <f t="shared" si="71"/>
        <v>596</v>
      </c>
      <c r="B1114" s="1" t="str">
        <f t="shared" si="68"/>
        <v xml:space="preserve">UT </v>
      </c>
      <c r="C1114" s="1">
        <f t="shared" si="69"/>
        <v>0</v>
      </c>
      <c r="D1114" s="2" t="str">
        <f t="shared" si="70"/>
        <v>2026-03</v>
      </c>
      <c r="E1114" s="3" t="s">
        <v>1536</v>
      </c>
      <c r="F1114" s="4" t="s">
        <v>1500</v>
      </c>
      <c r="G1114" s="39">
        <v>46091</v>
      </c>
      <c r="H1114" s="40">
        <v>214</v>
      </c>
      <c r="I1114" s="40">
        <v>-214</v>
      </c>
      <c r="J1114" s="7">
        <v>400</v>
      </c>
      <c r="K1114" s="8">
        <v>0.59235668789808904</v>
      </c>
      <c r="L1114" s="9">
        <v>0.11847133757961781</v>
      </c>
      <c r="M1114" s="10">
        <v>214</v>
      </c>
      <c r="N1114" s="11">
        <v>5</v>
      </c>
      <c r="O1114" s="12">
        <v>45024.354778503206</v>
      </c>
      <c r="P1114" s="13" t="s">
        <v>506</v>
      </c>
      <c r="Q1114" s="13" t="s">
        <v>81</v>
      </c>
      <c r="R1114" s="14" t="s">
        <v>1537</v>
      </c>
      <c r="S1114" s="13">
        <v>218</v>
      </c>
      <c r="T1114" s="13">
        <v>152.6</v>
      </c>
      <c r="U1114" s="32">
        <v>152.6</v>
      </c>
      <c r="V1114" s="31" t="s">
        <v>82</v>
      </c>
      <c r="W1114" s="15"/>
      <c r="X1114" s="15"/>
      <c r="Y1114" s="16"/>
      <c r="Z1114" s="17"/>
      <c r="AA1114" s="16"/>
      <c r="AB1114" s="24">
        <v>-152.6</v>
      </c>
      <c r="AC1114" s="20">
        <v>90.393630573248387</v>
      </c>
      <c r="AD1114" s="21">
        <v>46091</v>
      </c>
      <c r="AE1114" s="22">
        <v>675075.0266108131</v>
      </c>
      <c r="AF1114" s="23">
        <v>507918.25593333371</v>
      </c>
      <c r="AG1114" s="24">
        <v>608070.85593333375</v>
      </c>
      <c r="AH1114" s="15">
        <v>0.5</v>
      </c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  <c r="BN1114" s="25"/>
      <c r="BO1114" s="25"/>
      <c r="BP1114" s="25"/>
    </row>
    <row r="1115" spans="1:68" ht="15" customHeight="1" x14ac:dyDescent="0.25">
      <c r="A1115" s="1">
        <f t="shared" si="71"/>
        <v>597</v>
      </c>
      <c r="B1115" s="1" t="str">
        <f t="shared" si="68"/>
        <v xml:space="preserve">Vermont </v>
      </c>
      <c r="C1115" s="1">
        <f t="shared" si="69"/>
        <v>0</v>
      </c>
      <c r="D1115" s="2" t="str">
        <f t="shared" si="70"/>
        <v>2026-03</v>
      </c>
      <c r="E1115" s="3" t="s">
        <v>1538</v>
      </c>
      <c r="F1115" s="4" t="s">
        <v>1500</v>
      </c>
      <c r="G1115" s="39">
        <v>46091</v>
      </c>
      <c r="H1115" s="40">
        <v>-115</v>
      </c>
      <c r="I1115" s="40">
        <v>115</v>
      </c>
      <c r="J1115" s="7">
        <v>112</v>
      </c>
      <c r="K1115" s="8">
        <v>0.13395348837209328</v>
      </c>
      <c r="L1115" s="9">
        <v>6.31856077226855E-2</v>
      </c>
      <c r="M1115" s="10">
        <v>-115.00000000000001</v>
      </c>
      <c r="N1115" s="11">
        <v>2.12</v>
      </c>
      <c r="O1115" s="12">
        <v>37142.011251827331</v>
      </c>
      <c r="P1115" s="13" t="s">
        <v>506</v>
      </c>
      <c r="Q1115" s="13" t="s">
        <v>76</v>
      </c>
      <c r="R1115" s="14" t="s">
        <v>1539</v>
      </c>
      <c r="S1115" s="13">
        <v>935</v>
      </c>
      <c r="T1115" s="13">
        <v>654.5</v>
      </c>
      <c r="U1115" s="32">
        <v>654.5</v>
      </c>
      <c r="V1115" s="31" t="s">
        <v>82</v>
      </c>
      <c r="W1115" s="15"/>
      <c r="X1115" s="15"/>
      <c r="Y1115" s="16"/>
      <c r="Z1115" s="17"/>
      <c r="AA1115" s="16"/>
      <c r="AB1115" s="24">
        <v>-654.5</v>
      </c>
      <c r="AC1115" s="20">
        <v>87.672558139535056</v>
      </c>
      <c r="AD1115" s="21">
        <v>46091</v>
      </c>
      <c r="AE1115" s="22">
        <v>672504.7643545944</v>
      </c>
      <c r="AF1115" s="23">
        <v>520442.46593333373</v>
      </c>
      <c r="AG1115" s="24">
        <v>621096.96593333373</v>
      </c>
      <c r="AH1115" s="15">
        <v>0.5</v>
      </c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25"/>
      <c r="AY1115" s="25"/>
      <c r="AZ1115" s="25"/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5"/>
      <c r="BL1115" s="25"/>
      <c r="BM1115" s="25"/>
      <c r="BN1115" s="25"/>
      <c r="BO1115" s="25"/>
      <c r="BP1115" s="25"/>
    </row>
    <row r="1116" spans="1:68" ht="15" customHeight="1" x14ac:dyDescent="0.25">
      <c r="A1116" s="1">
        <f t="shared" si="71"/>
        <v>598</v>
      </c>
      <c r="B1116" s="1" t="str">
        <f t="shared" si="68"/>
        <v xml:space="preserve">Virginia </v>
      </c>
      <c r="C1116" s="1">
        <f t="shared" si="69"/>
        <v>0</v>
      </c>
      <c r="D1116" s="2" t="str">
        <f t="shared" si="70"/>
        <v>2026-03</v>
      </c>
      <c r="E1116" s="3" t="s">
        <v>1540</v>
      </c>
      <c r="F1116" s="4" t="s">
        <v>1500</v>
      </c>
      <c r="G1116" s="39">
        <v>46091</v>
      </c>
      <c r="H1116" s="40">
        <v>-152</v>
      </c>
      <c r="I1116" s="40">
        <v>152</v>
      </c>
      <c r="J1116" s="7">
        <v>-135</v>
      </c>
      <c r="K1116" s="8">
        <v>4.9970605526160929E-2</v>
      </c>
      <c r="L1116" s="9">
        <v>2.870651806822011E-2</v>
      </c>
      <c r="M1116" s="10">
        <v>-151.99999999999997</v>
      </c>
      <c r="N1116" s="11">
        <v>1.7407407407407407</v>
      </c>
      <c r="O1116" s="12">
        <v>20955.113950132225</v>
      </c>
      <c r="P1116" s="13" t="s">
        <v>506</v>
      </c>
      <c r="Q1116" s="13" t="s">
        <v>81</v>
      </c>
      <c r="R1116" s="14" t="s">
        <v>1207</v>
      </c>
      <c r="S1116" s="13">
        <v>4719</v>
      </c>
      <c r="T1116" s="13">
        <v>3303.2999999999997</v>
      </c>
      <c r="U1116" s="32">
        <v>3303.2999999999997</v>
      </c>
      <c r="V1116" s="31" t="s">
        <v>82</v>
      </c>
      <c r="W1116" s="15"/>
      <c r="X1116" s="15"/>
      <c r="Y1116" s="16"/>
      <c r="Z1116" s="17"/>
      <c r="AA1116" s="16"/>
      <c r="AB1116" s="24">
        <v>-3303.2999999999997</v>
      </c>
      <c r="AC1116" s="20">
        <v>165.06790123456739</v>
      </c>
      <c r="AD1116" s="21">
        <v>46091</v>
      </c>
      <c r="AE1116" s="22">
        <v>673413.10558707069</v>
      </c>
      <c r="AF1116" s="23">
        <v>517954.19593333371</v>
      </c>
      <c r="AG1116" s="24">
        <v>621257.49593333364</v>
      </c>
      <c r="AH1116" s="15">
        <v>0.5</v>
      </c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5"/>
      <c r="BO1116" s="25"/>
      <c r="BP1116" s="25"/>
    </row>
    <row r="1117" spans="1:68" ht="15" customHeight="1" x14ac:dyDescent="0.25">
      <c r="A1117" s="1">
        <f t="shared" si="71"/>
        <v>599</v>
      </c>
      <c r="B1117" s="1" t="str">
        <f t="shared" si="68"/>
        <v xml:space="preserve">Wake </v>
      </c>
      <c r="C1117" s="1">
        <f t="shared" si="69"/>
        <v>0</v>
      </c>
      <c r="D1117" s="2" t="str">
        <f t="shared" si="70"/>
        <v>2026-03</v>
      </c>
      <c r="E1117" s="3" t="s">
        <v>1541</v>
      </c>
      <c r="F1117" s="4" t="s">
        <v>1500</v>
      </c>
      <c r="G1117" s="39">
        <v>46091</v>
      </c>
      <c r="H1117" s="40">
        <v>109</v>
      </c>
      <c r="I1117" s="40">
        <v>-109</v>
      </c>
      <c r="J1117" s="7">
        <v>143</v>
      </c>
      <c r="K1117" s="8">
        <v>0.16267942583732051</v>
      </c>
      <c r="L1117" s="9">
        <v>6.6946265776675118E-2</v>
      </c>
      <c r="M1117" s="10">
        <v>108.99999999999999</v>
      </c>
      <c r="N1117" s="11">
        <v>2.4299999999999997</v>
      </c>
      <c r="O1117" s="12">
        <v>35226.15726190876</v>
      </c>
      <c r="P1117" s="13" t="s">
        <v>506</v>
      </c>
      <c r="Q1117" s="13" t="s">
        <v>76</v>
      </c>
      <c r="R1117" s="14" t="s">
        <v>1542</v>
      </c>
      <c r="S1117" s="13">
        <v>2442</v>
      </c>
      <c r="T1117" s="13">
        <v>1709.3999999999999</v>
      </c>
      <c r="U1117" s="32">
        <v>1709.3999999999999</v>
      </c>
      <c r="V1117" s="31" t="s">
        <v>82</v>
      </c>
      <c r="W1117" s="15"/>
      <c r="X1117" s="15"/>
      <c r="Y1117" s="16"/>
      <c r="Z1117" s="17"/>
      <c r="AA1117" s="16"/>
      <c r="AB1117" s="24">
        <v>-1709.3999999999999</v>
      </c>
      <c r="AC1117" s="20">
        <v>278.08421052631564</v>
      </c>
      <c r="AD1117" s="21">
        <v>46091</v>
      </c>
      <c r="AE1117" s="22">
        <v>672887.02129239345</v>
      </c>
      <c r="AF1117" s="23">
        <v>517587.16593333369</v>
      </c>
      <c r="AG1117" s="24">
        <v>619296.56593333371</v>
      </c>
      <c r="AH1117" s="15">
        <v>0.5</v>
      </c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25"/>
      <c r="AY1117" s="25"/>
      <c r="AZ1117" s="25"/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5"/>
      <c r="BL1117" s="25"/>
      <c r="BM1117" s="25"/>
      <c r="BN1117" s="25"/>
      <c r="BO1117" s="25"/>
      <c r="BP1117" s="25"/>
    </row>
    <row r="1118" spans="1:68" ht="15" customHeight="1" x14ac:dyDescent="0.25">
      <c r="A1118" s="1">
        <f t="shared" si="71"/>
        <v>600</v>
      </c>
      <c r="B1118" s="1" t="str">
        <f t="shared" si="68"/>
        <v xml:space="preserve">Washington </v>
      </c>
      <c r="C1118" s="1">
        <f t="shared" si="69"/>
        <v>1</v>
      </c>
      <c r="D1118" s="2" t="str">
        <f t="shared" si="70"/>
        <v>2026-03</v>
      </c>
      <c r="E1118" s="3" t="s">
        <v>1543</v>
      </c>
      <c r="F1118" s="4" t="s">
        <v>1500</v>
      </c>
      <c r="G1118" s="39">
        <v>46091</v>
      </c>
      <c r="H1118" s="40">
        <v>108</v>
      </c>
      <c r="I1118" s="40">
        <v>-108</v>
      </c>
      <c r="J1118" s="7">
        <v>130</v>
      </c>
      <c r="K1118" s="8">
        <v>0.10576923076923056</v>
      </c>
      <c r="L1118" s="9">
        <v>4.5986622073578509E-2</v>
      </c>
      <c r="M1118" s="10">
        <v>107.99999999999999</v>
      </c>
      <c r="N1118" s="11">
        <v>2.2999999999999998</v>
      </c>
      <c r="O1118" s="12">
        <v>25254.894952909239</v>
      </c>
      <c r="P1118" s="13" t="s">
        <v>506</v>
      </c>
      <c r="Q1118" s="13" t="s">
        <v>92</v>
      </c>
      <c r="R1118" s="14" t="s">
        <v>1145</v>
      </c>
      <c r="S1118" s="13">
        <v>1768</v>
      </c>
      <c r="T1118" s="13">
        <v>1237.5999999999999</v>
      </c>
      <c r="U1118" s="32">
        <v>1237.5999999999999</v>
      </c>
      <c r="V1118" s="31" t="s">
        <v>82</v>
      </c>
      <c r="W1118" s="15"/>
      <c r="X1118" s="15"/>
      <c r="Y1118" s="16"/>
      <c r="Z1118" s="17"/>
      <c r="AA1118" s="16"/>
      <c r="AB1118" s="24">
        <v>-1237.5999999999999</v>
      </c>
      <c r="AC1118" s="20">
        <v>130.89999999999972</v>
      </c>
      <c r="AD1118" s="21">
        <v>46091</v>
      </c>
      <c r="AE1118" s="22">
        <v>672128.24747379299</v>
      </c>
      <c r="AF1118" s="23">
        <v>519573.63593333378</v>
      </c>
      <c r="AG1118" s="24">
        <v>620811.23593333375</v>
      </c>
      <c r="AH1118" s="15">
        <v>0.5</v>
      </c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  <c r="BN1118" s="25"/>
      <c r="BO1118" s="25"/>
      <c r="BP1118" s="25"/>
    </row>
    <row r="1119" spans="1:68" ht="15" customHeight="1" x14ac:dyDescent="0.25">
      <c r="E1119" s="3"/>
      <c r="F1119" s="4"/>
      <c r="G1119" s="5"/>
      <c r="H1119" s="40"/>
      <c r="I1119" s="40"/>
      <c r="J1119" s="7"/>
      <c r="K1119" s="8"/>
      <c r="L1119" s="9"/>
      <c r="M1119" s="10"/>
      <c r="N1119" s="11"/>
      <c r="O1119" s="12"/>
      <c r="P1119" s="13"/>
      <c r="Q1119" s="13"/>
      <c r="R1119" s="14"/>
      <c r="S1119" s="13"/>
      <c r="T1119" s="13"/>
      <c r="U1119" s="32"/>
      <c r="V1119" s="31"/>
      <c r="W1119" s="15"/>
      <c r="X1119" s="15"/>
      <c r="Y1119" s="16"/>
      <c r="Z1119" s="17"/>
      <c r="AA1119" s="16"/>
      <c r="AB1119" s="24"/>
      <c r="AC1119" s="20"/>
      <c r="AD1119" s="21"/>
      <c r="AE1119" s="22"/>
      <c r="AF1119" s="23"/>
      <c r="AG1119" s="24"/>
      <c r="AH1119" s="1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25"/>
      <c r="AY1119" s="25"/>
      <c r="AZ1119" s="25"/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5"/>
      <c r="BL1119" s="25"/>
      <c r="BM1119" s="25"/>
      <c r="BN1119" s="25"/>
      <c r="BO1119" s="25"/>
      <c r="BP1119" s="25"/>
    </row>
    <row r="1120" spans="1:68" ht="15" customHeight="1" x14ac:dyDescent="0.25">
      <c r="E1120" s="3"/>
      <c r="F1120" s="4"/>
      <c r="G1120" s="5"/>
      <c r="H1120" s="40"/>
      <c r="I1120" s="40"/>
      <c r="J1120" s="7"/>
      <c r="K1120" s="8"/>
      <c r="L1120" s="9"/>
      <c r="M1120" s="10"/>
      <c r="N1120" s="11"/>
      <c r="O1120" s="12"/>
      <c r="P1120" s="13"/>
      <c r="Q1120" s="13"/>
      <c r="R1120" s="14"/>
      <c r="S1120" s="13"/>
      <c r="T1120" s="13"/>
      <c r="U1120" s="32"/>
      <c r="V1120" s="31"/>
      <c r="W1120" s="15"/>
      <c r="X1120" s="15"/>
      <c r="Y1120" s="16"/>
      <c r="Z1120" s="17"/>
      <c r="AA1120" s="16"/>
      <c r="AB1120" s="24"/>
      <c r="AC1120" s="20"/>
      <c r="AD1120" s="21"/>
      <c r="AE1120" s="22"/>
      <c r="AF1120" s="23"/>
      <c r="AG1120" s="24"/>
      <c r="AH1120" s="1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  <c r="BN1120" s="25"/>
      <c r="BO1120" s="25"/>
      <c r="BP1120" s="25"/>
    </row>
    <row r="1121" spans="5:68" ht="15" customHeight="1" x14ac:dyDescent="0.25">
      <c r="E1121" s="3"/>
      <c r="F1121" s="4"/>
      <c r="G1121" s="5"/>
      <c r="H1121" s="40"/>
      <c r="I1121" s="40"/>
      <c r="J1121" s="7"/>
      <c r="K1121" s="8"/>
      <c r="L1121" s="9"/>
      <c r="M1121" s="10"/>
      <c r="N1121" s="11"/>
      <c r="O1121" s="12"/>
      <c r="P1121" s="13"/>
      <c r="Q1121" s="13"/>
      <c r="R1121" s="14"/>
      <c r="S1121" s="13"/>
      <c r="T1121" s="13"/>
      <c r="U1121" s="32"/>
      <c r="V1121" s="6"/>
      <c r="W1121" s="15"/>
      <c r="X1121" s="15"/>
      <c r="Y1121" s="16"/>
      <c r="Z1121" s="17"/>
      <c r="AA1121" s="16"/>
      <c r="AB1121" s="24"/>
      <c r="AC1121" s="20"/>
      <c r="AD1121" s="21"/>
      <c r="AE1121" s="22"/>
      <c r="AF1121" s="23"/>
      <c r="AG1121" s="24"/>
      <c r="AH1121" s="1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25"/>
      <c r="AY1121" s="25"/>
      <c r="AZ1121" s="25"/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5"/>
      <c r="BL1121" s="25"/>
      <c r="BM1121" s="25"/>
      <c r="BN1121" s="25"/>
      <c r="BO1121" s="25"/>
      <c r="BP1121" s="25"/>
    </row>
    <row r="1122" spans="5:68" ht="15" customHeight="1" x14ac:dyDescent="0.25">
      <c r="E1122" s="28"/>
      <c r="F1122" s="29"/>
      <c r="G1122" s="5"/>
      <c r="H1122" s="6"/>
      <c r="I1122" s="6"/>
      <c r="J1122" s="30"/>
      <c r="K1122" s="8"/>
      <c r="L1122" s="9"/>
      <c r="M1122" s="10"/>
      <c r="N1122" s="11"/>
      <c r="O1122" s="12"/>
      <c r="P1122" s="13"/>
      <c r="Q1122" s="13"/>
      <c r="R1122" s="14"/>
      <c r="S1122" s="13"/>
      <c r="T1122" s="13"/>
      <c r="U1122" s="32"/>
      <c r="V1122" s="6"/>
      <c r="W1122" s="15"/>
      <c r="X1122" s="15"/>
      <c r="Y1122" s="16"/>
      <c r="Z1122" s="17"/>
      <c r="AA1122" s="16"/>
      <c r="AB1122" s="24"/>
      <c r="AC1122" s="20"/>
      <c r="AD1122" s="21"/>
      <c r="AE1122" s="22"/>
      <c r="AF1122" s="23"/>
      <c r="AG1122" s="24"/>
      <c r="AH1122" s="1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  <c r="BN1122" s="25"/>
      <c r="BO1122" s="25"/>
      <c r="BP1122" s="25"/>
    </row>
    <row r="1123" spans="5:68" ht="15" customHeight="1" x14ac:dyDescent="0.25">
      <c r="E1123" s="28"/>
      <c r="F1123" s="29"/>
      <c r="G1123" s="5"/>
      <c r="H1123" s="6"/>
      <c r="I1123" s="6"/>
      <c r="J1123" s="30"/>
      <c r="K1123" s="8"/>
      <c r="L1123" s="9"/>
      <c r="M1123" s="10"/>
      <c r="N1123" s="11"/>
      <c r="O1123" s="12"/>
      <c r="P1123" s="13"/>
      <c r="Q1123" s="13"/>
      <c r="R1123" s="14"/>
      <c r="S1123" s="13"/>
      <c r="T1123" s="13"/>
      <c r="U1123" s="32"/>
      <c r="V1123" s="6"/>
      <c r="W1123" s="15"/>
      <c r="X1123" s="15"/>
      <c r="Y1123" s="16"/>
      <c r="Z1123" s="17"/>
      <c r="AA1123" s="16"/>
      <c r="AB1123" s="24"/>
      <c r="AC1123" s="20"/>
      <c r="AD1123" s="21"/>
      <c r="AE1123" s="22"/>
      <c r="AF1123" s="23"/>
      <c r="AG1123" s="24"/>
      <c r="AH1123" s="1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25"/>
      <c r="AY1123" s="25"/>
      <c r="AZ1123" s="25"/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5"/>
      <c r="BL1123" s="25"/>
      <c r="BM1123" s="25"/>
      <c r="BN1123" s="25"/>
      <c r="BO1123" s="25"/>
      <c r="BP1123" s="25"/>
    </row>
    <row r="1124" spans="5:68" ht="15" customHeight="1" x14ac:dyDescent="0.25">
      <c r="E1124" s="28"/>
      <c r="F1124" s="29"/>
      <c r="G1124" s="5"/>
      <c r="H1124" s="6"/>
      <c r="I1124" s="6"/>
      <c r="J1124" s="30"/>
      <c r="K1124" s="8"/>
      <c r="L1124" s="9"/>
      <c r="M1124" s="10"/>
      <c r="N1124" s="11"/>
      <c r="O1124" s="12"/>
      <c r="P1124" s="13"/>
      <c r="Q1124" s="13"/>
      <c r="R1124" s="14"/>
      <c r="S1124" s="13"/>
      <c r="T1124" s="13"/>
      <c r="U1124" s="32"/>
      <c r="V1124" s="6"/>
      <c r="W1124" s="15"/>
      <c r="X1124" s="15"/>
      <c r="Y1124" s="16"/>
      <c r="Z1124" s="17"/>
      <c r="AA1124" s="16"/>
      <c r="AB1124" s="24"/>
      <c r="AC1124" s="20"/>
      <c r="AD1124" s="21"/>
      <c r="AE1124" s="22"/>
      <c r="AF1124" s="23"/>
      <c r="AG1124" s="24"/>
      <c r="AH1124" s="1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  <c r="BN1124" s="25"/>
      <c r="BO1124" s="25"/>
      <c r="BP1124" s="25"/>
    </row>
    <row r="1125" spans="5:68" ht="15" customHeight="1" x14ac:dyDescent="0.25">
      <c r="E1125" s="28"/>
      <c r="F1125" s="29"/>
      <c r="G1125" s="5"/>
      <c r="H1125" s="6"/>
      <c r="I1125" s="6"/>
      <c r="J1125" s="30"/>
      <c r="K1125" s="8"/>
      <c r="L1125" s="9"/>
      <c r="M1125" s="10"/>
      <c r="N1125" s="11"/>
      <c r="O1125" s="12"/>
      <c r="P1125" s="13"/>
      <c r="Q1125" s="13"/>
      <c r="R1125" s="14"/>
      <c r="S1125" s="13"/>
      <c r="T1125" s="13"/>
      <c r="U1125" s="32"/>
      <c r="V1125" s="6"/>
      <c r="W1125" s="15"/>
      <c r="X1125" s="15"/>
      <c r="Y1125" s="16"/>
      <c r="Z1125" s="17"/>
      <c r="AA1125" s="16"/>
      <c r="AB1125" s="24"/>
      <c r="AC1125" s="20"/>
      <c r="AD1125" s="21"/>
      <c r="AE1125" s="22"/>
      <c r="AF1125" s="23"/>
      <c r="AG1125" s="24"/>
      <c r="AH1125" s="1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25"/>
      <c r="AY1125" s="25"/>
      <c r="AZ1125" s="25"/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5"/>
      <c r="BL1125" s="25"/>
      <c r="BM1125" s="25"/>
      <c r="BN1125" s="25"/>
      <c r="BO1125" s="25"/>
      <c r="BP1125" s="25"/>
    </row>
    <row r="1126" spans="5:68" ht="15" customHeight="1" x14ac:dyDescent="0.25">
      <c r="E1126" s="28"/>
      <c r="F1126" s="29"/>
      <c r="G1126" s="5"/>
      <c r="H1126" s="6"/>
      <c r="I1126" s="6"/>
      <c r="J1126" s="30"/>
      <c r="K1126" s="8"/>
      <c r="L1126" s="9"/>
      <c r="M1126" s="10"/>
      <c r="N1126" s="11"/>
      <c r="O1126" s="12"/>
      <c r="P1126" s="13"/>
      <c r="Q1126" s="13"/>
      <c r="R1126" s="14"/>
      <c r="S1126" s="13"/>
      <c r="T1126" s="13"/>
      <c r="U1126" s="32"/>
      <c r="V1126" s="6"/>
      <c r="W1126" s="15"/>
      <c r="X1126" s="15"/>
      <c r="Y1126" s="16"/>
      <c r="Z1126" s="17"/>
      <c r="AA1126" s="16"/>
      <c r="AB1126" s="24"/>
      <c r="AC1126" s="20"/>
      <c r="AD1126" s="21"/>
      <c r="AE1126" s="22"/>
      <c r="AF1126" s="23"/>
      <c r="AG1126" s="24"/>
      <c r="AH1126" s="1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  <c r="BN1126" s="25"/>
      <c r="BO1126" s="25"/>
      <c r="BP1126" s="25"/>
    </row>
    <row r="1127" spans="5:68" ht="15" customHeight="1" x14ac:dyDescent="0.25">
      <c r="E1127" s="28"/>
      <c r="F1127" s="29"/>
      <c r="G1127" s="5"/>
      <c r="H1127" s="6"/>
      <c r="I1127" s="6"/>
      <c r="J1127" s="30"/>
      <c r="K1127" s="8"/>
      <c r="L1127" s="9"/>
      <c r="M1127" s="10"/>
      <c r="N1127" s="11"/>
      <c r="O1127" s="12"/>
      <c r="P1127" s="13"/>
      <c r="Q1127" s="13"/>
      <c r="R1127" s="14"/>
      <c r="S1127" s="13"/>
      <c r="T1127" s="13"/>
      <c r="U1127" s="32"/>
      <c r="V1127" s="31"/>
      <c r="W1127" s="15"/>
      <c r="X1127" s="15"/>
      <c r="Y1127" s="16"/>
      <c r="Z1127" s="17"/>
      <c r="AA1127" s="16"/>
      <c r="AB1127" s="24"/>
      <c r="AC1127" s="20"/>
      <c r="AD1127" s="21"/>
      <c r="AE1127" s="22"/>
      <c r="AF1127" s="23"/>
      <c r="AG1127" s="24"/>
      <c r="AH1127" s="1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25"/>
      <c r="AY1127" s="25"/>
      <c r="AZ1127" s="25"/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5"/>
      <c r="BL1127" s="25"/>
      <c r="BM1127" s="25"/>
      <c r="BN1127" s="25"/>
      <c r="BO1127" s="25"/>
      <c r="BP1127" s="25"/>
    </row>
    <row r="1128" spans="5:68" ht="15" customHeight="1" x14ac:dyDescent="0.25">
      <c r="E1128" s="28"/>
      <c r="F1128" s="29"/>
      <c r="G1128" s="5"/>
      <c r="H1128" s="6"/>
      <c r="I1128" s="6"/>
      <c r="J1128" s="30"/>
      <c r="K1128" s="8"/>
      <c r="L1128" s="9"/>
      <c r="M1128" s="10"/>
      <c r="N1128" s="11"/>
      <c r="O1128" s="12"/>
      <c r="P1128" s="13"/>
      <c r="Q1128" s="13"/>
      <c r="R1128" s="14"/>
      <c r="S1128" s="13"/>
      <c r="T1128" s="13"/>
      <c r="U1128" s="32"/>
      <c r="V1128" s="31"/>
      <c r="W1128" s="15"/>
      <c r="X1128" s="15"/>
      <c r="Y1128" s="16"/>
      <c r="Z1128" s="17"/>
      <c r="AA1128" s="16"/>
      <c r="AB1128" s="24"/>
      <c r="AC1128" s="20"/>
      <c r="AD1128" s="21"/>
      <c r="AE1128" s="22"/>
      <c r="AF1128" s="23"/>
      <c r="AG1128" s="24"/>
      <c r="AH1128" s="1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  <c r="BN1128" s="25"/>
      <c r="BO1128" s="25"/>
      <c r="BP1128" s="25"/>
    </row>
    <row r="1129" spans="5:68" ht="15" customHeight="1" x14ac:dyDescent="0.25">
      <c r="E1129" s="3"/>
      <c r="F1129" s="4"/>
      <c r="G1129" s="5"/>
      <c r="H1129" s="40"/>
      <c r="I1129" s="40"/>
      <c r="J1129" s="7"/>
      <c r="K1129" s="8"/>
      <c r="L1129" s="9"/>
      <c r="M1129" s="10"/>
      <c r="N1129" s="11"/>
      <c r="O1129" s="12"/>
      <c r="P1129" s="13"/>
      <c r="Q1129" s="13"/>
      <c r="R1129" s="14"/>
      <c r="S1129" s="13"/>
      <c r="T1129" s="13"/>
      <c r="U1129" s="32"/>
      <c r="V1129" s="31"/>
      <c r="W1129" s="15"/>
      <c r="X1129" s="15"/>
      <c r="Y1129" s="16"/>
      <c r="Z1129" s="17"/>
      <c r="AA1129" s="16"/>
      <c r="AB1129" s="24"/>
      <c r="AC1129" s="20"/>
      <c r="AD1129" s="21"/>
      <c r="AE1129" s="22"/>
      <c r="AF1129" s="23"/>
      <c r="AG1129" s="24"/>
      <c r="AH1129" s="1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25"/>
      <c r="AY1129" s="25"/>
      <c r="AZ1129" s="25"/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5"/>
      <c r="BL1129" s="25"/>
      <c r="BM1129" s="25"/>
      <c r="BN1129" s="25"/>
      <c r="BO1129" s="25"/>
      <c r="BP1129" s="25"/>
    </row>
    <row r="1130" spans="5:68" ht="15" customHeight="1" x14ac:dyDescent="0.25">
      <c r="E1130" s="3"/>
      <c r="F1130" s="4"/>
      <c r="G1130" s="5"/>
      <c r="H1130" s="40"/>
      <c r="I1130" s="40"/>
      <c r="J1130" s="7"/>
      <c r="K1130" s="8"/>
      <c r="L1130" s="9"/>
      <c r="M1130" s="10"/>
      <c r="N1130" s="11"/>
      <c r="O1130" s="12"/>
      <c r="P1130" s="13"/>
      <c r="Q1130" s="13"/>
      <c r="R1130" s="14"/>
      <c r="S1130" s="13"/>
      <c r="T1130" s="13"/>
      <c r="U1130" s="32"/>
      <c r="V1130" s="31"/>
      <c r="W1130" s="15"/>
      <c r="X1130" s="15"/>
      <c r="Y1130" s="16"/>
      <c r="Z1130" s="17"/>
      <c r="AA1130" s="16"/>
      <c r="AB1130" s="24"/>
      <c r="AC1130" s="20"/>
      <c r="AD1130" s="21"/>
      <c r="AE1130" s="22"/>
      <c r="AF1130" s="23"/>
      <c r="AG1130" s="24"/>
      <c r="AH1130" s="1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  <c r="BN1130" s="25"/>
      <c r="BO1130" s="25"/>
      <c r="BP1130" s="25"/>
    </row>
    <row r="1131" spans="5:68" ht="15" customHeight="1" x14ac:dyDescent="0.25">
      <c r="E1131" s="3"/>
      <c r="F1131" s="4"/>
      <c r="G1131" s="5"/>
      <c r="H1131" s="40"/>
      <c r="I1131" s="40"/>
      <c r="J1131" s="7"/>
      <c r="K1131" s="8"/>
      <c r="L1131" s="9"/>
      <c r="M1131" s="10"/>
      <c r="N1131" s="11"/>
      <c r="O1131" s="12"/>
      <c r="P1131" s="13"/>
      <c r="Q1131" s="13"/>
      <c r="R1131" s="14"/>
      <c r="S1131" s="13"/>
      <c r="T1131" s="13"/>
      <c r="U1131" s="32"/>
      <c r="V1131" s="31"/>
      <c r="W1131" s="15"/>
      <c r="X1131" s="15"/>
      <c r="Y1131" s="16"/>
      <c r="Z1131" s="17"/>
      <c r="AA1131" s="16"/>
      <c r="AB1131" s="24"/>
      <c r="AC1131" s="20"/>
      <c r="AD1131" s="21"/>
      <c r="AE1131" s="22"/>
      <c r="AF1131" s="23"/>
      <c r="AG1131" s="24"/>
      <c r="AH1131" s="1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25"/>
      <c r="AY1131" s="25"/>
      <c r="AZ1131" s="25"/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5"/>
      <c r="BL1131" s="25"/>
      <c r="BM1131" s="25"/>
      <c r="BN1131" s="25"/>
      <c r="BO1131" s="25"/>
      <c r="BP1131" s="25"/>
    </row>
    <row r="1132" spans="5:68" ht="15" customHeight="1" x14ac:dyDescent="0.25">
      <c r="E1132" s="3"/>
      <c r="F1132" s="4"/>
      <c r="G1132" s="5"/>
      <c r="H1132" s="40"/>
      <c r="I1132" s="40"/>
      <c r="J1132" s="7"/>
      <c r="K1132" s="8"/>
      <c r="L1132" s="9"/>
      <c r="M1132" s="10"/>
      <c r="N1132" s="11"/>
      <c r="O1132" s="12"/>
      <c r="P1132" s="13"/>
      <c r="Q1132" s="13"/>
      <c r="R1132" s="14"/>
      <c r="S1132" s="13"/>
      <c r="T1132" s="13"/>
      <c r="U1132" s="32"/>
      <c r="V1132" s="31"/>
      <c r="W1132" s="15"/>
      <c r="X1132" s="15"/>
      <c r="Y1132" s="16"/>
      <c r="Z1132" s="17"/>
      <c r="AA1132" s="16"/>
      <c r="AB1132" s="24"/>
      <c r="AC1132" s="20"/>
      <c r="AD1132" s="21"/>
      <c r="AE1132" s="22"/>
      <c r="AF1132" s="23"/>
      <c r="AG1132" s="24"/>
      <c r="AH1132" s="1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  <c r="BN1132" s="25"/>
      <c r="BO1132" s="25"/>
      <c r="BP1132" s="25"/>
    </row>
    <row r="1133" spans="5:68" ht="15" customHeight="1" x14ac:dyDescent="0.25">
      <c r="E1133" s="3"/>
      <c r="F1133" s="4"/>
      <c r="G1133" s="5"/>
      <c r="H1133" s="40"/>
      <c r="I1133" s="40"/>
      <c r="J1133" s="7"/>
      <c r="K1133" s="8"/>
      <c r="L1133" s="9"/>
      <c r="M1133" s="10"/>
      <c r="N1133" s="11"/>
      <c r="O1133" s="12"/>
      <c r="P1133" s="13"/>
      <c r="Q1133" s="13"/>
      <c r="R1133" s="14"/>
      <c r="S1133" s="13"/>
      <c r="T1133" s="13"/>
      <c r="U1133" s="32"/>
      <c r="V1133" s="31"/>
      <c r="W1133" s="15"/>
      <c r="X1133" s="15"/>
      <c r="Y1133" s="16"/>
      <c r="Z1133" s="17"/>
      <c r="AA1133" s="16"/>
      <c r="AB1133" s="24"/>
      <c r="AC1133" s="20"/>
      <c r="AD1133" s="21"/>
      <c r="AE1133" s="22"/>
      <c r="AF1133" s="23"/>
      <c r="AG1133" s="24"/>
      <c r="AH1133" s="1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  <c r="AZ1133" s="25"/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5"/>
      <c r="BL1133" s="25"/>
      <c r="BM1133" s="25"/>
      <c r="BN1133" s="25"/>
      <c r="BO1133" s="25"/>
      <c r="BP1133" s="25"/>
    </row>
    <row r="1134" spans="5:68" ht="15" customHeight="1" x14ac:dyDescent="0.25">
      <c r="E1134" s="28"/>
      <c r="F1134" s="29"/>
      <c r="G1134" s="5"/>
      <c r="H1134" s="6"/>
      <c r="I1134" s="6"/>
      <c r="J1134" s="30"/>
      <c r="K1134" s="8"/>
      <c r="L1134" s="9"/>
      <c r="M1134" s="10"/>
      <c r="N1134" s="11"/>
      <c r="O1134" s="12"/>
      <c r="P1134" s="13"/>
      <c r="Q1134" s="13"/>
      <c r="R1134" s="14"/>
      <c r="S1134" s="13"/>
      <c r="T1134" s="13"/>
      <c r="U1134" s="32"/>
      <c r="V1134" s="31"/>
      <c r="W1134" s="15"/>
      <c r="X1134" s="15"/>
      <c r="Y1134" s="16"/>
      <c r="Z1134" s="17"/>
      <c r="AA1134" s="16"/>
      <c r="AB1134" s="24"/>
      <c r="AC1134" s="20"/>
      <c r="AD1134" s="21"/>
      <c r="AE1134" s="22"/>
      <c r="AF1134" s="23"/>
      <c r="AG1134" s="24"/>
      <c r="AH1134" s="1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  <c r="BN1134" s="25"/>
      <c r="BO1134" s="25"/>
      <c r="BP1134" s="25"/>
    </row>
    <row r="1135" spans="5:68" ht="15" customHeight="1" x14ac:dyDescent="0.25">
      <c r="E1135" s="28"/>
      <c r="F1135" s="29"/>
      <c r="G1135" s="5"/>
      <c r="H1135" s="6"/>
      <c r="I1135" s="6"/>
      <c r="J1135" s="30"/>
      <c r="K1135" s="8"/>
      <c r="L1135" s="9"/>
      <c r="M1135" s="10"/>
      <c r="N1135" s="11"/>
      <c r="O1135" s="12"/>
      <c r="P1135" s="13"/>
      <c r="Q1135" s="13"/>
      <c r="R1135" s="14"/>
      <c r="S1135" s="13"/>
      <c r="T1135" s="13"/>
      <c r="U1135" s="32"/>
      <c r="V1135" s="31"/>
      <c r="W1135" s="15"/>
      <c r="X1135" s="15"/>
      <c r="Y1135" s="16"/>
      <c r="Z1135" s="17"/>
      <c r="AA1135" s="16"/>
      <c r="AB1135" s="24"/>
      <c r="AC1135" s="20"/>
      <c r="AD1135" s="21"/>
      <c r="AE1135" s="22"/>
      <c r="AF1135" s="23"/>
      <c r="AG1135" s="24"/>
      <c r="AH1135" s="1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  <c r="AZ1135" s="25"/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5"/>
      <c r="BL1135" s="25"/>
      <c r="BM1135" s="25"/>
      <c r="BN1135" s="25"/>
      <c r="BO1135" s="25"/>
      <c r="BP1135" s="25"/>
    </row>
    <row r="1136" spans="5:68" ht="15" customHeight="1" x14ac:dyDescent="0.25">
      <c r="E1136" s="3"/>
      <c r="F1136" s="4"/>
      <c r="G1136" s="5"/>
      <c r="H1136" s="40"/>
      <c r="I1136" s="40"/>
      <c r="J1136" s="7"/>
      <c r="K1136" s="8"/>
      <c r="L1136" s="9"/>
      <c r="M1136" s="10"/>
      <c r="N1136" s="11"/>
      <c r="O1136" s="12"/>
      <c r="P1136" s="13"/>
      <c r="Q1136" s="13"/>
      <c r="R1136" s="14"/>
      <c r="S1136" s="13"/>
      <c r="T1136" s="13"/>
      <c r="U1136" s="32"/>
      <c r="V1136" s="31"/>
      <c r="W1136" s="15"/>
      <c r="X1136" s="15"/>
      <c r="Y1136" s="16"/>
      <c r="Z1136" s="17"/>
      <c r="AA1136" s="16"/>
      <c r="AB1136" s="24"/>
      <c r="AC1136" s="20"/>
      <c r="AD1136" s="21"/>
      <c r="AE1136" s="22"/>
      <c r="AF1136" s="23"/>
      <c r="AG1136" s="24"/>
      <c r="AH1136" s="1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  <c r="BN1136" s="25"/>
      <c r="BO1136" s="25"/>
      <c r="BP1136" s="25"/>
    </row>
    <row r="1137" spans="5:68" ht="15" customHeight="1" x14ac:dyDescent="0.25">
      <c r="E1137" s="3"/>
      <c r="F1137" s="4"/>
      <c r="G1137" s="5"/>
      <c r="H1137" s="40"/>
      <c r="I1137" s="40"/>
      <c r="J1137" s="7"/>
      <c r="K1137" s="8"/>
      <c r="L1137" s="9"/>
      <c r="M1137" s="10"/>
      <c r="N1137" s="11"/>
      <c r="O1137" s="12"/>
      <c r="P1137" s="13"/>
      <c r="Q1137" s="13"/>
      <c r="R1137" s="14"/>
      <c r="S1137" s="13"/>
      <c r="T1137" s="13"/>
      <c r="U1137" s="32"/>
      <c r="V1137" s="31"/>
      <c r="W1137" s="15"/>
      <c r="X1137" s="15"/>
      <c r="Y1137" s="16"/>
      <c r="Z1137" s="17"/>
      <c r="AA1137" s="16"/>
      <c r="AB1137" s="24"/>
      <c r="AC1137" s="20"/>
      <c r="AD1137" s="21"/>
      <c r="AE1137" s="22"/>
      <c r="AF1137" s="23"/>
      <c r="AG1137" s="24"/>
      <c r="AH1137" s="1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25"/>
      <c r="AY1137" s="25"/>
      <c r="AZ1137" s="25"/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5"/>
      <c r="BL1137" s="25"/>
      <c r="BM1137" s="25"/>
      <c r="BN1137" s="25"/>
      <c r="BO1137" s="25"/>
      <c r="BP1137" s="25"/>
    </row>
    <row r="1138" spans="5:68" ht="15" customHeight="1" x14ac:dyDescent="0.25">
      <c r="E1138" s="3"/>
      <c r="F1138" s="4"/>
      <c r="G1138" s="5"/>
      <c r="H1138" s="40"/>
      <c r="I1138" s="40"/>
      <c r="J1138" s="7"/>
      <c r="K1138" s="8"/>
      <c r="L1138" s="9"/>
      <c r="M1138" s="10"/>
      <c r="N1138" s="11"/>
      <c r="O1138" s="12"/>
      <c r="P1138" s="13"/>
      <c r="Q1138" s="13"/>
      <c r="R1138" s="14"/>
      <c r="S1138" s="13"/>
      <c r="T1138" s="13"/>
      <c r="U1138" s="32"/>
      <c r="V1138" s="31"/>
      <c r="W1138" s="15"/>
      <c r="X1138" s="15"/>
      <c r="Y1138" s="16"/>
      <c r="Z1138" s="17"/>
      <c r="AA1138" s="16"/>
      <c r="AB1138" s="24"/>
      <c r="AC1138" s="20"/>
      <c r="AD1138" s="21"/>
      <c r="AE1138" s="22"/>
      <c r="AF1138" s="23"/>
      <c r="AG1138" s="24"/>
      <c r="AH1138" s="1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  <c r="BN1138" s="25"/>
      <c r="BO1138" s="25"/>
      <c r="BP1138" s="25"/>
    </row>
    <row r="1139" spans="5:68" ht="15" customHeight="1" x14ac:dyDescent="0.25">
      <c r="E1139" s="3"/>
      <c r="F1139" s="4"/>
      <c r="G1139" s="5"/>
      <c r="H1139" s="40"/>
      <c r="I1139" s="40"/>
      <c r="J1139" s="7"/>
      <c r="K1139" s="8"/>
      <c r="L1139" s="9"/>
      <c r="M1139" s="10"/>
      <c r="N1139" s="11"/>
      <c r="O1139" s="12"/>
      <c r="P1139" s="13"/>
      <c r="Q1139" s="13"/>
      <c r="R1139" s="14"/>
      <c r="S1139" s="13"/>
      <c r="T1139" s="13"/>
      <c r="U1139" s="32"/>
      <c r="V1139" s="31"/>
      <c r="W1139" s="15"/>
      <c r="X1139" s="15"/>
      <c r="Y1139" s="16"/>
      <c r="Z1139" s="17"/>
      <c r="AA1139" s="16"/>
      <c r="AB1139" s="24"/>
      <c r="AC1139" s="20"/>
      <c r="AD1139" s="21"/>
      <c r="AE1139" s="22"/>
      <c r="AF1139" s="23"/>
      <c r="AG1139" s="24"/>
      <c r="AH1139" s="1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25"/>
      <c r="AY1139" s="25"/>
      <c r="AZ1139" s="25"/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5"/>
      <c r="BL1139" s="25"/>
      <c r="BM1139" s="25"/>
      <c r="BN1139" s="25"/>
      <c r="BO1139" s="25"/>
      <c r="BP1139" s="25"/>
    </row>
    <row r="1140" spans="5:68" ht="15" customHeight="1" x14ac:dyDescent="0.25">
      <c r="E1140" s="3"/>
      <c r="F1140" s="4"/>
      <c r="G1140" s="5"/>
      <c r="H1140" s="40"/>
      <c r="I1140" s="40"/>
      <c r="J1140" s="7"/>
      <c r="K1140" s="8"/>
      <c r="L1140" s="9"/>
      <c r="M1140" s="10"/>
      <c r="N1140" s="11"/>
      <c r="O1140" s="12"/>
      <c r="P1140" s="13"/>
      <c r="Q1140" s="13"/>
      <c r="R1140" s="14"/>
      <c r="S1140" s="13"/>
      <c r="T1140" s="13"/>
      <c r="U1140" s="32"/>
      <c r="V1140" s="31"/>
      <c r="W1140" s="15"/>
      <c r="X1140" s="15"/>
      <c r="Y1140" s="16"/>
      <c r="Z1140" s="17"/>
      <c r="AA1140" s="16"/>
      <c r="AB1140" s="24"/>
      <c r="AC1140" s="20"/>
      <c r="AD1140" s="21"/>
      <c r="AE1140" s="22"/>
      <c r="AF1140" s="23"/>
      <c r="AG1140" s="24"/>
      <c r="AH1140" s="1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  <c r="BN1140" s="25"/>
      <c r="BO1140" s="25"/>
      <c r="BP1140" s="25"/>
    </row>
    <row r="1141" spans="5:68" ht="15" customHeight="1" x14ac:dyDescent="0.25">
      <c r="E1141" s="3"/>
      <c r="F1141" s="4"/>
      <c r="G1141" s="5"/>
      <c r="H1141" s="40"/>
      <c r="I1141" s="40"/>
      <c r="J1141" s="7"/>
      <c r="K1141" s="8"/>
      <c r="L1141" s="9"/>
      <c r="M1141" s="10"/>
      <c r="N1141" s="11"/>
      <c r="O1141" s="12"/>
      <c r="P1141" s="13"/>
      <c r="Q1141" s="13"/>
      <c r="R1141" s="14"/>
      <c r="S1141" s="13"/>
      <c r="T1141" s="13"/>
      <c r="U1141" s="32"/>
      <c r="V1141" s="31"/>
      <c r="W1141" s="15"/>
      <c r="X1141" s="15"/>
      <c r="Y1141" s="16"/>
      <c r="Z1141" s="17"/>
      <c r="AA1141" s="16"/>
      <c r="AB1141" s="24"/>
      <c r="AC1141" s="20"/>
      <c r="AD1141" s="21"/>
      <c r="AE1141" s="22"/>
      <c r="AF1141" s="23"/>
      <c r="AG1141" s="24"/>
      <c r="AH1141" s="1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  <c r="AZ1141" s="25"/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5"/>
      <c r="BL1141" s="25"/>
      <c r="BM1141" s="25"/>
      <c r="BN1141" s="25"/>
      <c r="BO1141" s="25"/>
      <c r="BP1141" s="25"/>
    </row>
    <row r="1142" spans="5:68" ht="15" customHeight="1" x14ac:dyDescent="0.25">
      <c r="E1142" s="3"/>
      <c r="F1142" s="4"/>
      <c r="G1142" s="5"/>
      <c r="H1142" s="40"/>
      <c r="I1142" s="40"/>
      <c r="J1142" s="7"/>
      <c r="K1142" s="8"/>
      <c r="L1142" s="9"/>
      <c r="M1142" s="10"/>
      <c r="N1142" s="11"/>
      <c r="O1142" s="12"/>
      <c r="P1142" s="13"/>
      <c r="Q1142" s="13"/>
      <c r="R1142" s="14"/>
      <c r="S1142" s="13"/>
      <c r="T1142" s="13"/>
      <c r="U1142" s="32"/>
      <c r="V1142" s="31"/>
      <c r="W1142" s="15"/>
      <c r="X1142" s="15"/>
      <c r="Y1142" s="16"/>
      <c r="Z1142" s="17"/>
      <c r="AA1142" s="16"/>
      <c r="AB1142" s="24"/>
      <c r="AC1142" s="20"/>
      <c r="AD1142" s="21"/>
      <c r="AE1142" s="22"/>
      <c r="AF1142" s="23"/>
      <c r="AG1142" s="24"/>
      <c r="AH1142" s="1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  <c r="BN1142" s="25"/>
      <c r="BO1142" s="25"/>
      <c r="BP1142" s="25"/>
    </row>
    <row r="1143" spans="5:68" ht="15" customHeight="1" x14ac:dyDescent="0.25">
      <c r="E1143" s="3"/>
      <c r="F1143" s="4"/>
      <c r="G1143" s="5"/>
      <c r="H1143" s="40"/>
      <c r="I1143" s="40"/>
      <c r="J1143" s="7"/>
      <c r="K1143" s="8"/>
      <c r="L1143" s="9"/>
      <c r="M1143" s="10"/>
      <c r="N1143" s="11"/>
      <c r="O1143" s="12"/>
      <c r="P1143" s="32"/>
      <c r="Q1143" s="32"/>
      <c r="R1143" s="33"/>
      <c r="S1143" s="32"/>
      <c r="T1143" s="32"/>
      <c r="U1143" s="32"/>
      <c r="V1143" s="31"/>
      <c r="W1143" s="15"/>
      <c r="X1143" s="15"/>
      <c r="Y1143" s="16"/>
      <c r="Z1143" s="17"/>
      <c r="AA1143" s="16"/>
      <c r="AB1143" s="24"/>
      <c r="AC1143" s="20"/>
      <c r="AD1143" s="21"/>
      <c r="AE1143" s="22"/>
      <c r="AF1143" s="23"/>
      <c r="AG1143" s="24"/>
      <c r="AH1143" s="1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25"/>
      <c r="AY1143" s="25"/>
      <c r="AZ1143" s="25"/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5"/>
      <c r="BL1143" s="25"/>
      <c r="BM1143" s="25"/>
      <c r="BN1143" s="25"/>
      <c r="BO1143" s="25"/>
      <c r="BP1143" s="25"/>
    </row>
    <row r="1144" spans="5:68" ht="15" customHeight="1" x14ac:dyDescent="0.25">
      <c r="E1144" s="3"/>
      <c r="F1144" s="4"/>
      <c r="G1144" s="5"/>
      <c r="H1144" s="40"/>
      <c r="I1144" s="40"/>
      <c r="J1144" s="7"/>
      <c r="K1144" s="8"/>
      <c r="L1144" s="9"/>
      <c r="M1144" s="10"/>
      <c r="N1144" s="11"/>
      <c r="O1144" s="12"/>
      <c r="P1144" s="13"/>
      <c r="Q1144" s="13"/>
      <c r="R1144" s="14"/>
      <c r="S1144" s="13"/>
      <c r="T1144" s="13"/>
      <c r="U1144" s="32"/>
      <c r="V1144" s="31"/>
      <c r="W1144" s="15"/>
      <c r="X1144" s="15"/>
      <c r="Y1144" s="16"/>
      <c r="Z1144" s="17"/>
      <c r="AA1144" s="16"/>
      <c r="AB1144" s="24"/>
      <c r="AC1144" s="20"/>
      <c r="AD1144" s="21"/>
      <c r="AE1144" s="22"/>
      <c r="AF1144" s="23"/>
      <c r="AG1144" s="24"/>
      <c r="AH1144" s="1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  <c r="BN1144" s="25"/>
      <c r="BO1144" s="25"/>
      <c r="BP1144" s="25"/>
    </row>
    <row r="1145" spans="5:68" ht="15" customHeight="1" x14ac:dyDescent="0.25">
      <c r="E1145" s="3"/>
      <c r="F1145" s="4"/>
      <c r="G1145" s="5"/>
      <c r="H1145" s="40"/>
      <c r="I1145" s="40"/>
      <c r="J1145" s="7"/>
      <c r="K1145" s="8"/>
      <c r="L1145" s="9"/>
      <c r="M1145" s="10"/>
      <c r="N1145" s="11"/>
      <c r="O1145" s="12"/>
      <c r="P1145" s="13"/>
      <c r="Q1145" s="13"/>
      <c r="R1145" s="14"/>
      <c r="S1145" s="13"/>
      <c r="T1145" s="13"/>
      <c r="U1145" s="32"/>
      <c r="V1145" s="31"/>
      <c r="W1145" s="15"/>
      <c r="X1145" s="15"/>
      <c r="Y1145" s="16"/>
      <c r="Z1145" s="17"/>
      <c r="AA1145" s="16"/>
      <c r="AB1145" s="24"/>
      <c r="AC1145" s="20"/>
      <c r="AD1145" s="21"/>
      <c r="AE1145" s="22"/>
      <c r="AF1145" s="23"/>
      <c r="AG1145" s="24"/>
      <c r="AH1145" s="1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  <c r="AY1145" s="25"/>
      <c r="AZ1145" s="25"/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5"/>
      <c r="BL1145" s="25"/>
      <c r="BM1145" s="25"/>
      <c r="BN1145" s="25"/>
      <c r="BO1145" s="25"/>
      <c r="BP1145" s="25"/>
    </row>
    <row r="1146" spans="5:68" ht="15" customHeight="1" x14ac:dyDescent="0.25">
      <c r="E1146" s="3"/>
      <c r="F1146" s="4"/>
      <c r="G1146" s="5"/>
      <c r="H1146" s="40"/>
      <c r="I1146" s="40"/>
      <c r="J1146" s="7"/>
      <c r="K1146" s="8"/>
      <c r="L1146" s="9"/>
      <c r="M1146" s="10"/>
      <c r="N1146" s="11"/>
      <c r="O1146" s="12"/>
      <c r="P1146" s="13"/>
      <c r="Q1146" s="13"/>
      <c r="R1146" s="14"/>
      <c r="S1146" s="13"/>
      <c r="T1146" s="13"/>
      <c r="U1146" s="32"/>
      <c r="V1146" s="31"/>
      <c r="W1146" s="15"/>
      <c r="X1146" s="15"/>
      <c r="Y1146" s="16"/>
      <c r="Z1146" s="17"/>
      <c r="AA1146" s="16"/>
      <c r="AB1146" s="24"/>
      <c r="AC1146" s="20"/>
      <c r="AD1146" s="21"/>
      <c r="AE1146" s="22"/>
      <c r="AF1146" s="23"/>
      <c r="AG1146" s="24"/>
      <c r="AH1146" s="1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  <c r="BN1146" s="25"/>
      <c r="BO1146" s="25"/>
      <c r="BP1146" s="25"/>
    </row>
    <row r="1147" spans="5:68" ht="15" customHeight="1" x14ac:dyDescent="0.25">
      <c r="E1147" s="3"/>
      <c r="F1147" s="4"/>
      <c r="G1147" s="5"/>
      <c r="H1147" s="40"/>
      <c r="I1147" s="40"/>
      <c r="J1147" s="7"/>
      <c r="K1147" s="8"/>
      <c r="L1147" s="9"/>
      <c r="M1147" s="10"/>
      <c r="N1147" s="11"/>
      <c r="O1147" s="12"/>
      <c r="P1147" s="13"/>
      <c r="Q1147" s="13"/>
      <c r="R1147" s="14"/>
      <c r="S1147" s="13"/>
      <c r="T1147" s="13"/>
      <c r="U1147" s="32"/>
      <c r="V1147" s="31"/>
      <c r="W1147" s="15"/>
      <c r="X1147" s="15"/>
      <c r="Y1147" s="16"/>
      <c r="Z1147" s="17"/>
      <c r="AA1147" s="16"/>
      <c r="AB1147" s="24"/>
      <c r="AC1147" s="20"/>
      <c r="AD1147" s="21"/>
      <c r="AE1147" s="22"/>
      <c r="AF1147" s="23"/>
      <c r="AG1147" s="24"/>
      <c r="AH1147" s="1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  <c r="AY1147" s="25"/>
      <c r="AZ1147" s="25"/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5"/>
      <c r="BL1147" s="25"/>
      <c r="BM1147" s="25"/>
      <c r="BN1147" s="25"/>
      <c r="BO1147" s="25"/>
      <c r="BP1147" s="25"/>
    </row>
    <row r="1148" spans="5:68" ht="15" customHeight="1" x14ac:dyDescent="0.25">
      <c r="E1148" s="3"/>
      <c r="F1148" s="4"/>
      <c r="G1148" s="5"/>
      <c r="H1148" s="40"/>
      <c r="I1148" s="40"/>
      <c r="J1148" s="7"/>
      <c r="K1148" s="8"/>
      <c r="L1148" s="9"/>
      <c r="M1148" s="10"/>
      <c r="N1148" s="11"/>
      <c r="O1148" s="12"/>
      <c r="P1148" s="13"/>
      <c r="Q1148" s="13"/>
      <c r="R1148" s="14"/>
      <c r="S1148" s="13"/>
      <c r="T1148" s="13"/>
      <c r="U1148" s="32"/>
      <c r="V1148" s="31"/>
      <c r="W1148" s="15"/>
      <c r="X1148" s="15"/>
      <c r="Y1148" s="16"/>
      <c r="Z1148" s="17"/>
      <c r="AA1148" s="16"/>
      <c r="AB1148" s="24"/>
      <c r="AC1148" s="20"/>
      <c r="AD1148" s="21"/>
      <c r="AE1148" s="22"/>
      <c r="AF1148" s="23"/>
      <c r="AG1148" s="24"/>
      <c r="AH1148" s="1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  <c r="BN1148" s="25"/>
      <c r="BO1148" s="25"/>
      <c r="BP1148" s="25"/>
    </row>
    <row r="1149" spans="5:68" ht="15" customHeight="1" x14ac:dyDescent="0.25">
      <c r="E1149" s="34"/>
      <c r="F1149" s="4"/>
      <c r="G1149" s="5"/>
      <c r="H1149" s="40"/>
      <c r="I1149" s="40"/>
      <c r="J1149" s="7"/>
      <c r="K1149" s="8"/>
      <c r="L1149" s="9"/>
      <c r="M1149" s="10"/>
      <c r="N1149" s="11"/>
      <c r="O1149" s="12"/>
      <c r="P1149" s="13"/>
      <c r="Q1149" s="13"/>
      <c r="R1149" s="14"/>
      <c r="S1149" s="13"/>
      <c r="T1149" s="13"/>
      <c r="U1149" s="32"/>
      <c r="V1149" s="31"/>
      <c r="W1149" s="15"/>
      <c r="X1149" s="15"/>
      <c r="Y1149" s="16"/>
      <c r="Z1149" s="17"/>
      <c r="AA1149" s="16"/>
      <c r="AB1149" s="24"/>
      <c r="AC1149" s="20"/>
      <c r="AD1149" s="21"/>
      <c r="AE1149" s="22"/>
      <c r="AF1149" s="23"/>
      <c r="AG1149" s="24"/>
      <c r="AH1149" s="1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  <c r="AY1149" s="25"/>
      <c r="AZ1149" s="25"/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5"/>
      <c r="BL1149" s="25"/>
      <c r="BM1149" s="25"/>
      <c r="BN1149" s="25"/>
      <c r="BO1149" s="25"/>
      <c r="BP1149" s="25"/>
    </row>
    <row r="1150" spans="5:68" ht="15" customHeight="1" x14ac:dyDescent="0.25">
      <c r="E1150" s="3"/>
      <c r="F1150" s="4"/>
      <c r="G1150" s="5"/>
      <c r="H1150" s="40"/>
      <c r="I1150" s="40"/>
      <c r="J1150" s="7"/>
      <c r="K1150" s="8"/>
      <c r="L1150" s="9"/>
      <c r="M1150" s="10"/>
      <c r="N1150" s="11"/>
      <c r="O1150" s="12"/>
      <c r="P1150" s="13"/>
      <c r="Q1150" s="13"/>
      <c r="R1150" s="14"/>
      <c r="S1150" s="13"/>
      <c r="T1150" s="13"/>
      <c r="U1150" s="32"/>
      <c r="V1150" s="31"/>
      <c r="W1150" s="15"/>
      <c r="X1150" s="15"/>
      <c r="Y1150" s="16"/>
      <c r="Z1150" s="17"/>
      <c r="AA1150" s="16"/>
      <c r="AB1150" s="24"/>
      <c r="AC1150" s="20"/>
      <c r="AD1150" s="21"/>
      <c r="AE1150" s="22"/>
      <c r="AF1150" s="23"/>
      <c r="AG1150" s="24"/>
      <c r="AH1150" s="1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  <c r="BN1150" s="25"/>
      <c r="BO1150" s="25"/>
      <c r="BP1150" s="25"/>
    </row>
    <row r="1151" spans="5:68" ht="15" customHeight="1" x14ac:dyDescent="0.25">
      <c r="E1151" s="3"/>
      <c r="F1151" s="4"/>
      <c r="G1151" s="5"/>
      <c r="H1151" s="40"/>
      <c r="I1151" s="40"/>
      <c r="J1151" s="7"/>
      <c r="K1151" s="8"/>
      <c r="L1151" s="9"/>
      <c r="M1151" s="10"/>
      <c r="N1151" s="11"/>
      <c r="O1151" s="12"/>
      <c r="P1151" s="13"/>
      <c r="Q1151" s="13"/>
      <c r="R1151" s="14"/>
      <c r="S1151" s="13"/>
      <c r="T1151" s="13"/>
      <c r="U1151" s="32"/>
      <c r="V1151" s="31"/>
      <c r="W1151" s="15"/>
      <c r="X1151" s="15"/>
      <c r="Y1151" s="16"/>
      <c r="Z1151" s="17"/>
      <c r="AA1151" s="16"/>
      <c r="AB1151" s="24"/>
      <c r="AC1151" s="20"/>
      <c r="AD1151" s="21"/>
      <c r="AE1151" s="22"/>
      <c r="AF1151" s="23"/>
      <c r="AG1151" s="24"/>
      <c r="AH1151" s="1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25"/>
      <c r="AY1151" s="25"/>
      <c r="AZ1151" s="25"/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5"/>
      <c r="BL1151" s="25"/>
      <c r="BM1151" s="25"/>
      <c r="BN1151" s="25"/>
      <c r="BO1151" s="25"/>
      <c r="BP1151" s="25"/>
    </row>
    <row r="1152" spans="5:68" ht="15" customHeight="1" x14ac:dyDescent="0.25">
      <c r="E1152" s="3"/>
      <c r="F1152" s="4"/>
      <c r="G1152" s="5"/>
      <c r="H1152" s="40"/>
      <c r="I1152" s="40"/>
      <c r="J1152" s="7"/>
      <c r="K1152" s="8"/>
      <c r="L1152" s="9"/>
      <c r="M1152" s="10"/>
      <c r="N1152" s="11"/>
      <c r="O1152" s="12"/>
      <c r="P1152" s="13"/>
      <c r="Q1152" s="13"/>
      <c r="R1152" s="14"/>
      <c r="S1152" s="13"/>
      <c r="T1152" s="13"/>
      <c r="U1152" s="32"/>
      <c r="V1152" s="31"/>
      <c r="W1152" s="15"/>
      <c r="X1152" s="15"/>
      <c r="Y1152" s="16"/>
      <c r="Z1152" s="17"/>
      <c r="AA1152" s="16"/>
      <c r="AB1152" s="24"/>
      <c r="AC1152" s="20"/>
      <c r="AD1152" s="21"/>
      <c r="AE1152" s="22"/>
      <c r="AF1152" s="23"/>
      <c r="AG1152" s="24"/>
      <c r="AH1152" s="1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  <c r="BN1152" s="25"/>
      <c r="BO1152" s="25"/>
      <c r="BP1152" s="25"/>
    </row>
    <row r="1153" spans="5:68" ht="15" customHeight="1" x14ac:dyDescent="0.25">
      <c r="E1153" s="3"/>
      <c r="F1153" s="4"/>
      <c r="G1153" s="5"/>
      <c r="H1153" s="40"/>
      <c r="I1153" s="40"/>
      <c r="J1153" s="7"/>
      <c r="K1153" s="8"/>
      <c r="L1153" s="9"/>
      <c r="M1153" s="10"/>
      <c r="N1153" s="11"/>
      <c r="O1153" s="12"/>
      <c r="P1153" s="13"/>
      <c r="Q1153" s="13"/>
      <c r="R1153" s="14"/>
      <c r="S1153" s="13"/>
      <c r="T1153" s="13"/>
      <c r="U1153" s="32"/>
      <c r="V1153" s="31"/>
      <c r="W1153" s="15"/>
      <c r="X1153" s="15"/>
      <c r="Y1153" s="16"/>
      <c r="Z1153" s="17"/>
      <c r="AA1153" s="16"/>
      <c r="AB1153" s="24"/>
      <c r="AC1153" s="20"/>
      <c r="AD1153" s="21"/>
      <c r="AE1153" s="22"/>
      <c r="AF1153" s="23"/>
      <c r="AG1153" s="24"/>
      <c r="AH1153" s="1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  <c r="AY1153" s="25"/>
      <c r="AZ1153" s="25"/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5"/>
      <c r="BL1153" s="25"/>
      <c r="BM1153" s="25"/>
      <c r="BN1153" s="25"/>
      <c r="BO1153" s="25"/>
      <c r="BP1153" s="25"/>
    </row>
    <row r="1154" spans="5:68" ht="15" customHeight="1" x14ac:dyDescent="0.25">
      <c r="E1154" s="3"/>
      <c r="F1154" s="4"/>
      <c r="G1154" s="5"/>
      <c r="H1154" s="40"/>
      <c r="I1154" s="40"/>
      <c r="J1154" s="7"/>
      <c r="K1154" s="8"/>
      <c r="L1154" s="9"/>
      <c r="M1154" s="10"/>
      <c r="N1154" s="11"/>
      <c r="O1154" s="12"/>
      <c r="P1154" s="13"/>
      <c r="Q1154" s="13"/>
      <c r="R1154" s="14"/>
      <c r="S1154" s="13"/>
      <c r="T1154" s="13"/>
      <c r="U1154" s="32"/>
      <c r="V1154" s="31"/>
      <c r="W1154" s="15"/>
      <c r="X1154" s="15"/>
      <c r="Y1154" s="16"/>
      <c r="Z1154" s="17"/>
      <c r="AA1154" s="16"/>
      <c r="AB1154" s="24"/>
      <c r="AC1154" s="20"/>
      <c r="AD1154" s="21"/>
      <c r="AE1154" s="22"/>
      <c r="AF1154" s="23"/>
      <c r="AG1154" s="24"/>
      <c r="AH1154" s="1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  <c r="BN1154" s="25"/>
      <c r="BO1154" s="25"/>
      <c r="BP1154" s="25"/>
    </row>
    <row r="1155" spans="5:68" ht="15" customHeight="1" x14ac:dyDescent="0.25">
      <c r="E1155" s="3"/>
      <c r="F1155" s="4"/>
      <c r="G1155" s="5"/>
      <c r="H1155" s="40"/>
      <c r="I1155" s="40"/>
      <c r="J1155" s="7"/>
      <c r="K1155" s="8"/>
      <c r="L1155" s="9"/>
      <c r="M1155" s="10"/>
      <c r="N1155" s="11"/>
      <c r="O1155" s="12"/>
      <c r="P1155" s="13"/>
      <c r="Q1155" s="13"/>
      <c r="R1155" s="14"/>
      <c r="S1155" s="13"/>
      <c r="T1155" s="13"/>
      <c r="U1155" s="32"/>
      <c r="V1155" s="31"/>
      <c r="W1155" s="15"/>
      <c r="X1155" s="15"/>
      <c r="Y1155" s="16"/>
      <c r="Z1155" s="17"/>
      <c r="AA1155" s="16"/>
      <c r="AB1155" s="24"/>
      <c r="AC1155" s="20"/>
      <c r="AD1155" s="21"/>
      <c r="AE1155" s="22"/>
      <c r="AF1155" s="23"/>
      <c r="AG1155" s="24"/>
      <c r="AH1155" s="1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  <c r="AY1155" s="25"/>
      <c r="AZ1155" s="25"/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5"/>
      <c r="BL1155" s="25"/>
      <c r="BM1155" s="25"/>
      <c r="BN1155" s="25"/>
      <c r="BO1155" s="25"/>
      <c r="BP1155" s="25"/>
    </row>
    <row r="1156" spans="5:68" ht="15" customHeight="1" x14ac:dyDescent="0.25">
      <c r="E1156" s="3"/>
      <c r="F1156" s="4"/>
      <c r="G1156" s="5"/>
      <c r="H1156" s="40"/>
      <c r="I1156" s="40"/>
      <c r="J1156" s="7"/>
      <c r="K1156" s="8"/>
      <c r="L1156" s="9"/>
      <c r="M1156" s="10"/>
      <c r="N1156" s="11"/>
      <c r="O1156" s="12"/>
      <c r="P1156" s="13"/>
      <c r="Q1156" s="13"/>
      <c r="R1156" s="14"/>
      <c r="S1156" s="13"/>
      <c r="T1156" s="13"/>
      <c r="U1156" s="32"/>
      <c r="V1156" s="31"/>
      <c r="W1156" s="15"/>
      <c r="X1156" s="15"/>
      <c r="Y1156" s="16"/>
      <c r="Z1156" s="17"/>
      <c r="AA1156" s="16"/>
      <c r="AB1156" s="24"/>
      <c r="AC1156" s="20"/>
      <c r="AD1156" s="21"/>
      <c r="AE1156" s="22"/>
      <c r="AF1156" s="23"/>
      <c r="AG1156" s="24"/>
      <c r="AH1156" s="1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  <c r="BN1156" s="25"/>
      <c r="BO1156" s="25"/>
      <c r="BP1156" s="25"/>
    </row>
    <row r="1157" spans="5:68" ht="15" customHeight="1" x14ac:dyDescent="0.25">
      <c r="E1157" s="3"/>
      <c r="F1157" s="4"/>
      <c r="G1157" s="5"/>
      <c r="H1157" s="40"/>
      <c r="I1157" s="40"/>
      <c r="J1157" s="7"/>
      <c r="K1157" s="8"/>
      <c r="L1157" s="9"/>
      <c r="M1157" s="10"/>
      <c r="N1157" s="11"/>
      <c r="O1157" s="12"/>
      <c r="P1157" s="13"/>
      <c r="Q1157" s="13"/>
      <c r="R1157" s="14"/>
      <c r="S1157" s="13"/>
      <c r="T1157" s="13"/>
      <c r="U1157" s="32"/>
      <c r="V1157" s="31"/>
      <c r="W1157" s="15"/>
      <c r="X1157" s="15"/>
      <c r="Y1157" s="16"/>
      <c r="Z1157" s="17"/>
      <c r="AA1157" s="16"/>
      <c r="AB1157" s="24"/>
      <c r="AC1157" s="20"/>
      <c r="AD1157" s="21"/>
      <c r="AE1157" s="22"/>
      <c r="AF1157" s="23"/>
      <c r="AG1157" s="24"/>
      <c r="AH1157" s="1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  <c r="AY1157" s="25"/>
      <c r="AZ1157" s="25"/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5"/>
      <c r="BL1157" s="25"/>
      <c r="BM1157" s="25"/>
      <c r="BN1157" s="25"/>
      <c r="BO1157" s="25"/>
      <c r="BP1157" s="25"/>
    </row>
    <row r="1158" spans="5:68" ht="15" customHeight="1" x14ac:dyDescent="0.25">
      <c r="E1158" s="3"/>
      <c r="F1158" s="4"/>
      <c r="G1158" s="5"/>
      <c r="H1158" s="40"/>
      <c r="I1158" s="40"/>
      <c r="J1158" s="7"/>
      <c r="K1158" s="8"/>
      <c r="L1158" s="9"/>
      <c r="M1158" s="10"/>
      <c r="N1158" s="11"/>
      <c r="O1158" s="12"/>
      <c r="P1158" s="13"/>
      <c r="Q1158" s="13"/>
      <c r="R1158" s="14"/>
      <c r="S1158" s="13"/>
      <c r="T1158" s="13"/>
      <c r="U1158" s="32"/>
      <c r="V1158" s="31"/>
      <c r="W1158" s="15"/>
      <c r="X1158" s="15"/>
      <c r="Y1158" s="16"/>
      <c r="Z1158" s="17"/>
      <c r="AA1158" s="16"/>
      <c r="AB1158" s="24"/>
      <c r="AC1158" s="20"/>
      <c r="AD1158" s="21"/>
      <c r="AE1158" s="22"/>
      <c r="AF1158" s="23"/>
      <c r="AG1158" s="24"/>
      <c r="AH1158" s="1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  <c r="BN1158" s="25"/>
      <c r="BO1158" s="25"/>
      <c r="BP1158" s="25"/>
    </row>
    <row r="1159" spans="5:68" ht="15" customHeight="1" x14ac:dyDescent="0.25">
      <c r="E1159" s="3"/>
      <c r="F1159" s="4"/>
      <c r="G1159" s="5"/>
      <c r="H1159" s="40"/>
      <c r="I1159" s="40"/>
      <c r="J1159" s="7"/>
      <c r="K1159" s="8"/>
      <c r="L1159" s="9"/>
      <c r="M1159" s="10"/>
      <c r="N1159" s="11"/>
      <c r="O1159" s="12"/>
      <c r="P1159" s="13"/>
      <c r="Q1159" s="13"/>
      <c r="R1159" s="14"/>
      <c r="S1159" s="13"/>
      <c r="T1159" s="13"/>
      <c r="U1159" s="32"/>
      <c r="V1159" s="31"/>
      <c r="W1159" s="15"/>
      <c r="X1159" s="15"/>
      <c r="Y1159" s="16"/>
      <c r="Z1159" s="17"/>
      <c r="AA1159" s="16"/>
      <c r="AB1159" s="24"/>
      <c r="AC1159" s="20"/>
      <c r="AD1159" s="21"/>
      <c r="AE1159" s="22"/>
      <c r="AF1159" s="23"/>
      <c r="AG1159" s="24"/>
      <c r="AH1159" s="1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  <c r="AY1159" s="25"/>
      <c r="AZ1159" s="25"/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5"/>
      <c r="BL1159" s="25"/>
      <c r="BM1159" s="25"/>
      <c r="BN1159" s="25"/>
      <c r="BO1159" s="25"/>
      <c r="BP1159" s="25"/>
    </row>
    <row r="1160" spans="5:68" ht="15" customHeight="1" x14ac:dyDescent="0.25">
      <c r="E1160" s="3"/>
      <c r="F1160" s="4"/>
      <c r="G1160" s="5"/>
      <c r="H1160" s="40"/>
      <c r="I1160" s="40"/>
      <c r="J1160" s="7"/>
      <c r="K1160" s="8"/>
      <c r="L1160" s="9"/>
      <c r="M1160" s="10"/>
      <c r="N1160" s="11"/>
      <c r="O1160" s="12"/>
      <c r="P1160" s="13"/>
      <c r="Q1160" s="13"/>
      <c r="R1160" s="14"/>
      <c r="S1160" s="13"/>
      <c r="T1160" s="13"/>
      <c r="U1160" s="32"/>
      <c r="V1160" s="31"/>
      <c r="W1160" s="15"/>
      <c r="X1160" s="15"/>
      <c r="Y1160" s="16"/>
      <c r="Z1160" s="17"/>
      <c r="AA1160" s="16"/>
      <c r="AB1160" s="24"/>
      <c r="AC1160" s="20"/>
      <c r="AD1160" s="21"/>
      <c r="AE1160" s="22"/>
      <c r="AF1160" s="23"/>
      <c r="AG1160" s="24"/>
      <c r="AH1160" s="1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  <c r="BN1160" s="25"/>
      <c r="BO1160" s="25"/>
      <c r="BP1160" s="25"/>
    </row>
    <row r="1161" spans="5:68" ht="15" customHeight="1" x14ac:dyDescent="0.25">
      <c r="E1161" s="3"/>
      <c r="F1161" s="4"/>
      <c r="G1161" s="5"/>
      <c r="H1161" s="40"/>
      <c r="I1161" s="40"/>
      <c r="J1161" s="7"/>
      <c r="K1161" s="8"/>
      <c r="L1161" s="9"/>
      <c r="M1161" s="10"/>
      <c r="N1161" s="11"/>
      <c r="O1161" s="12"/>
      <c r="P1161" s="13"/>
      <c r="Q1161" s="13"/>
      <c r="R1161" s="14"/>
      <c r="S1161" s="13"/>
      <c r="T1161" s="13"/>
      <c r="U1161" s="32"/>
      <c r="V1161" s="31"/>
      <c r="W1161" s="15"/>
      <c r="X1161" s="15"/>
      <c r="Y1161" s="16"/>
      <c r="Z1161" s="17"/>
      <c r="AA1161" s="16"/>
      <c r="AB1161" s="24"/>
      <c r="AC1161" s="20"/>
      <c r="AD1161" s="21"/>
      <c r="AE1161" s="22"/>
      <c r="AF1161" s="23"/>
      <c r="AG1161" s="24"/>
      <c r="AH1161" s="1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  <c r="AY1161" s="25"/>
      <c r="AZ1161" s="25"/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5"/>
      <c r="BL1161" s="25"/>
      <c r="BM1161" s="25"/>
      <c r="BN1161" s="25"/>
      <c r="BO1161" s="25"/>
      <c r="BP1161" s="25"/>
    </row>
    <row r="1162" spans="5:68" ht="15" customHeight="1" x14ac:dyDescent="0.25">
      <c r="E1162" s="3"/>
      <c r="F1162" s="4"/>
      <c r="G1162" s="5"/>
      <c r="H1162" s="40"/>
      <c r="I1162" s="40"/>
      <c r="J1162" s="7"/>
      <c r="K1162" s="8"/>
      <c r="L1162" s="9"/>
      <c r="M1162" s="10"/>
      <c r="N1162" s="11"/>
      <c r="O1162" s="12"/>
      <c r="P1162" s="13"/>
      <c r="Q1162" s="13"/>
      <c r="R1162" s="14"/>
      <c r="S1162" s="13"/>
      <c r="T1162" s="13"/>
      <c r="U1162" s="32"/>
      <c r="V1162" s="31"/>
      <c r="W1162" s="15"/>
      <c r="X1162" s="15"/>
      <c r="Y1162" s="16"/>
      <c r="Z1162" s="17"/>
      <c r="AA1162" s="16"/>
      <c r="AB1162" s="24"/>
      <c r="AC1162" s="20"/>
      <c r="AD1162" s="21"/>
      <c r="AE1162" s="22"/>
      <c r="AF1162" s="23"/>
      <c r="AG1162" s="24"/>
      <c r="AH1162" s="1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  <c r="BN1162" s="25"/>
      <c r="BO1162" s="25"/>
      <c r="BP1162" s="25"/>
    </row>
    <row r="1163" spans="5:68" ht="15" customHeight="1" x14ac:dyDescent="0.25">
      <c r="E1163" s="3"/>
      <c r="F1163" s="4"/>
      <c r="G1163" s="5"/>
      <c r="H1163" s="40"/>
      <c r="I1163" s="40"/>
      <c r="J1163" s="7"/>
      <c r="K1163" s="8"/>
      <c r="L1163" s="9"/>
      <c r="M1163" s="10"/>
      <c r="N1163" s="11"/>
      <c r="O1163" s="12"/>
      <c r="P1163" s="32"/>
      <c r="Q1163" s="32"/>
      <c r="R1163" s="33"/>
      <c r="S1163" s="32"/>
      <c r="T1163" s="32"/>
      <c r="U1163" s="32"/>
      <c r="V1163" s="74"/>
      <c r="W1163" s="15"/>
      <c r="X1163" s="15"/>
      <c r="Y1163" s="16"/>
      <c r="Z1163" s="17"/>
      <c r="AA1163" s="16"/>
      <c r="AB1163" s="24"/>
      <c r="AC1163" s="20"/>
      <c r="AD1163" s="21"/>
      <c r="AE1163" s="22"/>
      <c r="AF1163" s="23"/>
      <c r="AG1163" s="24"/>
      <c r="AH1163" s="1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  <c r="AY1163" s="25"/>
      <c r="AZ1163" s="25"/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5"/>
      <c r="BL1163" s="25"/>
      <c r="BM1163" s="25"/>
      <c r="BN1163" s="25"/>
      <c r="BO1163" s="25"/>
      <c r="BP1163" s="25"/>
    </row>
    <row r="1164" spans="5:68" ht="15" customHeight="1" x14ac:dyDescent="0.25">
      <c r="E1164" s="3"/>
      <c r="F1164" s="4"/>
      <c r="G1164" s="5"/>
      <c r="H1164" s="40"/>
      <c r="I1164" s="40"/>
      <c r="J1164" s="7"/>
      <c r="K1164" s="8"/>
      <c r="L1164" s="9"/>
      <c r="M1164" s="10"/>
      <c r="N1164" s="11"/>
      <c r="O1164" s="12"/>
      <c r="P1164" s="13"/>
      <c r="Q1164" s="13"/>
      <c r="R1164" s="14"/>
      <c r="S1164" s="13"/>
      <c r="T1164" s="13"/>
      <c r="U1164" s="32"/>
      <c r="V1164" s="31"/>
      <c r="W1164" s="15"/>
      <c r="X1164" s="15"/>
      <c r="Y1164" s="16"/>
      <c r="Z1164" s="17"/>
      <c r="AA1164" s="16"/>
      <c r="AB1164" s="24"/>
      <c r="AC1164" s="20"/>
      <c r="AD1164" s="21"/>
      <c r="AE1164" s="22"/>
      <c r="AF1164" s="23"/>
      <c r="AG1164" s="24"/>
      <c r="AH1164" s="1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  <c r="AY1164" s="25"/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  <c r="BN1164" s="25"/>
      <c r="BO1164" s="25"/>
      <c r="BP1164" s="25"/>
    </row>
    <row r="1165" spans="5:68" ht="15" customHeight="1" x14ac:dyDescent="0.25">
      <c r="E1165" s="3"/>
      <c r="F1165" s="4"/>
      <c r="G1165" s="5"/>
      <c r="H1165" s="40"/>
      <c r="I1165" s="40"/>
      <c r="J1165" s="7"/>
      <c r="K1165" s="8"/>
      <c r="L1165" s="9"/>
      <c r="M1165" s="10"/>
      <c r="N1165" s="11"/>
      <c r="O1165" s="12"/>
      <c r="P1165" s="13"/>
      <c r="Q1165" s="13"/>
      <c r="R1165" s="14"/>
      <c r="S1165" s="13"/>
      <c r="T1165" s="13"/>
      <c r="U1165" s="32"/>
      <c r="V1165" s="31"/>
      <c r="W1165" s="15"/>
      <c r="X1165" s="15"/>
      <c r="Y1165" s="16"/>
      <c r="Z1165" s="17"/>
      <c r="AA1165" s="16"/>
      <c r="AB1165" s="24"/>
      <c r="AC1165" s="20"/>
      <c r="AD1165" s="21"/>
      <c r="AE1165" s="22"/>
      <c r="AF1165" s="23"/>
      <c r="AG1165" s="24"/>
      <c r="AH1165" s="1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  <c r="AY1165" s="25"/>
      <c r="AZ1165" s="25"/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5"/>
      <c r="BL1165" s="25"/>
      <c r="BM1165" s="25"/>
      <c r="BN1165" s="25"/>
      <c r="BO1165" s="25"/>
      <c r="BP1165" s="25"/>
    </row>
    <row r="1166" spans="5:68" ht="15" customHeight="1" x14ac:dyDescent="0.25">
      <c r="E1166" s="3"/>
      <c r="F1166" s="4"/>
      <c r="G1166" s="5"/>
      <c r="H1166" s="40"/>
      <c r="I1166" s="40"/>
      <c r="J1166" s="7"/>
      <c r="K1166" s="8"/>
      <c r="L1166" s="9"/>
      <c r="M1166" s="10"/>
      <c r="N1166" s="11"/>
      <c r="O1166" s="12"/>
      <c r="P1166" s="13"/>
      <c r="Q1166" s="13"/>
      <c r="R1166" s="14"/>
      <c r="S1166" s="13"/>
      <c r="T1166" s="13"/>
      <c r="U1166" s="32"/>
      <c r="V1166" s="31"/>
      <c r="W1166" s="15"/>
      <c r="X1166" s="15"/>
      <c r="Y1166" s="16"/>
      <c r="Z1166" s="17"/>
      <c r="AA1166" s="16"/>
      <c r="AB1166" s="24"/>
      <c r="AC1166" s="20"/>
      <c r="AD1166" s="21"/>
      <c r="AE1166" s="22"/>
      <c r="AF1166" s="23"/>
      <c r="AG1166" s="24"/>
      <c r="AH1166" s="1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  <c r="AY1166" s="25"/>
      <c r="AZ1166" s="25"/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5"/>
      <c r="BL1166" s="25"/>
      <c r="BM1166" s="25"/>
      <c r="BN1166" s="25"/>
      <c r="BO1166" s="25"/>
      <c r="BP1166" s="25"/>
    </row>
    <row r="1167" spans="5:68" ht="15" customHeight="1" x14ac:dyDescent="0.25">
      <c r="E1167" s="3"/>
      <c r="F1167" s="4"/>
      <c r="G1167" s="5"/>
      <c r="H1167" s="40"/>
      <c r="I1167" s="40"/>
      <c r="J1167" s="7"/>
      <c r="K1167" s="8"/>
      <c r="L1167" s="9"/>
      <c r="M1167" s="10"/>
      <c r="N1167" s="11"/>
      <c r="O1167" s="12"/>
      <c r="P1167" s="13"/>
      <c r="Q1167" s="13"/>
      <c r="R1167" s="14"/>
      <c r="S1167" s="13"/>
      <c r="T1167" s="13"/>
      <c r="U1167" s="32"/>
      <c r="V1167" s="31"/>
      <c r="W1167" s="15"/>
      <c r="X1167" s="15"/>
      <c r="Y1167" s="16"/>
      <c r="Z1167" s="17"/>
      <c r="AA1167" s="16"/>
      <c r="AB1167" s="24"/>
      <c r="AC1167" s="20"/>
      <c r="AD1167" s="21"/>
      <c r="AE1167" s="22"/>
      <c r="AF1167" s="23"/>
      <c r="AG1167" s="24"/>
      <c r="AH1167" s="1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25"/>
      <c r="AY1167" s="25"/>
      <c r="AZ1167" s="25"/>
      <c r="BA1167" s="25"/>
      <c r="BB1167" s="25"/>
      <c r="BC1167" s="25"/>
      <c r="BD1167" s="25"/>
      <c r="BE1167" s="25"/>
      <c r="BF1167" s="25"/>
      <c r="BG1167" s="25"/>
      <c r="BH1167" s="25"/>
      <c r="BI1167" s="25"/>
      <c r="BJ1167" s="25"/>
      <c r="BK1167" s="25"/>
      <c r="BL1167" s="25"/>
      <c r="BM1167" s="25"/>
      <c r="BN1167" s="25"/>
      <c r="BO1167" s="25"/>
      <c r="BP1167" s="25"/>
    </row>
    <row r="1168" spans="5:68" ht="15" customHeight="1" x14ac:dyDescent="0.25">
      <c r="E1168" s="3"/>
      <c r="F1168" s="4"/>
      <c r="G1168" s="5"/>
      <c r="H1168" s="40"/>
      <c r="I1168" s="40"/>
      <c r="J1168" s="7"/>
      <c r="K1168" s="8"/>
      <c r="L1168" s="9"/>
      <c r="M1168" s="10"/>
      <c r="N1168" s="11"/>
      <c r="O1168" s="12"/>
      <c r="P1168" s="32"/>
      <c r="Q1168" s="32"/>
      <c r="R1168" s="33"/>
      <c r="S1168" s="32"/>
      <c r="T1168" s="32"/>
      <c r="U1168" s="32"/>
      <c r="V1168" s="74"/>
      <c r="W1168" s="15"/>
      <c r="X1168" s="15"/>
      <c r="Y1168" s="16"/>
      <c r="Z1168" s="17"/>
      <c r="AA1168" s="16"/>
      <c r="AB1168" s="24"/>
      <c r="AC1168" s="20"/>
      <c r="AD1168" s="21"/>
      <c r="AE1168" s="22"/>
      <c r="AF1168" s="23"/>
      <c r="AG1168" s="24"/>
      <c r="AH1168" s="1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25"/>
      <c r="AY1168" s="25"/>
      <c r="AZ1168" s="25"/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5"/>
      <c r="BL1168" s="25"/>
      <c r="BM1168" s="25"/>
      <c r="BN1168" s="25"/>
      <c r="BO1168" s="25"/>
      <c r="BP1168" s="25"/>
    </row>
    <row r="1169" spans="5:68" ht="15" customHeight="1" x14ac:dyDescent="0.25">
      <c r="E1169" s="3"/>
      <c r="F1169" s="4"/>
      <c r="G1169" s="5"/>
      <c r="H1169" s="40"/>
      <c r="I1169" s="40"/>
      <c r="J1169" s="7"/>
      <c r="K1169" s="8"/>
      <c r="L1169" s="9"/>
      <c r="M1169" s="10"/>
      <c r="N1169" s="11"/>
      <c r="O1169" s="12"/>
      <c r="P1169" s="13"/>
      <c r="Q1169" s="13"/>
      <c r="R1169" s="14"/>
      <c r="S1169" s="13"/>
      <c r="T1169" s="13"/>
      <c r="U1169" s="32"/>
      <c r="V1169" s="31"/>
      <c r="W1169" s="15"/>
      <c r="X1169" s="15"/>
      <c r="Y1169" s="16"/>
      <c r="Z1169" s="17"/>
      <c r="AA1169" s="16"/>
      <c r="AB1169" s="24"/>
      <c r="AC1169" s="20"/>
      <c r="AD1169" s="21"/>
      <c r="AE1169" s="22"/>
      <c r="AF1169" s="23"/>
      <c r="AG1169" s="24"/>
      <c r="AH1169" s="1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  <c r="AW1169" s="25"/>
      <c r="AX1169" s="25"/>
      <c r="AY1169" s="25"/>
      <c r="AZ1169" s="25"/>
      <c r="BA1169" s="25"/>
      <c r="BB1169" s="25"/>
      <c r="BC1169" s="25"/>
      <c r="BD1169" s="25"/>
      <c r="BE1169" s="25"/>
      <c r="BF1169" s="25"/>
      <c r="BG1169" s="25"/>
      <c r="BH1169" s="25"/>
      <c r="BI1169" s="25"/>
      <c r="BJ1169" s="25"/>
      <c r="BK1169" s="25"/>
      <c r="BL1169" s="25"/>
      <c r="BM1169" s="25"/>
      <c r="BN1169" s="25"/>
      <c r="BO1169" s="25"/>
      <c r="BP1169" s="25"/>
    </row>
    <row r="1170" spans="5:68" ht="15" customHeight="1" x14ac:dyDescent="0.25">
      <c r="E1170" s="3"/>
      <c r="F1170" s="4"/>
      <c r="G1170" s="5"/>
      <c r="H1170" s="40"/>
      <c r="I1170" s="40"/>
      <c r="J1170" s="7"/>
      <c r="K1170" s="8"/>
      <c r="L1170" s="9"/>
      <c r="M1170" s="10"/>
      <c r="N1170" s="11"/>
      <c r="O1170" s="12"/>
      <c r="P1170" s="13"/>
      <c r="Q1170" s="13"/>
      <c r="R1170" s="14"/>
      <c r="S1170" s="13"/>
      <c r="T1170" s="13"/>
      <c r="U1170" s="32"/>
      <c r="V1170" s="31"/>
      <c r="W1170" s="15"/>
      <c r="X1170" s="15"/>
      <c r="Y1170" s="16"/>
      <c r="Z1170" s="17"/>
      <c r="AA1170" s="16"/>
      <c r="AB1170" s="24"/>
      <c r="AC1170" s="20"/>
      <c r="AD1170" s="21"/>
      <c r="AE1170" s="22"/>
      <c r="AF1170" s="23"/>
      <c r="AG1170" s="24"/>
      <c r="AH1170" s="1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25"/>
      <c r="AY1170" s="25"/>
      <c r="AZ1170" s="25"/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5"/>
      <c r="BL1170" s="25"/>
      <c r="BM1170" s="25"/>
      <c r="BN1170" s="25"/>
      <c r="BO1170" s="25"/>
      <c r="BP1170" s="25"/>
    </row>
    <row r="1171" spans="5:68" ht="15" customHeight="1" x14ac:dyDescent="0.25">
      <c r="E1171" s="3"/>
      <c r="F1171" s="4"/>
      <c r="G1171" s="5"/>
      <c r="H1171" s="40"/>
      <c r="I1171" s="40"/>
      <c r="J1171" s="7"/>
      <c r="K1171" s="8"/>
      <c r="L1171" s="9"/>
      <c r="M1171" s="10"/>
      <c r="N1171" s="11"/>
      <c r="O1171" s="12"/>
      <c r="P1171" s="13"/>
      <c r="Q1171" s="13"/>
      <c r="R1171" s="14"/>
      <c r="S1171" s="13"/>
      <c r="T1171" s="13"/>
      <c r="U1171" s="32"/>
      <c r="V1171" s="31"/>
      <c r="W1171" s="15"/>
      <c r="X1171" s="15"/>
      <c r="Y1171" s="16"/>
      <c r="Z1171" s="17"/>
      <c r="AA1171" s="16"/>
      <c r="AB1171" s="24"/>
      <c r="AC1171" s="20"/>
      <c r="AD1171" s="21"/>
      <c r="AE1171" s="22"/>
      <c r="AF1171" s="23"/>
      <c r="AG1171" s="24"/>
      <c r="AH1171" s="1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  <c r="AZ1171" s="25"/>
      <c r="BA1171" s="25"/>
      <c r="BB1171" s="25"/>
      <c r="BC1171" s="25"/>
      <c r="BD1171" s="25"/>
      <c r="BE1171" s="25"/>
      <c r="BF1171" s="25"/>
      <c r="BG1171" s="25"/>
      <c r="BH1171" s="25"/>
      <c r="BI1171" s="25"/>
      <c r="BJ1171" s="25"/>
      <c r="BK1171" s="25"/>
      <c r="BL1171" s="25"/>
      <c r="BM1171" s="25"/>
      <c r="BN1171" s="25"/>
      <c r="BO1171" s="25"/>
      <c r="BP1171" s="25"/>
    </row>
    <row r="1172" spans="5:68" ht="15" customHeight="1" x14ac:dyDescent="0.25">
      <c r="E1172" s="3"/>
      <c r="F1172" s="4"/>
      <c r="G1172" s="5"/>
      <c r="H1172" s="40"/>
      <c r="I1172" s="40"/>
      <c r="J1172" s="7"/>
      <c r="K1172" s="8"/>
      <c r="L1172" s="9"/>
      <c r="M1172" s="10"/>
      <c r="N1172" s="11"/>
      <c r="O1172" s="12"/>
      <c r="P1172" s="13"/>
      <c r="Q1172" s="13"/>
      <c r="R1172" s="14"/>
      <c r="S1172" s="13"/>
      <c r="T1172" s="13"/>
      <c r="U1172" s="32"/>
      <c r="V1172" s="31"/>
      <c r="W1172" s="15"/>
      <c r="X1172" s="15"/>
      <c r="Y1172" s="16"/>
      <c r="Z1172" s="17"/>
      <c r="AA1172" s="16"/>
      <c r="AB1172" s="24"/>
      <c r="AC1172" s="20"/>
      <c r="AD1172" s="21"/>
      <c r="AE1172" s="22"/>
      <c r="AF1172" s="23"/>
      <c r="AG1172" s="24"/>
      <c r="AH1172" s="1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25"/>
      <c r="AY1172" s="25"/>
      <c r="AZ1172" s="25"/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5"/>
      <c r="BL1172" s="25"/>
      <c r="BM1172" s="25"/>
      <c r="BN1172" s="25"/>
      <c r="BO1172" s="25"/>
      <c r="BP1172" s="25"/>
    </row>
    <row r="1173" spans="5:68" ht="15" customHeight="1" x14ac:dyDescent="0.25">
      <c r="E1173" s="3"/>
      <c r="F1173" s="4"/>
      <c r="G1173" s="5"/>
      <c r="H1173" s="40"/>
      <c r="I1173" s="40"/>
      <c r="J1173" s="7"/>
      <c r="K1173" s="8"/>
      <c r="L1173" s="9"/>
      <c r="M1173" s="10"/>
      <c r="N1173" s="11"/>
      <c r="O1173" s="12"/>
      <c r="P1173" s="13"/>
      <c r="Q1173" s="13"/>
      <c r="R1173" s="14"/>
      <c r="S1173" s="13"/>
      <c r="T1173" s="13"/>
      <c r="U1173" s="32"/>
      <c r="V1173" s="31"/>
      <c r="W1173" s="15"/>
      <c r="X1173" s="15"/>
      <c r="Y1173" s="16"/>
      <c r="Z1173" s="17"/>
      <c r="AA1173" s="16"/>
      <c r="AB1173" s="24"/>
      <c r="AC1173" s="20"/>
      <c r="AD1173" s="21"/>
      <c r="AE1173" s="22"/>
      <c r="AF1173" s="23"/>
      <c r="AG1173" s="24"/>
      <c r="AH1173" s="1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  <c r="AW1173" s="25"/>
      <c r="AX1173" s="25"/>
      <c r="AY1173" s="25"/>
      <c r="AZ1173" s="25"/>
      <c r="BA1173" s="25"/>
      <c r="BB1173" s="25"/>
      <c r="BC1173" s="25"/>
      <c r="BD1173" s="25"/>
      <c r="BE1173" s="25"/>
      <c r="BF1173" s="25"/>
      <c r="BG1173" s="25"/>
      <c r="BH1173" s="25"/>
      <c r="BI1173" s="25"/>
      <c r="BJ1173" s="25"/>
      <c r="BK1173" s="25"/>
      <c r="BL1173" s="25"/>
      <c r="BM1173" s="25"/>
      <c r="BN1173" s="25"/>
      <c r="BO1173" s="25"/>
      <c r="BP1173" s="25"/>
    </row>
    <row r="1174" spans="5:68" ht="15" customHeight="1" x14ac:dyDescent="0.25">
      <c r="E1174" s="3"/>
      <c r="F1174" s="4"/>
      <c r="G1174" s="5"/>
      <c r="H1174" s="40"/>
      <c r="I1174" s="40"/>
      <c r="J1174" s="7"/>
      <c r="K1174" s="8"/>
      <c r="L1174" s="9"/>
      <c r="M1174" s="10"/>
      <c r="N1174" s="11"/>
      <c r="O1174" s="12"/>
      <c r="P1174" s="13"/>
      <c r="Q1174" s="13"/>
      <c r="R1174" s="14"/>
      <c r="S1174" s="13"/>
      <c r="T1174" s="13"/>
      <c r="U1174" s="32"/>
      <c r="V1174" s="31"/>
      <c r="W1174" s="15"/>
      <c r="X1174" s="15"/>
      <c r="Y1174" s="16"/>
      <c r="Z1174" s="17"/>
      <c r="AA1174" s="16"/>
      <c r="AB1174" s="24"/>
      <c r="AC1174" s="20"/>
      <c r="AD1174" s="21"/>
      <c r="AE1174" s="22"/>
      <c r="AF1174" s="23"/>
      <c r="AG1174" s="24"/>
      <c r="AH1174" s="1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25"/>
      <c r="AY1174" s="25"/>
      <c r="AZ1174" s="25"/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5"/>
      <c r="BL1174" s="25"/>
      <c r="BM1174" s="25"/>
      <c r="BN1174" s="25"/>
      <c r="BO1174" s="25"/>
      <c r="BP1174" s="25"/>
    </row>
    <row r="1175" spans="5:68" ht="15" customHeight="1" x14ac:dyDescent="0.25">
      <c r="E1175" s="3"/>
      <c r="F1175" s="4"/>
      <c r="G1175" s="5"/>
      <c r="H1175" s="40"/>
      <c r="I1175" s="40"/>
      <c r="J1175" s="7"/>
      <c r="K1175" s="8"/>
      <c r="L1175" s="9"/>
      <c r="M1175" s="10"/>
      <c r="N1175" s="11"/>
      <c r="O1175" s="12"/>
      <c r="P1175" s="13"/>
      <c r="Q1175" s="13"/>
      <c r="R1175" s="14"/>
      <c r="S1175" s="13"/>
      <c r="T1175" s="13"/>
      <c r="U1175" s="32"/>
      <c r="V1175" s="31"/>
      <c r="W1175" s="15"/>
      <c r="X1175" s="15"/>
      <c r="Y1175" s="16"/>
      <c r="Z1175" s="17"/>
      <c r="AA1175" s="16"/>
      <c r="AB1175" s="24"/>
      <c r="AC1175" s="20"/>
      <c r="AD1175" s="21"/>
      <c r="AE1175" s="22"/>
      <c r="AF1175" s="23"/>
      <c r="AG1175" s="24"/>
      <c r="AH1175" s="1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25"/>
      <c r="AY1175" s="25"/>
      <c r="AZ1175" s="25"/>
      <c r="BA1175" s="25"/>
      <c r="BB1175" s="25"/>
      <c r="BC1175" s="25"/>
      <c r="BD1175" s="25"/>
      <c r="BE1175" s="25"/>
      <c r="BF1175" s="25"/>
      <c r="BG1175" s="25"/>
      <c r="BH1175" s="25"/>
      <c r="BI1175" s="25"/>
      <c r="BJ1175" s="25"/>
      <c r="BK1175" s="25"/>
      <c r="BL1175" s="25"/>
      <c r="BM1175" s="25"/>
      <c r="BN1175" s="25"/>
      <c r="BO1175" s="25"/>
      <c r="BP1175" s="25"/>
    </row>
    <row r="1176" spans="5:68" ht="15" customHeight="1" x14ac:dyDescent="0.25">
      <c r="E1176" s="3"/>
      <c r="F1176" s="4"/>
      <c r="G1176" s="5"/>
      <c r="H1176" s="40"/>
      <c r="I1176" s="40"/>
      <c r="J1176" s="7"/>
      <c r="K1176" s="8"/>
      <c r="L1176" s="9"/>
      <c r="M1176" s="10"/>
      <c r="N1176" s="11"/>
      <c r="O1176" s="12"/>
      <c r="P1176" s="13"/>
      <c r="Q1176" s="13"/>
      <c r="R1176" s="14"/>
      <c r="S1176" s="13"/>
      <c r="T1176" s="13"/>
      <c r="U1176" s="32"/>
      <c r="V1176" s="31"/>
      <c r="W1176" s="15"/>
      <c r="X1176" s="15"/>
      <c r="Y1176" s="16"/>
      <c r="Z1176" s="17"/>
      <c r="AA1176" s="16"/>
      <c r="AB1176" s="24"/>
      <c r="AC1176" s="20"/>
      <c r="AD1176" s="21"/>
      <c r="AE1176" s="22"/>
      <c r="AF1176" s="23"/>
      <c r="AG1176" s="24"/>
      <c r="AH1176" s="1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25"/>
      <c r="AY1176" s="25"/>
      <c r="AZ1176" s="25"/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5"/>
      <c r="BL1176" s="25"/>
      <c r="BM1176" s="25"/>
      <c r="BN1176" s="25"/>
      <c r="BO1176" s="25"/>
      <c r="BP1176" s="25"/>
    </row>
    <row r="1177" spans="5:68" ht="15" customHeight="1" x14ac:dyDescent="0.25">
      <c r="E1177" s="3"/>
      <c r="F1177" s="4"/>
      <c r="G1177" s="5"/>
      <c r="H1177" s="40"/>
      <c r="I1177" s="40"/>
      <c r="J1177" s="7"/>
      <c r="K1177" s="8"/>
      <c r="L1177" s="9"/>
      <c r="M1177" s="10"/>
      <c r="N1177" s="11"/>
      <c r="O1177" s="12"/>
      <c r="P1177" s="13"/>
      <c r="Q1177" s="13"/>
      <c r="R1177" s="14"/>
      <c r="S1177" s="13"/>
      <c r="T1177" s="13"/>
      <c r="U1177" s="32"/>
      <c r="V1177" s="31"/>
      <c r="W1177" s="15"/>
      <c r="X1177" s="15"/>
      <c r="Y1177" s="16"/>
      <c r="Z1177" s="17"/>
      <c r="AA1177" s="16"/>
      <c r="AB1177" s="24"/>
      <c r="AC1177" s="20"/>
      <c r="AD1177" s="21"/>
      <c r="AE1177" s="22"/>
      <c r="AF1177" s="23"/>
      <c r="AG1177" s="24"/>
      <c r="AH1177" s="1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  <c r="AW1177" s="25"/>
      <c r="AX1177" s="25"/>
      <c r="AY1177" s="25"/>
      <c r="AZ1177" s="25"/>
      <c r="BA1177" s="25"/>
      <c r="BB1177" s="25"/>
      <c r="BC1177" s="25"/>
      <c r="BD1177" s="25"/>
      <c r="BE1177" s="25"/>
      <c r="BF1177" s="25"/>
      <c r="BG1177" s="25"/>
      <c r="BH1177" s="25"/>
      <c r="BI1177" s="25"/>
      <c r="BJ1177" s="25"/>
      <c r="BK1177" s="25"/>
      <c r="BL1177" s="25"/>
      <c r="BM1177" s="25"/>
      <c r="BN1177" s="25"/>
      <c r="BO1177" s="25"/>
      <c r="BP1177" s="25"/>
    </row>
    <row r="1178" spans="5:68" ht="15" customHeight="1" x14ac:dyDescent="0.25">
      <c r="E1178" s="3"/>
      <c r="F1178" s="4"/>
      <c r="G1178" s="5"/>
      <c r="H1178" s="40"/>
      <c r="I1178" s="40"/>
      <c r="J1178" s="7"/>
      <c r="K1178" s="8"/>
      <c r="L1178" s="9"/>
      <c r="M1178" s="10"/>
      <c r="N1178" s="11"/>
      <c r="O1178" s="12"/>
      <c r="P1178" s="13"/>
      <c r="Q1178" s="13"/>
      <c r="R1178" s="14"/>
      <c r="S1178" s="13"/>
      <c r="T1178" s="13"/>
      <c r="U1178" s="32"/>
      <c r="V1178" s="31"/>
      <c r="W1178" s="15"/>
      <c r="X1178" s="15"/>
      <c r="Y1178" s="16"/>
      <c r="Z1178" s="17"/>
      <c r="AA1178" s="16"/>
      <c r="AB1178" s="24"/>
      <c r="AC1178" s="20"/>
      <c r="AD1178" s="21"/>
      <c r="AE1178" s="22"/>
      <c r="AF1178" s="23"/>
      <c r="AG1178" s="24"/>
      <c r="AH1178" s="1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  <c r="AZ1178" s="25"/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5"/>
      <c r="BL1178" s="25"/>
      <c r="BM1178" s="25"/>
      <c r="BN1178" s="25"/>
      <c r="BO1178" s="25"/>
      <c r="BP1178" s="25"/>
    </row>
    <row r="1179" spans="5:68" ht="15" customHeight="1" x14ac:dyDescent="0.25">
      <c r="E1179" s="3"/>
      <c r="F1179" s="4"/>
      <c r="G1179" s="5"/>
      <c r="H1179" s="40"/>
      <c r="I1179" s="40"/>
      <c r="J1179" s="7"/>
      <c r="K1179" s="8"/>
      <c r="L1179" s="9"/>
      <c r="M1179" s="10"/>
      <c r="N1179" s="11"/>
      <c r="O1179" s="12"/>
      <c r="P1179" s="13"/>
      <c r="Q1179" s="13"/>
      <c r="R1179" s="14"/>
      <c r="S1179" s="13"/>
      <c r="T1179" s="13"/>
      <c r="U1179" s="32"/>
      <c r="V1179" s="31"/>
      <c r="W1179" s="15"/>
      <c r="X1179" s="15"/>
      <c r="Y1179" s="16"/>
      <c r="Z1179" s="17"/>
      <c r="AA1179" s="16"/>
      <c r="AB1179" s="24"/>
      <c r="AC1179" s="20"/>
      <c r="AD1179" s="21"/>
      <c r="AE1179" s="22"/>
      <c r="AF1179" s="23"/>
      <c r="AG1179" s="24"/>
      <c r="AH1179" s="1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25"/>
      <c r="AY1179" s="25"/>
      <c r="AZ1179" s="25"/>
      <c r="BA1179" s="25"/>
      <c r="BB1179" s="25"/>
      <c r="BC1179" s="25"/>
      <c r="BD1179" s="25"/>
      <c r="BE1179" s="25"/>
      <c r="BF1179" s="25"/>
      <c r="BG1179" s="25"/>
      <c r="BH1179" s="25"/>
      <c r="BI1179" s="25"/>
      <c r="BJ1179" s="25"/>
      <c r="BK1179" s="25"/>
      <c r="BL1179" s="25"/>
      <c r="BM1179" s="25"/>
      <c r="BN1179" s="25"/>
      <c r="BO1179" s="25"/>
      <c r="BP1179" s="25"/>
    </row>
    <row r="1180" spans="5:68" ht="15" customHeight="1" x14ac:dyDescent="0.25">
      <c r="E1180" s="3"/>
      <c r="F1180" s="4"/>
      <c r="G1180" s="5"/>
      <c r="H1180" s="40"/>
      <c r="I1180" s="40"/>
      <c r="J1180" s="7"/>
      <c r="K1180" s="8"/>
      <c r="L1180" s="9"/>
      <c r="M1180" s="10"/>
      <c r="N1180" s="11"/>
      <c r="O1180" s="12"/>
      <c r="P1180" s="13"/>
      <c r="Q1180" s="13"/>
      <c r="R1180" s="14"/>
      <c r="S1180" s="13"/>
      <c r="T1180" s="13"/>
      <c r="U1180" s="32"/>
      <c r="V1180" s="31"/>
      <c r="W1180" s="15"/>
      <c r="X1180" s="15"/>
      <c r="Y1180" s="16"/>
      <c r="Z1180" s="17"/>
      <c r="AA1180" s="16"/>
      <c r="AB1180" s="24"/>
      <c r="AC1180" s="20"/>
      <c r="AD1180" s="21"/>
      <c r="AE1180" s="22"/>
      <c r="AF1180" s="23"/>
      <c r="AG1180" s="24"/>
      <c r="AH1180" s="1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  <c r="AY1180" s="25"/>
      <c r="AZ1180" s="25"/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5"/>
      <c r="BL1180" s="25"/>
      <c r="BM1180" s="25"/>
      <c r="BN1180" s="25"/>
      <c r="BO1180" s="25"/>
      <c r="BP1180" s="25"/>
    </row>
    <row r="1181" spans="5:68" ht="15" customHeight="1" x14ac:dyDescent="0.25">
      <c r="E1181" s="3"/>
      <c r="F1181" s="4"/>
      <c r="G1181" s="5"/>
      <c r="H1181" s="40"/>
      <c r="I1181" s="40"/>
      <c r="J1181" s="7"/>
      <c r="K1181" s="8"/>
      <c r="L1181" s="9"/>
      <c r="M1181" s="10"/>
      <c r="N1181" s="11"/>
      <c r="O1181" s="12"/>
      <c r="P1181" s="13"/>
      <c r="Q1181" s="13"/>
      <c r="R1181" s="14"/>
      <c r="S1181" s="13"/>
      <c r="T1181" s="13"/>
      <c r="U1181" s="32"/>
      <c r="V1181" s="31"/>
      <c r="W1181" s="15"/>
      <c r="X1181" s="15"/>
      <c r="Y1181" s="16"/>
      <c r="Z1181" s="17"/>
      <c r="AA1181" s="16"/>
      <c r="AB1181" s="24"/>
      <c r="AC1181" s="20"/>
      <c r="AD1181" s="21"/>
      <c r="AE1181" s="22"/>
      <c r="AF1181" s="23"/>
      <c r="AG1181" s="24"/>
      <c r="AH1181" s="1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25"/>
      <c r="AY1181" s="25"/>
      <c r="AZ1181" s="25"/>
      <c r="BA1181" s="25"/>
      <c r="BB1181" s="25"/>
      <c r="BC1181" s="25"/>
      <c r="BD1181" s="25"/>
      <c r="BE1181" s="25"/>
      <c r="BF1181" s="25"/>
      <c r="BG1181" s="25"/>
      <c r="BH1181" s="25"/>
      <c r="BI1181" s="25"/>
      <c r="BJ1181" s="25"/>
      <c r="BK1181" s="25"/>
      <c r="BL1181" s="25"/>
      <c r="BM1181" s="25"/>
      <c r="BN1181" s="25"/>
      <c r="BO1181" s="25"/>
      <c r="BP1181" s="25"/>
    </row>
    <row r="1182" spans="5:68" ht="15" customHeight="1" x14ac:dyDescent="0.25">
      <c r="E1182" s="3"/>
      <c r="F1182" s="4"/>
      <c r="G1182" s="39"/>
      <c r="H1182" s="40"/>
      <c r="I1182" s="40"/>
      <c r="J1182" s="7"/>
      <c r="K1182" s="8"/>
      <c r="L1182" s="9"/>
      <c r="M1182" s="10"/>
      <c r="N1182" s="11"/>
      <c r="O1182" s="12"/>
      <c r="P1182" s="13"/>
      <c r="Q1182" s="13"/>
      <c r="R1182" s="14"/>
      <c r="S1182" s="13"/>
      <c r="T1182" s="13"/>
      <c r="U1182" s="32"/>
      <c r="V1182" s="31"/>
      <c r="W1182" s="15"/>
      <c r="X1182" s="15"/>
      <c r="Y1182" s="16"/>
      <c r="Z1182" s="17"/>
      <c r="AA1182" s="16"/>
      <c r="AB1182" s="24"/>
      <c r="AC1182" s="20"/>
      <c r="AD1182" s="21"/>
      <c r="AE1182" s="22"/>
      <c r="AF1182" s="23"/>
      <c r="AG1182" s="24"/>
      <c r="AH1182" s="1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  <c r="AY1182" s="25"/>
      <c r="AZ1182" s="25"/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5"/>
      <c r="BL1182" s="25"/>
      <c r="BM1182" s="25"/>
      <c r="BN1182" s="25"/>
      <c r="BO1182" s="25"/>
      <c r="BP1182" s="25"/>
    </row>
    <row r="1183" spans="5:68" ht="15" customHeight="1" x14ac:dyDescent="0.25">
      <c r="E1183" s="3"/>
      <c r="F1183" s="4"/>
      <c r="G1183" s="39"/>
      <c r="H1183" s="40"/>
      <c r="I1183" s="40"/>
      <c r="J1183" s="7"/>
      <c r="K1183" s="8"/>
      <c r="L1183" s="9"/>
      <c r="M1183" s="10"/>
      <c r="N1183" s="11"/>
      <c r="O1183" s="12"/>
      <c r="P1183" s="13"/>
      <c r="Q1183" s="13"/>
      <c r="R1183" s="14"/>
      <c r="S1183" s="13"/>
      <c r="T1183" s="13"/>
      <c r="U1183" s="32"/>
      <c r="V1183" s="31"/>
      <c r="W1183" s="15"/>
      <c r="X1183" s="15"/>
      <c r="Y1183" s="16"/>
      <c r="Z1183" s="17"/>
      <c r="AA1183" s="16"/>
      <c r="AB1183" s="24"/>
      <c r="AC1183" s="20"/>
      <c r="AD1183" s="21"/>
      <c r="AE1183" s="22"/>
      <c r="AF1183" s="23"/>
      <c r="AG1183" s="24"/>
      <c r="AH1183" s="1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25"/>
      <c r="AY1183" s="25"/>
      <c r="AZ1183" s="25"/>
      <c r="BA1183" s="25"/>
      <c r="BB1183" s="25"/>
      <c r="BC1183" s="25"/>
      <c r="BD1183" s="25"/>
      <c r="BE1183" s="25"/>
      <c r="BF1183" s="25"/>
      <c r="BG1183" s="25"/>
      <c r="BH1183" s="25"/>
      <c r="BI1183" s="25"/>
      <c r="BJ1183" s="25"/>
      <c r="BK1183" s="25"/>
      <c r="BL1183" s="25"/>
      <c r="BM1183" s="25"/>
      <c r="BN1183" s="25"/>
      <c r="BO1183" s="25"/>
      <c r="BP1183" s="25"/>
    </row>
    <row r="1184" spans="5:68" ht="15" customHeight="1" x14ac:dyDescent="0.25">
      <c r="E1184" s="3"/>
      <c r="F1184" s="4"/>
      <c r="G1184" s="39"/>
      <c r="H1184" s="40"/>
      <c r="I1184" s="40"/>
      <c r="J1184" s="7"/>
      <c r="K1184" s="8"/>
      <c r="L1184" s="9"/>
      <c r="M1184" s="10"/>
      <c r="N1184" s="11"/>
      <c r="O1184" s="12"/>
      <c r="P1184" s="13"/>
      <c r="Q1184" s="13"/>
      <c r="R1184" s="14"/>
      <c r="S1184" s="13"/>
      <c r="T1184" s="13"/>
      <c r="U1184" s="32"/>
      <c r="V1184" s="31"/>
      <c r="W1184" s="15"/>
      <c r="X1184" s="15"/>
      <c r="Y1184" s="16"/>
      <c r="Z1184" s="17"/>
      <c r="AA1184" s="16"/>
      <c r="AB1184" s="24"/>
      <c r="AC1184" s="20"/>
      <c r="AD1184" s="21"/>
      <c r="AE1184" s="22"/>
      <c r="AF1184" s="23"/>
      <c r="AG1184" s="24"/>
      <c r="AH1184" s="1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25"/>
      <c r="AY1184" s="25"/>
      <c r="AZ1184" s="25"/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5"/>
      <c r="BL1184" s="25"/>
      <c r="BM1184" s="25"/>
      <c r="BN1184" s="25"/>
      <c r="BO1184" s="25"/>
      <c r="BP1184" s="25"/>
    </row>
    <row r="1185" spans="5:68" ht="15" customHeight="1" x14ac:dyDescent="0.25">
      <c r="E1185" s="3"/>
      <c r="F1185" s="4"/>
      <c r="G1185" s="39"/>
      <c r="H1185" s="40"/>
      <c r="I1185" s="40"/>
      <c r="J1185" s="7"/>
      <c r="K1185" s="8"/>
      <c r="L1185" s="9"/>
      <c r="M1185" s="10"/>
      <c r="N1185" s="11"/>
      <c r="O1185" s="12"/>
      <c r="P1185" s="13"/>
      <c r="Q1185" s="13"/>
      <c r="R1185" s="14"/>
      <c r="S1185" s="13"/>
      <c r="T1185" s="13"/>
      <c r="U1185" s="32"/>
      <c r="V1185" s="31"/>
      <c r="W1185" s="15"/>
      <c r="X1185" s="15"/>
      <c r="Y1185" s="16"/>
      <c r="Z1185" s="17"/>
      <c r="AA1185" s="16"/>
      <c r="AB1185" s="24"/>
      <c r="AC1185" s="20"/>
      <c r="AD1185" s="21"/>
      <c r="AE1185" s="22"/>
      <c r="AF1185" s="23"/>
      <c r="AG1185" s="24"/>
      <c r="AH1185" s="1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  <c r="AW1185" s="25"/>
      <c r="AX1185" s="25"/>
      <c r="AY1185" s="25"/>
      <c r="AZ1185" s="25"/>
      <c r="BA1185" s="25"/>
      <c r="BB1185" s="25"/>
      <c r="BC1185" s="25"/>
      <c r="BD1185" s="25"/>
      <c r="BE1185" s="25"/>
      <c r="BF1185" s="25"/>
      <c r="BG1185" s="25"/>
      <c r="BH1185" s="25"/>
      <c r="BI1185" s="25"/>
      <c r="BJ1185" s="25"/>
      <c r="BK1185" s="25"/>
      <c r="BL1185" s="25"/>
      <c r="BM1185" s="25"/>
      <c r="BN1185" s="25"/>
      <c r="BO1185" s="25"/>
      <c r="BP1185" s="25"/>
    </row>
    <row r="1186" spans="5:68" ht="15" customHeight="1" x14ac:dyDescent="0.25">
      <c r="E1186" s="3"/>
      <c r="F1186" s="4"/>
      <c r="G1186" s="39"/>
      <c r="H1186" s="40"/>
      <c r="I1186" s="40"/>
      <c r="J1186" s="7"/>
      <c r="K1186" s="8"/>
      <c r="L1186" s="9"/>
      <c r="M1186" s="10"/>
      <c r="N1186" s="11"/>
      <c r="O1186" s="12"/>
      <c r="P1186" s="13"/>
      <c r="Q1186" s="13"/>
      <c r="R1186" s="14"/>
      <c r="S1186" s="13"/>
      <c r="T1186" s="13"/>
      <c r="U1186" s="32"/>
      <c r="V1186" s="31"/>
      <c r="W1186" s="15"/>
      <c r="X1186" s="15"/>
      <c r="Y1186" s="16"/>
      <c r="Z1186" s="17"/>
      <c r="AA1186" s="16"/>
      <c r="AB1186" s="24"/>
      <c r="AC1186" s="20"/>
      <c r="AD1186" s="21"/>
      <c r="AE1186" s="22"/>
      <c r="AF1186" s="23"/>
      <c r="AG1186" s="24"/>
      <c r="AH1186" s="1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25"/>
      <c r="AY1186" s="25"/>
      <c r="AZ1186" s="25"/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5"/>
      <c r="BL1186" s="25"/>
      <c r="BM1186" s="25"/>
      <c r="BN1186" s="25"/>
      <c r="BO1186" s="25"/>
      <c r="BP1186" s="25"/>
    </row>
    <row r="1187" spans="5:68" ht="15" customHeight="1" x14ac:dyDescent="0.25">
      <c r="E1187" s="3"/>
      <c r="F1187" s="4"/>
      <c r="G1187" s="39"/>
      <c r="H1187" s="40"/>
      <c r="I1187" s="40"/>
      <c r="J1187" s="7"/>
      <c r="K1187" s="8"/>
      <c r="L1187" s="9"/>
      <c r="M1187" s="10"/>
      <c r="N1187" s="11"/>
      <c r="O1187" s="12"/>
      <c r="P1187" s="13"/>
      <c r="Q1187" s="13"/>
      <c r="R1187" s="14"/>
      <c r="S1187" s="13"/>
      <c r="T1187" s="13"/>
      <c r="U1187" s="32"/>
      <c r="V1187" s="31"/>
      <c r="W1187" s="15"/>
      <c r="X1187" s="15"/>
      <c r="Y1187" s="16"/>
      <c r="Z1187" s="17"/>
      <c r="AA1187" s="16"/>
      <c r="AB1187" s="24"/>
      <c r="AC1187" s="20"/>
      <c r="AD1187" s="21"/>
      <c r="AE1187" s="22"/>
      <c r="AF1187" s="23"/>
      <c r="AG1187" s="24"/>
      <c r="AH1187" s="1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  <c r="AW1187" s="25"/>
      <c r="AX1187" s="25"/>
      <c r="AY1187" s="25"/>
      <c r="AZ1187" s="25"/>
      <c r="BA1187" s="25"/>
      <c r="BB1187" s="25"/>
      <c r="BC1187" s="25"/>
      <c r="BD1187" s="25"/>
      <c r="BE1187" s="25"/>
      <c r="BF1187" s="25"/>
      <c r="BG1187" s="25"/>
      <c r="BH1187" s="25"/>
      <c r="BI1187" s="25"/>
      <c r="BJ1187" s="25"/>
      <c r="BK1187" s="25"/>
      <c r="BL1187" s="25"/>
      <c r="BM1187" s="25"/>
      <c r="BN1187" s="25"/>
      <c r="BO1187" s="25"/>
      <c r="BP1187" s="25"/>
    </row>
    <row r="1188" spans="5:68" ht="15" customHeight="1" x14ac:dyDescent="0.25">
      <c r="E1188" s="3"/>
      <c r="F1188" s="4"/>
      <c r="G1188" s="39"/>
      <c r="H1188" s="40"/>
      <c r="I1188" s="40"/>
      <c r="J1188" s="7"/>
      <c r="K1188" s="8"/>
      <c r="L1188" s="9"/>
      <c r="M1188" s="10"/>
      <c r="N1188" s="11"/>
      <c r="O1188" s="12"/>
      <c r="P1188" s="13"/>
      <c r="Q1188" s="13"/>
      <c r="R1188" s="14"/>
      <c r="S1188" s="13"/>
      <c r="T1188" s="13"/>
      <c r="U1188" s="32"/>
      <c r="V1188" s="31"/>
      <c r="W1188" s="15"/>
      <c r="X1188" s="15"/>
      <c r="Y1188" s="16"/>
      <c r="Z1188" s="17"/>
      <c r="AA1188" s="16"/>
      <c r="AB1188" s="24"/>
      <c r="AC1188" s="20"/>
      <c r="AD1188" s="21"/>
      <c r="AE1188" s="22"/>
      <c r="AF1188" s="23"/>
      <c r="AG1188" s="24"/>
      <c r="AH1188" s="1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25"/>
      <c r="AY1188" s="25"/>
      <c r="AZ1188" s="25"/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5"/>
      <c r="BL1188" s="25"/>
      <c r="BM1188" s="25"/>
      <c r="BN1188" s="25"/>
      <c r="BO1188" s="25"/>
      <c r="BP1188" s="25"/>
    </row>
    <row r="1189" spans="5:68" ht="15" customHeight="1" x14ac:dyDescent="0.25">
      <c r="E1189" s="3"/>
      <c r="F1189" s="4"/>
      <c r="G1189" s="39"/>
      <c r="H1189" s="40"/>
      <c r="I1189" s="40"/>
      <c r="J1189" s="7"/>
      <c r="K1189" s="8"/>
      <c r="L1189" s="9"/>
      <c r="M1189" s="10"/>
      <c r="N1189" s="11"/>
      <c r="O1189" s="12"/>
      <c r="P1189" s="13"/>
      <c r="Q1189" s="13"/>
      <c r="R1189" s="14"/>
      <c r="S1189" s="13"/>
      <c r="T1189" s="13"/>
      <c r="U1189" s="32"/>
      <c r="V1189" s="31"/>
      <c r="W1189" s="15"/>
      <c r="X1189" s="15"/>
      <c r="Y1189" s="16"/>
      <c r="Z1189" s="17"/>
      <c r="AA1189" s="16"/>
      <c r="AB1189" s="24"/>
      <c r="AC1189" s="20"/>
      <c r="AD1189" s="21"/>
      <c r="AE1189" s="22"/>
      <c r="AF1189" s="23"/>
      <c r="AG1189" s="24"/>
      <c r="AH1189" s="1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  <c r="AW1189" s="25"/>
      <c r="AX1189" s="25"/>
      <c r="AY1189" s="25"/>
      <c r="AZ1189" s="25"/>
      <c r="BA1189" s="25"/>
      <c r="BB1189" s="25"/>
      <c r="BC1189" s="25"/>
      <c r="BD1189" s="25"/>
      <c r="BE1189" s="25"/>
      <c r="BF1189" s="25"/>
      <c r="BG1189" s="25"/>
      <c r="BH1189" s="25"/>
      <c r="BI1189" s="25"/>
      <c r="BJ1189" s="25"/>
      <c r="BK1189" s="25"/>
      <c r="BL1189" s="25"/>
      <c r="BM1189" s="25"/>
      <c r="BN1189" s="25"/>
      <c r="BO1189" s="25"/>
      <c r="BP1189" s="25"/>
    </row>
    <row r="1190" spans="5:68" ht="15" customHeight="1" x14ac:dyDescent="0.25">
      <c r="E1190" s="3"/>
      <c r="F1190" s="4"/>
      <c r="G1190" s="39"/>
      <c r="H1190" s="40"/>
      <c r="I1190" s="40"/>
      <c r="J1190" s="7"/>
      <c r="K1190" s="8"/>
      <c r="L1190" s="9"/>
      <c r="M1190" s="10"/>
      <c r="N1190" s="11"/>
      <c r="O1190" s="12"/>
      <c r="P1190" s="13"/>
      <c r="Q1190" s="13"/>
      <c r="R1190" s="14"/>
      <c r="S1190" s="13"/>
      <c r="T1190" s="13"/>
      <c r="U1190" s="32"/>
      <c r="V1190" s="31"/>
      <c r="W1190" s="15"/>
      <c r="X1190" s="15"/>
      <c r="Y1190" s="16"/>
      <c r="Z1190" s="17"/>
      <c r="AA1190" s="16"/>
      <c r="AB1190" s="24"/>
      <c r="AC1190" s="20"/>
      <c r="AD1190" s="21"/>
      <c r="AE1190" s="22"/>
      <c r="AF1190" s="23"/>
      <c r="AG1190" s="24"/>
      <c r="AH1190" s="1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  <c r="BN1190" s="25"/>
      <c r="BO1190" s="25"/>
      <c r="BP1190" s="25"/>
    </row>
    <row r="1191" spans="5:68" ht="15" customHeight="1" x14ac:dyDescent="0.25">
      <c r="E1191" s="3"/>
      <c r="F1191" s="4"/>
      <c r="G1191" s="39"/>
      <c r="H1191" s="40"/>
      <c r="I1191" s="40"/>
      <c r="J1191" s="7"/>
      <c r="K1191" s="8"/>
      <c r="L1191" s="9"/>
      <c r="M1191" s="10"/>
      <c r="N1191" s="11"/>
      <c r="O1191" s="12"/>
      <c r="P1191" s="13"/>
      <c r="Q1191" s="13"/>
      <c r="R1191" s="14"/>
      <c r="S1191" s="13"/>
      <c r="T1191" s="13"/>
      <c r="U1191" s="32"/>
      <c r="V1191" s="31"/>
      <c r="W1191" s="15"/>
      <c r="X1191" s="15"/>
      <c r="Y1191" s="16"/>
      <c r="Z1191" s="17"/>
      <c r="AA1191" s="16"/>
      <c r="AB1191" s="24"/>
      <c r="AC1191" s="20"/>
      <c r="AD1191" s="21"/>
      <c r="AE1191" s="22"/>
      <c r="AF1191" s="23"/>
      <c r="AG1191" s="24"/>
      <c r="AH1191" s="1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25"/>
      <c r="AY1191" s="25"/>
      <c r="AZ1191" s="25"/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5"/>
      <c r="BL1191" s="25"/>
      <c r="BM1191" s="25"/>
      <c r="BN1191" s="25"/>
      <c r="BO1191" s="25"/>
      <c r="BP1191" s="25"/>
    </row>
    <row r="1192" spans="5:68" ht="15" customHeight="1" x14ac:dyDescent="0.25">
      <c r="E1192" s="3"/>
      <c r="F1192" s="4"/>
      <c r="G1192" s="39"/>
      <c r="H1192" s="40"/>
      <c r="I1192" s="40"/>
      <c r="J1192" s="7"/>
      <c r="K1192" s="8"/>
      <c r="L1192" s="9"/>
      <c r="M1192" s="10"/>
      <c r="N1192" s="11"/>
      <c r="O1192" s="12"/>
      <c r="P1192" s="13"/>
      <c r="Q1192" s="13"/>
      <c r="R1192" s="14"/>
      <c r="S1192" s="13"/>
      <c r="T1192" s="13"/>
      <c r="U1192" s="32"/>
      <c r="V1192" s="31"/>
      <c r="W1192" s="15"/>
      <c r="X1192" s="15"/>
      <c r="Y1192" s="16"/>
      <c r="Z1192" s="17"/>
      <c r="AA1192" s="16"/>
      <c r="AB1192" s="24"/>
      <c r="AC1192" s="20"/>
      <c r="AD1192" s="21"/>
      <c r="AE1192" s="22"/>
      <c r="AF1192" s="23"/>
      <c r="AG1192" s="24"/>
      <c r="AH1192" s="1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  <c r="BN1192" s="25"/>
      <c r="BO1192" s="25"/>
      <c r="BP1192" s="25"/>
    </row>
    <row r="1193" spans="5:68" ht="15" customHeight="1" x14ac:dyDescent="0.25">
      <c r="E1193" s="3"/>
      <c r="F1193" s="4"/>
      <c r="G1193" s="39"/>
      <c r="H1193" s="40"/>
      <c r="I1193" s="40"/>
      <c r="J1193" s="7"/>
      <c r="K1193" s="8"/>
      <c r="L1193" s="9"/>
      <c r="M1193" s="10"/>
      <c r="N1193" s="11"/>
      <c r="O1193" s="12"/>
      <c r="P1193" s="13"/>
      <c r="Q1193" s="13"/>
      <c r="R1193" s="14"/>
      <c r="S1193" s="13"/>
      <c r="T1193" s="13"/>
      <c r="U1193" s="32"/>
      <c r="V1193" s="31"/>
      <c r="W1193" s="15"/>
      <c r="X1193" s="15"/>
      <c r="Y1193" s="16"/>
      <c r="Z1193" s="17"/>
      <c r="AA1193" s="16"/>
      <c r="AB1193" s="24"/>
      <c r="AC1193" s="20"/>
      <c r="AD1193" s="21"/>
      <c r="AE1193" s="22"/>
      <c r="AF1193" s="23"/>
      <c r="AG1193" s="24"/>
      <c r="AH1193" s="1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25"/>
      <c r="AY1193" s="25"/>
      <c r="AZ1193" s="25"/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5"/>
      <c r="BL1193" s="25"/>
      <c r="BM1193" s="25"/>
      <c r="BN1193" s="25"/>
      <c r="BO1193" s="25"/>
      <c r="BP1193" s="25"/>
    </row>
    <row r="1194" spans="5:68" ht="15" customHeight="1" x14ac:dyDescent="0.25">
      <c r="E1194" s="3"/>
      <c r="F1194" s="4"/>
      <c r="G1194" s="39"/>
      <c r="H1194" s="40"/>
      <c r="I1194" s="40"/>
      <c r="J1194" s="7"/>
      <c r="K1194" s="8"/>
      <c r="L1194" s="9"/>
      <c r="M1194" s="10"/>
      <c r="N1194" s="11"/>
      <c r="O1194" s="12"/>
      <c r="P1194" s="13"/>
      <c r="Q1194" s="13"/>
      <c r="R1194" s="14"/>
      <c r="S1194" s="13"/>
      <c r="T1194" s="13"/>
      <c r="U1194" s="32"/>
      <c r="V1194" s="31"/>
      <c r="W1194" s="15"/>
      <c r="X1194" s="15"/>
      <c r="Y1194" s="16"/>
      <c r="Z1194" s="17"/>
      <c r="AA1194" s="16"/>
      <c r="AB1194" s="24"/>
      <c r="AC1194" s="20"/>
      <c r="AD1194" s="21"/>
      <c r="AE1194" s="22"/>
      <c r="AF1194" s="23"/>
      <c r="AG1194" s="24"/>
      <c r="AH1194" s="1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  <c r="BN1194" s="25"/>
      <c r="BO1194" s="25"/>
      <c r="BP1194" s="25"/>
    </row>
    <row r="1195" spans="5:68" ht="15" customHeight="1" x14ac:dyDescent="0.25">
      <c r="E1195" s="3"/>
      <c r="F1195" s="4"/>
      <c r="G1195" s="39"/>
      <c r="H1195" s="40"/>
      <c r="I1195" s="40"/>
      <c r="J1195" s="7"/>
      <c r="K1195" s="8"/>
      <c r="L1195" s="9"/>
      <c r="M1195" s="10"/>
      <c r="N1195" s="11"/>
      <c r="O1195" s="12"/>
      <c r="P1195" s="13"/>
      <c r="Q1195" s="13"/>
      <c r="R1195" s="14"/>
      <c r="S1195" s="13"/>
      <c r="T1195" s="13"/>
      <c r="U1195" s="32"/>
      <c r="V1195" s="31"/>
      <c r="W1195" s="15"/>
      <c r="X1195" s="15"/>
      <c r="Y1195" s="16"/>
      <c r="Z1195" s="17"/>
      <c r="AA1195" s="16"/>
      <c r="AB1195" s="24"/>
      <c r="AC1195" s="20"/>
      <c r="AD1195" s="21"/>
      <c r="AE1195" s="22"/>
      <c r="AF1195" s="23"/>
      <c r="AG1195" s="24"/>
      <c r="AH1195" s="1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25"/>
      <c r="AY1195" s="25"/>
      <c r="AZ1195" s="25"/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5"/>
      <c r="BL1195" s="25"/>
      <c r="BM1195" s="25"/>
      <c r="BN1195" s="25"/>
      <c r="BO1195" s="25"/>
      <c r="BP1195" s="25"/>
    </row>
    <row r="1196" spans="5:68" ht="15" customHeight="1" x14ac:dyDescent="0.25">
      <c r="E1196" s="3"/>
      <c r="F1196" s="4"/>
      <c r="G1196" s="39"/>
      <c r="H1196" s="40"/>
      <c r="I1196" s="40"/>
      <c r="J1196" s="7"/>
      <c r="K1196" s="8"/>
      <c r="L1196" s="9"/>
      <c r="M1196" s="10"/>
      <c r="N1196" s="11"/>
      <c r="O1196" s="12"/>
      <c r="P1196" s="13"/>
      <c r="Q1196" s="13"/>
      <c r="R1196" s="14"/>
      <c r="S1196" s="13"/>
      <c r="T1196" s="13"/>
      <c r="U1196" s="32"/>
      <c r="V1196" s="31"/>
      <c r="W1196" s="15"/>
      <c r="X1196" s="15"/>
      <c r="Y1196" s="16"/>
      <c r="Z1196" s="17"/>
      <c r="AA1196" s="16"/>
      <c r="AB1196" s="24"/>
      <c r="AC1196" s="20"/>
      <c r="AD1196" s="21"/>
      <c r="AE1196" s="22"/>
      <c r="AF1196" s="23"/>
      <c r="AG1196" s="24"/>
      <c r="AH1196" s="1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  <c r="BN1196" s="25"/>
      <c r="BO1196" s="25"/>
      <c r="BP1196" s="25"/>
    </row>
    <row r="1197" spans="5:68" ht="15" customHeight="1" x14ac:dyDescent="0.25">
      <c r="E1197" s="3"/>
      <c r="F1197" s="4"/>
      <c r="G1197" s="39"/>
      <c r="H1197" s="40"/>
      <c r="I1197" s="40"/>
      <c r="J1197" s="7"/>
      <c r="K1197" s="8"/>
      <c r="L1197" s="9"/>
      <c r="M1197" s="10"/>
      <c r="N1197" s="11"/>
      <c r="O1197" s="12"/>
      <c r="P1197" s="13"/>
      <c r="Q1197" s="13"/>
      <c r="R1197" s="14"/>
      <c r="S1197" s="13"/>
      <c r="T1197" s="13"/>
      <c r="U1197" s="32"/>
      <c r="V1197" s="31"/>
      <c r="W1197" s="15"/>
      <c r="X1197" s="15"/>
      <c r="Y1197" s="16"/>
      <c r="Z1197" s="17"/>
      <c r="AA1197" s="16"/>
      <c r="AB1197" s="24"/>
      <c r="AC1197" s="20"/>
      <c r="AD1197" s="21"/>
      <c r="AE1197" s="22"/>
      <c r="AF1197" s="23"/>
      <c r="AG1197" s="24"/>
      <c r="AH1197" s="1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25"/>
      <c r="AY1197" s="25"/>
      <c r="AZ1197" s="25"/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5"/>
      <c r="BL1197" s="25"/>
      <c r="BM1197" s="25"/>
      <c r="BN1197" s="25"/>
      <c r="BO1197" s="25"/>
      <c r="BP1197" s="25"/>
    </row>
    <row r="1198" spans="5:68" ht="15" customHeight="1" x14ac:dyDescent="0.25">
      <c r="E1198" s="3"/>
      <c r="F1198" s="4"/>
      <c r="G1198" s="39"/>
      <c r="H1198" s="40"/>
      <c r="I1198" s="40"/>
      <c r="J1198" s="7"/>
      <c r="K1198" s="8"/>
      <c r="L1198" s="9"/>
      <c r="M1198" s="10"/>
      <c r="N1198" s="11"/>
      <c r="O1198" s="12"/>
      <c r="P1198" s="13"/>
      <c r="Q1198" s="13"/>
      <c r="R1198" s="14"/>
      <c r="S1198" s="13"/>
      <c r="T1198" s="13"/>
      <c r="U1198" s="32"/>
      <c r="V1198" s="31"/>
      <c r="W1198" s="15"/>
      <c r="X1198" s="15"/>
      <c r="Y1198" s="16"/>
      <c r="Z1198" s="17"/>
      <c r="AA1198" s="16"/>
      <c r="AB1198" s="24"/>
      <c r="AC1198" s="20"/>
      <c r="AD1198" s="21"/>
      <c r="AE1198" s="22"/>
      <c r="AF1198" s="23"/>
      <c r="AG1198" s="24"/>
      <c r="AH1198" s="1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  <c r="BN1198" s="25"/>
      <c r="BO1198" s="25"/>
      <c r="BP1198" s="25"/>
    </row>
    <row r="1199" spans="5:68" ht="15" customHeight="1" x14ac:dyDescent="0.25">
      <c r="E1199" s="3"/>
      <c r="F1199" s="4"/>
      <c r="G1199" s="39"/>
      <c r="H1199" s="40"/>
      <c r="I1199" s="40"/>
      <c r="J1199" s="7"/>
      <c r="K1199" s="8"/>
      <c r="L1199" s="9"/>
      <c r="M1199" s="10"/>
      <c r="N1199" s="11"/>
      <c r="O1199" s="12"/>
      <c r="P1199" s="13"/>
      <c r="Q1199" s="13"/>
      <c r="R1199" s="14"/>
      <c r="S1199" s="13"/>
      <c r="T1199" s="13"/>
      <c r="U1199" s="32"/>
      <c r="V1199" s="31"/>
      <c r="W1199" s="15"/>
      <c r="X1199" s="15"/>
      <c r="Y1199" s="16"/>
      <c r="Z1199" s="17"/>
      <c r="AA1199" s="16"/>
      <c r="AB1199" s="24"/>
      <c r="AC1199" s="20"/>
      <c r="AD1199" s="21"/>
      <c r="AE1199" s="22"/>
      <c r="AF1199" s="23"/>
      <c r="AG1199" s="24"/>
      <c r="AH1199" s="1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25"/>
      <c r="AY1199" s="25"/>
      <c r="AZ1199" s="25"/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5"/>
      <c r="BL1199" s="25"/>
      <c r="BM1199" s="25"/>
      <c r="BN1199" s="25"/>
      <c r="BO1199" s="25"/>
      <c r="BP1199" s="25"/>
    </row>
    <row r="1200" spans="5:68" ht="15" customHeight="1" x14ac:dyDescent="0.25">
      <c r="E1200" s="3"/>
      <c r="F1200" s="4"/>
      <c r="G1200" s="39"/>
      <c r="H1200" s="40"/>
      <c r="I1200" s="40"/>
      <c r="J1200" s="7"/>
      <c r="K1200" s="8"/>
      <c r="L1200" s="9"/>
      <c r="M1200" s="10"/>
      <c r="N1200" s="11"/>
      <c r="O1200" s="12"/>
      <c r="P1200" s="13"/>
      <c r="Q1200" s="13"/>
      <c r="R1200" s="14"/>
      <c r="S1200" s="13"/>
      <c r="T1200" s="13"/>
      <c r="U1200" s="32"/>
      <c r="V1200" s="31"/>
      <c r="W1200" s="15"/>
      <c r="X1200" s="15"/>
      <c r="Y1200" s="16"/>
      <c r="Z1200" s="17"/>
      <c r="AA1200" s="16"/>
      <c r="AB1200" s="24"/>
      <c r="AC1200" s="20"/>
      <c r="AD1200" s="21"/>
      <c r="AE1200" s="22"/>
      <c r="AF1200" s="23"/>
      <c r="AG1200" s="24"/>
      <c r="AH1200" s="1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  <c r="BN1200" s="25"/>
      <c r="BO1200" s="25"/>
      <c r="BP1200" s="25"/>
    </row>
    <row r="1201" spans="5:68" ht="15" customHeight="1" x14ac:dyDescent="0.25">
      <c r="E1201" s="3"/>
      <c r="F1201" s="4"/>
      <c r="G1201" s="39"/>
      <c r="H1201" s="40"/>
      <c r="I1201" s="40"/>
      <c r="J1201" s="7"/>
      <c r="K1201" s="8"/>
      <c r="L1201" s="9"/>
      <c r="M1201" s="10"/>
      <c r="N1201" s="11"/>
      <c r="O1201" s="12"/>
      <c r="P1201" s="13"/>
      <c r="Q1201" s="13"/>
      <c r="R1201" s="14"/>
      <c r="S1201" s="13"/>
      <c r="T1201" s="13"/>
      <c r="U1201" s="32"/>
      <c r="V1201" s="31"/>
      <c r="W1201" s="15"/>
      <c r="X1201" s="15"/>
      <c r="Y1201" s="16"/>
      <c r="Z1201" s="17"/>
      <c r="AA1201" s="16"/>
      <c r="AB1201" s="24"/>
      <c r="AC1201" s="20"/>
      <c r="AD1201" s="21"/>
      <c r="AE1201" s="22"/>
      <c r="AF1201" s="23"/>
      <c r="AG1201" s="24"/>
      <c r="AH1201" s="1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25"/>
      <c r="AY1201" s="25"/>
      <c r="AZ1201" s="25"/>
      <c r="BA1201" s="25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5"/>
      <c r="BL1201" s="25"/>
      <c r="BM1201" s="25"/>
      <c r="BN1201" s="25"/>
      <c r="BO1201" s="25"/>
      <c r="BP1201" s="25"/>
    </row>
    <row r="1202" spans="5:68" ht="15" customHeight="1" x14ac:dyDescent="0.25">
      <c r="E1202" s="3"/>
      <c r="F1202" s="4"/>
      <c r="G1202" s="39"/>
      <c r="H1202" s="40"/>
      <c r="I1202" s="40"/>
      <c r="J1202" s="7"/>
      <c r="K1202" s="8"/>
      <c r="L1202" s="9"/>
      <c r="M1202" s="10"/>
      <c r="N1202" s="11"/>
      <c r="O1202" s="12"/>
      <c r="P1202" s="13"/>
      <c r="Q1202" s="13"/>
      <c r="R1202" s="14"/>
      <c r="S1202" s="13"/>
      <c r="T1202" s="13"/>
      <c r="U1202" s="32"/>
      <c r="V1202" s="31"/>
      <c r="W1202" s="15"/>
      <c r="X1202" s="15"/>
      <c r="Y1202" s="16"/>
      <c r="Z1202" s="17"/>
      <c r="AA1202" s="16"/>
      <c r="AB1202" s="24"/>
      <c r="AC1202" s="20"/>
      <c r="AD1202" s="21"/>
      <c r="AE1202" s="22"/>
      <c r="AF1202" s="23"/>
      <c r="AG1202" s="24"/>
      <c r="AH1202" s="1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  <c r="AZ1202" s="25"/>
      <c r="BA1202" s="25"/>
      <c r="BB1202" s="25"/>
      <c r="BC1202" s="25"/>
      <c r="BD1202" s="25"/>
      <c r="BE1202" s="25"/>
      <c r="BF1202" s="25"/>
      <c r="BG1202" s="25"/>
      <c r="BH1202" s="25"/>
      <c r="BI1202" s="25"/>
      <c r="BJ1202" s="25"/>
      <c r="BK1202" s="25"/>
      <c r="BL1202" s="25"/>
      <c r="BM1202" s="25"/>
      <c r="BN1202" s="25"/>
      <c r="BO1202" s="25"/>
      <c r="BP1202" s="25"/>
    </row>
    <row r="1203" spans="5:68" ht="15" customHeight="1" x14ac:dyDescent="0.25">
      <c r="E1203" s="3"/>
      <c r="F1203" s="4"/>
      <c r="G1203" s="5"/>
      <c r="H1203" s="40"/>
      <c r="I1203" s="40"/>
      <c r="J1203" s="7"/>
      <c r="K1203" s="8"/>
      <c r="L1203" s="9"/>
      <c r="M1203" s="10"/>
      <c r="N1203" s="11"/>
      <c r="O1203" s="12"/>
      <c r="P1203" s="13"/>
      <c r="Q1203" s="13"/>
      <c r="R1203" s="14"/>
      <c r="S1203" s="13"/>
      <c r="T1203" s="13"/>
      <c r="U1203" s="32"/>
      <c r="V1203" s="31"/>
      <c r="W1203" s="15"/>
      <c r="X1203" s="15"/>
      <c r="Y1203" s="16"/>
      <c r="Z1203" s="17"/>
      <c r="AA1203" s="16"/>
      <c r="AB1203" s="24"/>
      <c r="AC1203" s="20"/>
      <c r="AD1203" s="21"/>
      <c r="AE1203" s="22"/>
      <c r="AF1203" s="23"/>
      <c r="AG1203" s="24"/>
      <c r="AH1203" s="1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  <c r="AW1203" s="25"/>
      <c r="AX1203" s="25"/>
      <c r="AY1203" s="25"/>
      <c r="AZ1203" s="25"/>
      <c r="BA1203" s="25"/>
      <c r="BB1203" s="25"/>
      <c r="BC1203" s="25"/>
      <c r="BD1203" s="25"/>
      <c r="BE1203" s="25"/>
      <c r="BF1203" s="25"/>
      <c r="BG1203" s="25"/>
      <c r="BH1203" s="25"/>
      <c r="BI1203" s="25"/>
      <c r="BJ1203" s="25"/>
      <c r="BK1203" s="25"/>
      <c r="BL1203" s="25"/>
      <c r="BM1203" s="25"/>
      <c r="BN1203" s="25"/>
      <c r="BO1203" s="25"/>
      <c r="BP1203" s="25"/>
    </row>
    <row r="1204" spans="5:68" ht="15" customHeight="1" x14ac:dyDescent="0.25">
      <c r="E1204" s="3"/>
      <c r="F1204" s="4"/>
      <c r="G1204" s="5"/>
      <c r="H1204" s="40"/>
      <c r="I1204" s="40"/>
      <c r="J1204" s="7"/>
      <c r="K1204" s="8"/>
      <c r="L1204" s="9"/>
      <c r="M1204" s="10"/>
      <c r="N1204" s="11"/>
      <c r="O1204" s="12"/>
      <c r="P1204" s="13"/>
      <c r="Q1204" s="13"/>
      <c r="R1204" s="14"/>
      <c r="S1204" s="13"/>
      <c r="T1204" s="13"/>
      <c r="U1204" s="32"/>
      <c r="V1204" s="31"/>
      <c r="W1204" s="15"/>
      <c r="X1204" s="15"/>
      <c r="Y1204" s="16"/>
      <c r="Z1204" s="17"/>
      <c r="AA1204" s="16"/>
      <c r="AB1204" s="24"/>
      <c r="AC1204" s="20"/>
      <c r="AD1204" s="21"/>
      <c r="AE1204" s="22"/>
      <c r="AF1204" s="23"/>
      <c r="AG1204" s="24"/>
      <c r="AH1204" s="1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25"/>
      <c r="AY1204" s="25"/>
      <c r="AZ1204" s="25"/>
      <c r="BA1204" s="25"/>
      <c r="BB1204" s="25"/>
      <c r="BC1204" s="25"/>
      <c r="BD1204" s="25"/>
      <c r="BE1204" s="25"/>
      <c r="BF1204" s="25"/>
      <c r="BG1204" s="25"/>
      <c r="BH1204" s="25"/>
      <c r="BI1204" s="25"/>
      <c r="BJ1204" s="25"/>
      <c r="BK1204" s="25"/>
      <c r="BL1204" s="25"/>
      <c r="BM1204" s="25"/>
      <c r="BN1204" s="25"/>
      <c r="BO1204" s="25"/>
      <c r="BP1204" s="25"/>
    </row>
    <row r="1205" spans="5:68" ht="15" customHeight="1" x14ac:dyDescent="0.25">
      <c r="E1205" s="3"/>
      <c r="F1205" s="4"/>
      <c r="G1205" s="5"/>
      <c r="H1205" s="40"/>
      <c r="I1205" s="40"/>
      <c r="J1205" s="7"/>
      <c r="K1205" s="8"/>
      <c r="L1205" s="9"/>
      <c r="M1205" s="10"/>
      <c r="N1205" s="11"/>
      <c r="O1205" s="12"/>
      <c r="P1205" s="13"/>
      <c r="Q1205" s="13"/>
      <c r="R1205" s="14"/>
      <c r="S1205" s="13"/>
      <c r="T1205" s="13"/>
      <c r="U1205" s="32"/>
      <c r="V1205" s="31"/>
      <c r="W1205" s="15"/>
      <c r="X1205" s="15"/>
      <c r="Y1205" s="16"/>
      <c r="Z1205" s="17"/>
      <c r="AA1205" s="16"/>
      <c r="AB1205" s="24"/>
      <c r="AC1205" s="20"/>
      <c r="AD1205" s="21"/>
      <c r="AE1205" s="22"/>
      <c r="AF1205" s="23"/>
      <c r="AG1205" s="24"/>
      <c r="AH1205" s="1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  <c r="AW1205" s="25"/>
      <c r="AX1205" s="25"/>
      <c r="AY1205" s="25"/>
      <c r="AZ1205" s="25"/>
      <c r="BA1205" s="25"/>
      <c r="BB1205" s="25"/>
      <c r="BC1205" s="25"/>
      <c r="BD1205" s="25"/>
      <c r="BE1205" s="25"/>
      <c r="BF1205" s="25"/>
      <c r="BG1205" s="25"/>
      <c r="BH1205" s="25"/>
      <c r="BI1205" s="25"/>
      <c r="BJ1205" s="25"/>
      <c r="BK1205" s="25"/>
      <c r="BL1205" s="25"/>
      <c r="BM1205" s="25"/>
      <c r="BN1205" s="25"/>
      <c r="BO1205" s="25"/>
      <c r="BP1205" s="25"/>
    </row>
    <row r="1206" spans="5:68" ht="15" customHeight="1" x14ac:dyDescent="0.25">
      <c r="E1206" s="28"/>
      <c r="F1206" s="29"/>
      <c r="G1206" s="5"/>
      <c r="H1206" s="6"/>
      <c r="I1206" s="6"/>
      <c r="J1206" s="30"/>
      <c r="K1206" s="8"/>
      <c r="L1206" s="9"/>
      <c r="M1206" s="10"/>
      <c r="N1206" s="11"/>
      <c r="O1206" s="12"/>
      <c r="P1206" s="13"/>
      <c r="Q1206" s="13"/>
      <c r="R1206" s="14"/>
      <c r="S1206" s="13"/>
      <c r="T1206" s="13"/>
      <c r="U1206" s="32"/>
      <c r="V1206" s="31"/>
      <c r="W1206" s="15"/>
      <c r="X1206" s="15"/>
      <c r="Y1206" s="16"/>
      <c r="Z1206" s="17"/>
      <c r="AA1206" s="16"/>
      <c r="AB1206" s="24"/>
      <c r="AC1206" s="20"/>
      <c r="AD1206" s="21"/>
      <c r="AE1206" s="22"/>
      <c r="AF1206" s="23"/>
      <c r="AG1206" s="24"/>
      <c r="AH1206" s="1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25"/>
      <c r="AY1206" s="25"/>
      <c r="AZ1206" s="25"/>
      <c r="BA1206" s="25"/>
      <c r="BB1206" s="25"/>
      <c r="BC1206" s="25"/>
      <c r="BD1206" s="25"/>
      <c r="BE1206" s="25"/>
      <c r="BF1206" s="25"/>
      <c r="BG1206" s="25"/>
      <c r="BH1206" s="25"/>
      <c r="BI1206" s="25"/>
      <c r="BJ1206" s="25"/>
      <c r="BK1206" s="25"/>
      <c r="BL1206" s="25"/>
      <c r="BM1206" s="25"/>
      <c r="BN1206" s="25"/>
      <c r="BO1206" s="25"/>
      <c r="BP1206" s="25"/>
    </row>
    <row r="1207" spans="5:68" ht="15" customHeight="1" x14ac:dyDescent="0.25">
      <c r="E1207" s="3"/>
      <c r="F1207" s="4"/>
      <c r="G1207" s="5"/>
      <c r="H1207" s="40"/>
      <c r="I1207" s="40"/>
      <c r="J1207" s="7"/>
      <c r="K1207" s="8"/>
      <c r="L1207" s="9"/>
      <c r="M1207" s="10"/>
      <c r="N1207" s="11"/>
      <c r="O1207" s="12"/>
      <c r="P1207" s="13"/>
      <c r="Q1207" s="13"/>
      <c r="R1207" s="14"/>
      <c r="S1207" s="13"/>
      <c r="T1207" s="13"/>
      <c r="U1207" s="32"/>
      <c r="V1207" s="31"/>
      <c r="W1207" s="15"/>
      <c r="X1207" s="15"/>
      <c r="Y1207" s="16"/>
      <c r="Z1207" s="17"/>
      <c r="AA1207" s="16"/>
      <c r="AB1207" s="24"/>
      <c r="AC1207" s="20"/>
      <c r="AD1207" s="21"/>
      <c r="AE1207" s="22"/>
      <c r="AF1207" s="23"/>
      <c r="AG1207" s="24"/>
      <c r="AH1207" s="1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  <c r="AW1207" s="25"/>
      <c r="AX1207" s="25"/>
      <c r="AY1207" s="25"/>
      <c r="AZ1207" s="25"/>
      <c r="BA1207" s="25"/>
      <c r="BB1207" s="25"/>
      <c r="BC1207" s="25"/>
      <c r="BD1207" s="25"/>
      <c r="BE1207" s="25"/>
      <c r="BF1207" s="25"/>
      <c r="BG1207" s="25"/>
      <c r="BH1207" s="25"/>
      <c r="BI1207" s="25"/>
      <c r="BJ1207" s="25"/>
      <c r="BK1207" s="25"/>
      <c r="BL1207" s="25"/>
      <c r="BM1207" s="25"/>
      <c r="BN1207" s="25"/>
      <c r="BO1207" s="25"/>
      <c r="BP1207" s="25"/>
    </row>
    <row r="1208" spans="5:68" ht="15" customHeight="1" x14ac:dyDescent="0.25">
      <c r="E1208" s="3"/>
      <c r="F1208" s="29"/>
      <c r="G1208" s="5"/>
      <c r="H1208" s="6"/>
      <c r="I1208" s="6"/>
      <c r="J1208" s="30"/>
      <c r="K1208" s="8"/>
      <c r="L1208" s="9"/>
      <c r="M1208" s="10"/>
      <c r="N1208" s="11"/>
      <c r="O1208" s="12"/>
      <c r="P1208" s="13"/>
      <c r="Q1208" s="13"/>
      <c r="R1208" s="14"/>
      <c r="S1208" s="13"/>
      <c r="T1208" s="13"/>
      <c r="U1208" s="32"/>
      <c r="V1208" s="31"/>
      <c r="W1208" s="15"/>
      <c r="X1208" s="15"/>
      <c r="Y1208" s="16"/>
      <c r="Z1208" s="17"/>
      <c r="AA1208" s="16"/>
      <c r="AB1208" s="24"/>
      <c r="AC1208" s="20"/>
      <c r="AD1208" s="21"/>
      <c r="AE1208" s="22"/>
      <c r="AF1208" s="23"/>
      <c r="AG1208" s="24"/>
      <c r="AH1208" s="1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25"/>
      <c r="AY1208" s="25"/>
      <c r="AZ1208" s="25"/>
      <c r="BA1208" s="25"/>
      <c r="BB1208" s="25"/>
      <c r="BC1208" s="25"/>
      <c r="BD1208" s="25"/>
      <c r="BE1208" s="25"/>
      <c r="BF1208" s="25"/>
      <c r="BG1208" s="25"/>
      <c r="BH1208" s="25"/>
      <c r="BI1208" s="25"/>
      <c r="BJ1208" s="25"/>
      <c r="BK1208" s="25"/>
      <c r="BL1208" s="25"/>
      <c r="BM1208" s="25"/>
      <c r="BN1208" s="25"/>
      <c r="BO1208" s="25"/>
      <c r="BP1208" s="25"/>
    </row>
    <row r="1209" spans="5:68" ht="15" customHeight="1" x14ac:dyDescent="0.25">
      <c r="E1209" s="3"/>
      <c r="F1209" s="4"/>
      <c r="G1209" s="5"/>
      <c r="H1209" s="40"/>
      <c r="I1209" s="40"/>
      <c r="J1209" s="7"/>
      <c r="K1209" s="8"/>
      <c r="L1209" s="9"/>
      <c r="M1209" s="10"/>
      <c r="N1209" s="11"/>
      <c r="O1209" s="12"/>
      <c r="P1209" s="13"/>
      <c r="Q1209" s="13"/>
      <c r="R1209" s="14"/>
      <c r="S1209" s="13"/>
      <c r="T1209" s="13"/>
      <c r="U1209" s="32"/>
      <c r="V1209" s="31"/>
      <c r="W1209" s="15"/>
      <c r="X1209" s="15"/>
      <c r="Y1209" s="16"/>
      <c r="Z1209" s="17"/>
      <c r="AA1209" s="16"/>
      <c r="AB1209" s="24"/>
      <c r="AC1209" s="20"/>
      <c r="AD1209" s="21"/>
      <c r="AE1209" s="22"/>
      <c r="AF1209" s="23"/>
      <c r="AG1209" s="24"/>
      <c r="AH1209" s="1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25"/>
      <c r="AY1209" s="25"/>
      <c r="AZ1209" s="25"/>
      <c r="BA1209" s="25"/>
      <c r="BB1209" s="25"/>
      <c r="BC1209" s="25"/>
      <c r="BD1209" s="25"/>
      <c r="BE1209" s="25"/>
      <c r="BF1209" s="25"/>
      <c r="BG1209" s="25"/>
      <c r="BH1209" s="25"/>
      <c r="BI1209" s="25"/>
      <c r="BJ1209" s="25"/>
      <c r="BK1209" s="25"/>
      <c r="BL1209" s="25"/>
      <c r="BM1209" s="25"/>
      <c r="BN1209" s="25"/>
      <c r="BO1209" s="25"/>
      <c r="BP1209" s="25"/>
    </row>
    <row r="1210" spans="5:68" ht="15" customHeight="1" x14ac:dyDescent="0.25">
      <c r="E1210" s="3"/>
      <c r="F1210" s="4"/>
      <c r="G1210" s="5"/>
      <c r="H1210" s="40"/>
      <c r="I1210" s="40"/>
      <c r="J1210" s="7"/>
      <c r="K1210" s="8"/>
      <c r="L1210" s="9"/>
      <c r="M1210" s="10"/>
      <c r="N1210" s="11"/>
      <c r="O1210" s="12"/>
      <c r="P1210" s="13"/>
      <c r="Q1210" s="13"/>
      <c r="R1210" s="14"/>
      <c r="S1210" s="13"/>
      <c r="T1210" s="13"/>
      <c r="U1210" s="32"/>
      <c r="V1210" s="31"/>
      <c r="W1210" s="15"/>
      <c r="X1210" s="15"/>
      <c r="Y1210" s="16"/>
      <c r="Z1210" s="17"/>
      <c r="AA1210" s="16"/>
      <c r="AB1210" s="24"/>
      <c r="AC1210" s="20"/>
      <c r="AD1210" s="21"/>
      <c r="AE1210" s="22"/>
      <c r="AF1210" s="23"/>
      <c r="AG1210" s="24"/>
      <c r="AH1210" s="1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25"/>
      <c r="AY1210" s="25"/>
      <c r="AZ1210" s="25"/>
      <c r="BA1210" s="25"/>
      <c r="BB1210" s="25"/>
      <c r="BC1210" s="25"/>
      <c r="BD1210" s="25"/>
      <c r="BE1210" s="25"/>
      <c r="BF1210" s="25"/>
      <c r="BG1210" s="25"/>
      <c r="BH1210" s="25"/>
      <c r="BI1210" s="25"/>
      <c r="BJ1210" s="25"/>
      <c r="BK1210" s="25"/>
      <c r="BL1210" s="25"/>
      <c r="BM1210" s="25"/>
      <c r="BN1210" s="25"/>
      <c r="BO1210" s="25"/>
      <c r="BP1210" s="25"/>
    </row>
    <row r="1211" spans="5:68" ht="15" customHeight="1" x14ac:dyDescent="0.25">
      <c r="E1211" s="3"/>
      <c r="F1211" s="4"/>
      <c r="G1211" s="5"/>
      <c r="H1211" s="40"/>
      <c r="I1211" s="40"/>
      <c r="J1211" s="7"/>
      <c r="K1211" s="8"/>
      <c r="L1211" s="9"/>
      <c r="M1211" s="10"/>
      <c r="N1211" s="11"/>
      <c r="O1211" s="12"/>
      <c r="P1211" s="13"/>
      <c r="Q1211" s="13"/>
      <c r="R1211" s="14"/>
      <c r="S1211" s="13"/>
      <c r="T1211" s="13"/>
      <c r="U1211" s="32"/>
      <c r="V1211" s="31"/>
      <c r="W1211" s="15"/>
      <c r="X1211" s="15"/>
      <c r="Y1211" s="16"/>
      <c r="Z1211" s="17"/>
      <c r="AA1211" s="16"/>
      <c r="AB1211" s="24"/>
      <c r="AC1211" s="20"/>
      <c r="AD1211" s="21"/>
      <c r="AE1211" s="22"/>
      <c r="AF1211" s="23"/>
      <c r="AG1211" s="24"/>
      <c r="AH1211" s="1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  <c r="AW1211" s="25"/>
      <c r="AX1211" s="25"/>
      <c r="AY1211" s="25"/>
      <c r="AZ1211" s="25"/>
      <c r="BA1211" s="25"/>
      <c r="BB1211" s="25"/>
      <c r="BC1211" s="25"/>
      <c r="BD1211" s="25"/>
      <c r="BE1211" s="25"/>
      <c r="BF1211" s="25"/>
      <c r="BG1211" s="25"/>
      <c r="BH1211" s="25"/>
      <c r="BI1211" s="25"/>
      <c r="BJ1211" s="25"/>
      <c r="BK1211" s="25"/>
      <c r="BL1211" s="25"/>
      <c r="BM1211" s="25"/>
      <c r="BN1211" s="25"/>
      <c r="BO1211" s="25"/>
      <c r="BP1211" s="25"/>
    </row>
    <row r="1212" spans="5:68" ht="15" customHeight="1" x14ac:dyDescent="0.25">
      <c r="E1212" s="3"/>
      <c r="F1212" s="4"/>
      <c r="G1212" s="5"/>
      <c r="H1212" s="40"/>
      <c r="I1212" s="40"/>
      <c r="J1212" s="7"/>
      <c r="K1212" s="8"/>
      <c r="L1212" s="9"/>
      <c r="M1212" s="10"/>
      <c r="N1212" s="11"/>
      <c r="O1212" s="12"/>
      <c r="P1212" s="13"/>
      <c r="Q1212" s="13"/>
      <c r="R1212" s="14"/>
      <c r="S1212" s="13"/>
      <c r="T1212" s="13"/>
      <c r="U1212" s="32"/>
      <c r="V1212" s="31"/>
      <c r="W1212" s="15"/>
      <c r="X1212" s="15"/>
      <c r="Y1212" s="16"/>
      <c r="Z1212" s="17"/>
      <c r="AA1212" s="16"/>
      <c r="AB1212" s="24"/>
      <c r="AC1212" s="20"/>
      <c r="AD1212" s="21"/>
      <c r="AE1212" s="22"/>
      <c r="AF1212" s="23"/>
      <c r="AG1212" s="24"/>
      <c r="AH1212" s="1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25"/>
      <c r="AY1212" s="25"/>
      <c r="AZ1212" s="25"/>
      <c r="BA1212" s="25"/>
      <c r="BB1212" s="25"/>
      <c r="BC1212" s="25"/>
      <c r="BD1212" s="25"/>
      <c r="BE1212" s="25"/>
      <c r="BF1212" s="25"/>
      <c r="BG1212" s="25"/>
      <c r="BH1212" s="25"/>
      <c r="BI1212" s="25"/>
      <c r="BJ1212" s="25"/>
      <c r="BK1212" s="25"/>
      <c r="BL1212" s="25"/>
      <c r="BM1212" s="25"/>
      <c r="BN1212" s="25"/>
      <c r="BO1212" s="25"/>
      <c r="BP1212" s="25"/>
    </row>
    <row r="1213" spans="5:68" ht="15" customHeight="1" x14ac:dyDescent="0.25">
      <c r="E1213" s="28"/>
      <c r="F1213" s="29"/>
      <c r="G1213" s="102"/>
      <c r="H1213" s="6"/>
      <c r="I1213" s="6"/>
      <c r="J1213" s="30"/>
      <c r="K1213" s="8"/>
      <c r="L1213" s="9"/>
      <c r="M1213" s="10"/>
      <c r="N1213" s="11"/>
      <c r="O1213" s="12"/>
      <c r="P1213" s="32"/>
      <c r="Q1213" s="32"/>
      <c r="R1213" s="33"/>
      <c r="S1213" s="32"/>
      <c r="T1213" s="32"/>
      <c r="U1213" s="80"/>
      <c r="V1213" s="31"/>
      <c r="W1213" s="15"/>
      <c r="X1213" s="15"/>
      <c r="Y1213" s="16"/>
      <c r="Z1213" s="17"/>
      <c r="AA1213" s="16"/>
      <c r="AB1213" s="24"/>
      <c r="AC1213" s="20"/>
      <c r="AD1213" s="21"/>
      <c r="AE1213" s="22"/>
      <c r="AF1213" s="23"/>
      <c r="AG1213" s="24"/>
      <c r="AH1213" s="1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  <c r="AW1213" s="25"/>
      <c r="AX1213" s="25"/>
      <c r="AY1213" s="25"/>
      <c r="AZ1213" s="25"/>
      <c r="BA1213" s="25"/>
      <c r="BB1213" s="25"/>
      <c r="BC1213" s="25"/>
      <c r="BD1213" s="25"/>
      <c r="BE1213" s="25"/>
      <c r="BF1213" s="25"/>
      <c r="BG1213" s="25"/>
      <c r="BH1213" s="25"/>
      <c r="BI1213" s="25"/>
      <c r="BJ1213" s="25"/>
      <c r="BK1213" s="25"/>
      <c r="BL1213" s="25"/>
      <c r="BM1213" s="25"/>
      <c r="BN1213" s="25"/>
      <c r="BO1213" s="25"/>
      <c r="BP1213" s="25"/>
    </row>
    <row r="1214" spans="5:68" ht="15" customHeight="1" x14ac:dyDescent="0.25">
      <c r="E1214" s="28"/>
      <c r="F1214" s="29"/>
      <c r="G1214" s="102"/>
      <c r="H1214" s="6"/>
      <c r="I1214" s="6"/>
      <c r="J1214" s="30"/>
      <c r="K1214" s="8"/>
      <c r="L1214" s="9"/>
      <c r="M1214" s="10"/>
      <c r="N1214" s="11"/>
      <c r="O1214" s="12"/>
      <c r="P1214" s="32"/>
      <c r="Q1214" s="32"/>
      <c r="R1214" s="33"/>
      <c r="S1214" s="32"/>
      <c r="T1214" s="32"/>
      <c r="U1214" s="80"/>
      <c r="V1214" s="31"/>
      <c r="W1214" s="15"/>
      <c r="X1214" s="15"/>
      <c r="Y1214" s="16"/>
      <c r="Z1214" s="17"/>
      <c r="AA1214" s="16"/>
      <c r="AB1214" s="24"/>
      <c r="AC1214" s="20"/>
      <c r="AD1214" s="21"/>
      <c r="AE1214" s="22"/>
      <c r="AF1214" s="23"/>
      <c r="AG1214" s="24"/>
      <c r="AH1214" s="1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25"/>
      <c r="AY1214" s="25"/>
      <c r="AZ1214" s="25"/>
      <c r="BA1214" s="25"/>
      <c r="BB1214" s="25"/>
      <c r="BC1214" s="25"/>
      <c r="BD1214" s="25"/>
      <c r="BE1214" s="25"/>
      <c r="BF1214" s="25"/>
      <c r="BG1214" s="25"/>
      <c r="BH1214" s="25"/>
      <c r="BI1214" s="25"/>
      <c r="BJ1214" s="25"/>
      <c r="BK1214" s="25"/>
      <c r="BL1214" s="25"/>
      <c r="BM1214" s="25"/>
      <c r="BN1214" s="25"/>
      <c r="BO1214" s="25"/>
      <c r="BP1214" s="25"/>
    </row>
    <row r="1215" spans="5:68" ht="15" customHeight="1" x14ac:dyDescent="0.25">
      <c r="E1215" s="3"/>
      <c r="F1215" s="4"/>
      <c r="G1215" s="39"/>
      <c r="H1215" s="40"/>
      <c r="I1215" s="40"/>
      <c r="J1215" s="7"/>
      <c r="K1215" s="8"/>
      <c r="L1215" s="9"/>
      <c r="M1215" s="10"/>
      <c r="N1215" s="11"/>
      <c r="O1215" s="12"/>
      <c r="P1215" s="13"/>
      <c r="Q1215" s="13"/>
      <c r="R1215" s="14"/>
      <c r="S1215" s="13"/>
      <c r="T1215" s="13"/>
      <c r="U1215" s="32"/>
      <c r="V1215" s="31"/>
      <c r="W1215" s="15"/>
      <c r="X1215" s="15"/>
      <c r="Y1215" s="16"/>
      <c r="Z1215" s="17"/>
      <c r="AA1215" s="16"/>
      <c r="AB1215" s="24"/>
      <c r="AC1215" s="20"/>
      <c r="AD1215" s="21"/>
      <c r="AE1215" s="22"/>
      <c r="AF1215" s="23"/>
      <c r="AG1215" s="24"/>
      <c r="AH1215" s="1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  <c r="AW1215" s="25"/>
      <c r="AX1215" s="25"/>
      <c r="AY1215" s="25"/>
      <c r="AZ1215" s="25"/>
      <c r="BA1215" s="25"/>
      <c r="BB1215" s="25"/>
      <c r="BC1215" s="25"/>
      <c r="BD1215" s="25"/>
      <c r="BE1215" s="25"/>
      <c r="BF1215" s="25"/>
      <c r="BG1215" s="25"/>
      <c r="BH1215" s="25"/>
      <c r="BI1215" s="25"/>
      <c r="BJ1215" s="25"/>
      <c r="BK1215" s="25"/>
      <c r="BL1215" s="25"/>
      <c r="BM1215" s="25"/>
      <c r="BN1215" s="25"/>
      <c r="BO1215" s="25"/>
      <c r="BP1215" s="25"/>
    </row>
    <row r="1216" spans="5:68" ht="15" customHeight="1" x14ac:dyDescent="0.25">
      <c r="E1216" s="3"/>
      <c r="F1216" s="4"/>
      <c r="G1216" s="39"/>
      <c r="H1216" s="40"/>
      <c r="I1216" s="40"/>
      <c r="J1216" s="7"/>
      <c r="K1216" s="8"/>
      <c r="L1216" s="9"/>
      <c r="M1216" s="10"/>
      <c r="N1216" s="11"/>
      <c r="O1216" s="12"/>
      <c r="P1216" s="13"/>
      <c r="Q1216" s="13"/>
      <c r="R1216" s="14"/>
      <c r="S1216" s="13"/>
      <c r="T1216" s="13"/>
      <c r="U1216" s="32"/>
      <c r="V1216" s="31"/>
      <c r="W1216" s="15"/>
      <c r="X1216" s="15"/>
      <c r="Y1216" s="16"/>
      <c r="Z1216" s="17"/>
      <c r="AA1216" s="16"/>
      <c r="AB1216" s="24"/>
      <c r="AC1216" s="20"/>
      <c r="AD1216" s="21"/>
      <c r="AE1216" s="22"/>
      <c r="AF1216" s="23"/>
      <c r="AG1216" s="24"/>
      <c r="AH1216" s="1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25"/>
      <c r="AY1216" s="25"/>
      <c r="AZ1216" s="25"/>
      <c r="BA1216" s="25"/>
      <c r="BB1216" s="25"/>
      <c r="BC1216" s="25"/>
      <c r="BD1216" s="25"/>
      <c r="BE1216" s="25"/>
      <c r="BF1216" s="25"/>
      <c r="BG1216" s="25"/>
      <c r="BH1216" s="25"/>
      <c r="BI1216" s="25"/>
      <c r="BJ1216" s="25"/>
      <c r="BK1216" s="25"/>
      <c r="BL1216" s="25"/>
      <c r="BM1216" s="25"/>
      <c r="BN1216" s="25"/>
      <c r="BO1216" s="25"/>
      <c r="BP1216" s="25"/>
    </row>
    <row r="1217" spans="5:68" ht="15" customHeight="1" x14ac:dyDescent="0.25">
      <c r="E1217" s="28"/>
      <c r="F1217" s="29"/>
      <c r="G1217" s="39"/>
      <c r="H1217" s="6"/>
      <c r="I1217" s="6"/>
      <c r="J1217" s="30"/>
      <c r="K1217" s="8"/>
      <c r="L1217" s="9"/>
      <c r="M1217" s="10"/>
      <c r="N1217" s="11"/>
      <c r="O1217" s="12"/>
      <c r="P1217" s="13"/>
      <c r="Q1217" s="13"/>
      <c r="R1217" s="14"/>
      <c r="S1217" s="13"/>
      <c r="T1217" s="13"/>
      <c r="U1217" s="32"/>
      <c r="V1217" s="31"/>
      <c r="W1217" s="15"/>
      <c r="X1217" s="15"/>
      <c r="Y1217" s="16"/>
      <c r="Z1217" s="17"/>
      <c r="AA1217" s="16"/>
      <c r="AB1217" s="24"/>
      <c r="AC1217" s="20"/>
      <c r="AD1217" s="21"/>
      <c r="AE1217" s="22"/>
      <c r="AF1217" s="23"/>
      <c r="AG1217" s="24"/>
      <c r="AH1217" s="1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  <c r="AW1217" s="25"/>
      <c r="AX1217" s="25"/>
      <c r="AY1217" s="25"/>
      <c r="AZ1217" s="25"/>
      <c r="BA1217" s="25"/>
      <c r="BB1217" s="25"/>
      <c r="BC1217" s="25"/>
      <c r="BD1217" s="25"/>
      <c r="BE1217" s="25"/>
      <c r="BF1217" s="25"/>
      <c r="BG1217" s="25"/>
      <c r="BH1217" s="25"/>
      <c r="BI1217" s="25"/>
      <c r="BJ1217" s="25"/>
      <c r="BK1217" s="25"/>
      <c r="BL1217" s="25"/>
      <c r="BM1217" s="25"/>
      <c r="BN1217" s="25"/>
      <c r="BO1217" s="25"/>
      <c r="BP1217" s="25"/>
    </row>
    <row r="1218" spans="5:68" ht="15" customHeight="1" x14ac:dyDescent="0.25">
      <c r="E1218" s="28"/>
      <c r="F1218" s="29"/>
      <c r="G1218" s="39"/>
      <c r="H1218" s="6"/>
      <c r="I1218" s="6"/>
      <c r="J1218" s="30"/>
      <c r="K1218" s="8"/>
      <c r="L1218" s="9"/>
      <c r="M1218" s="10"/>
      <c r="N1218" s="11"/>
      <c r="O1218" s="12"/>
      <c r="P1218" s="13"/>
      <c r="Q1218" s="13"/>
      <c r="R1218" s="14"/>
      <c r="S1218" s="13"/>
      <c r="T1218" s="13"/>
      <c r="U1218" s="32"/>
      <c r="V1218" s="31"/>
      <c r="W1218" s="15"/>
      <c r="X1218" s="15"/>
      <c r="Y1218" s="16"/>
      <c r="Z1218" s="17"/>
      <c r="AA1218" s="16"/>
      <c r="AB1218" s="24"/>
      <c r="AC1218" s="20"/>
      <c r="AD1218" s="21"/>
      <c r="AE1218" s="22"/>
      <c r="AF1218" s="23"/>
      <c r="AG1218" s="24"/>
      <c r="AH1218" s="1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  <c r="AY1218" s="25"/>
      <c r="AZ1218" s="25"/>
      <c r="BA1218" s="25"/>
      <c r="BB1218" s="25"/>
      <c r="BC1218" s="25"/>
      <c r="BD1218" s="25"/>
      <c r="BE1218" s="25"/>
      <c r="BF1218" s="25"/>
      <c r="BG1218" s="25"/>
      <c r="BH1218" s="25"/>
      <c r="BI1218" s="25"/>
      <c r="BJ1218" s="25"/>
      <c r="BK1218" s="25"/>
      <c r="BL1218" s="25"/>
      <c r="BM1218" s="25"/>
      <c r="BN1218" s="25"/>
      <c r="BO1218" s="25"/>
      <c r="BP1218" s="25"/>
    </row>
    <row r="1219" spans="5:68" ht="15" customHeight="1" x14ac:dyDescent="0.25">
      <c r="E1219" s="28"/>
      <c r="F1219" s="29"/>
      <c r="G1219" s="39"/>
      <c r="H1219" s="6"/>
      <c r="I1219" s="6"/>
      <c r="J1219" s="30"/>
      <c r="K1219" s="8"/>
      <c r="L1219" s="9"/>
      <c r="M1219" s="10"/>
      <c r="N1219" s="11"/>
      <c r="O1219" s="12"/>
      <c r="P1219" s="13"/>
      <c r="Q1219" s="13"/>
      <c r="R1219" s="14"/>
      <c r="S1219" s="13"/>
      <c r="T1219" s="13"/>
      <c r="U1219" s="32"/>
      <c r="V1219" s="31"/>
      <c r="W1219" s="15"/>
      <c r="X1219" s="15"/>
      <c r="Y1219" s="16"/>
      <c r="Z1219" s="17"/>
      <c r="AA1219" s="16"/>
      <c r="AB1219" s="24"/>
      <c r="AC1219" s="20"/>
      <c r="AD1219" s="21"/>
      <c r="AE1219" s="22"/>
      <c r="AF1219" s="23"/>
      <c r="AG1219" s="24"/>
      <c r="AH1219" s="1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25"/>
      <c r="AY1219" s="25"/>
      <c r="AZ1219" s="25"/>
      <c r="BA1219" s="25"/>
      <c r="BB1219" s="25"/>
      <c r="BC1219" s="25"/>
      <c r="BD1219" s="25"/>
      <c r="BE1219" s="25"/>
      <c r="BF1219" s="25"/>
      <c r="BG1219" s="25"/>
      <c r="BH1219" s="25"/>
      <c r="BI1219" s="25"/>
      <c r="BJ1219" s="25"/>
      <c r="BK1219" s="25"/>
      <c r="BL1219" s="25"/>
      <c r="BM1219" s="25"/>
      <c r="BN1219" s="25"/>
      <c r="BO1219" s="25"/>
      <c r="BP1219" s="25"/>
    </row>
    <row r="1220" spans="5:68" ht="15" customHeight="1" x14ac:dyDescent="0.25">
      <c r="E1220" s="28"/>
      <c r="F1220" s="29"/>
      <c r="G1220" s="39"/>
      <c r="H1220" s="6"/>
      <c r="I1220" s="6"/>
      <c r="J1220" s="30"/>
      <c r="K1220" s="8"/>
      <c r="L1220" s="9"/>
      <c r="M1220" s="10"/>
      <c r="N1220" s="11"/>
      <c r="O1220" s="12"/>
      <c r="P1220" s="13"/>
      <c r="Q1220" s="13"/>
      <c r="R1220" s="14"/>
      <c r="S1220" s="13"/>
      <c r="T1220" s="13"/>
      <c r="U1220" s="32"/>
      <c r="V1220" s="31"/>
      <c r="W1220" s="15"/>
      <c r="X1220" s="15"/>
      <c r="Y1220" s="16"/>
      <c r="Z1220" s="17"/>
      <c r="AA1220" s="16"/>
      <c r="AB1220" s="24"/>
      <c r="AC1220" s="20"/>
      <c r="AD1220" s="21"/>
      <c r="AE1220" s="22"/>
      <c r="AF1220" s="23"/>
      <c r="AG1220" s="24"/>
      <c r="AH1220" s="1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  <c r="AY1220" s="25"/>
      <c r="AZ1220" s="25"/>
      <c r="BA1220" s="25"/>
      <c r="BB1220" s="25"/>
      <c r="BC1220" s="25"/>
      <c r="BD1220" s="25"/>
      <c r="BE1220" s="25"/>
      <c r="BF1220" s="25"/>
      <c r="BG1220" s="25"/>
      <c r="BH1220" s="25"/>
      <c r="BI1220" s="25"/>
      <c r="BJ1220" s="25"/>
      <c r="BK1220" s="25"/>
      <c r="BL1220" s="25"/>
      <c r="BM1220" s="25"/>
      <c r="BN1220" s="25"/>
      <c r="BO1220" s="25"/>
      <c r="BP1220" s="25"/>
    </row>
    <row r="1221" spans="5:68" ht="15" customHeight="1" x14ac:dyDescent="0.25">
      <c r="E1221" s="3"/>
      <c r="F1221" s="4"/>
      <c r="G1221" s="39"/>
      <c r="H1221" s="40"/>
      <c r="I1221" s="40"/>
      <c r="J1221" s="7"/>
      <c r="K1221" s="8"/>
      <c r="L1221" s="9"/>
      <c r="M1221" s="10"/>
      <c r="N1221" s="11"/>
      <c r="O1221" s="12"/>
      <c r="P1221" s="32"/>
      <c r="Q1221" s="81"/>
      <c r="R1221" s="82"/>
      <c r="S1221" s="80"/>
      <c r="T1221" s="32"/>
      <c r="U1221" s="32"/>
      <c r="V1221" s="74"/>
      <c r="W1221" s="15"/>
      <c r="X1221" s="15"/>
      <c r="Y1221" s="16"/>
      <c r="Z1221" s="17"/>
      <c r="AA1221" s="16"/>
      <c r="AB1221" s="99"/>
      <c r="AC1221" s="20"/>
      <c r="AD1221" s="21"/>
      <c r="AE1221" s="22"/>
      <c r="AF1221" s="23"/>
      <c r="AG1221" s="24"/>
      <c r="AH1221" s="1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25"/>
      <c r="AY1221" s="25"/>
      <c r="AZ1221" s="25"/>
      <c r="BA1221" s="25"/>
      <c r="BB1221" s="25"/>
      <c r="BC1221" s="25"/>
      <c r="BD1221" s="25"/>
      <c r="BE1221" s="25"/>
      <c r="BF1221" s="25"/>
      <c r="BG1221" s="25"/>
      <c r="BH1221" s="25"/>
      <c r="BI1221" s="25"/>
      <c r="BJ1221" s="25"/>
      <c r="BK1221" s="25"/>
      <c r="BL1221" s="25"/>
      <c r="BM1221" s="25"/>
      <c r="BN1221" s="25"/>
      <c r="BO1221" s="25"/>
      <c r="BP1221" s="25"/>
    </row>
    <row r="1222" spans="5:68" ht="15" customHeight="1" x14ac:dyDescent="0.25">
      <c r="E1222" s="3"/>
      <c r="F1222" s="4"/>
      <c r="G1222" s="39"/>
      <c r="H1222" s="40"/>
      <c r="I1222" s="40"/>
      <c r="J1222" s="7"/>
      <c r="K1222" s="8"/>
      <c r="L1222" s="9"/>
      <c r="M1222" s="10"/>
      <c r="N1222" s="11"/>
      <c r="O1222" s="12"/>
      <c r="P1222" s="32"/>
      <c r="Q1222" s="81"/>
      <c r="R1222" s="82"/>
      <c r="S1222" s="80"/>
      <c r="T1222" s="32"/>
      <c r="U1222" s="32"/>
      <c r="V1222" s="74"/>
      <c r="W1222" s="15"/>
      <c r="X1222" s="15"/>
      <c r="Y1222" s="16"/>
      <c r="Z1222" s="17"/>
      <c r="AA1222" s="16"/>
      <c r="AB1222" s="99"/>
      <c r="AC1222" s="20"/>
      <c r="AD1222" s="21"/>
      <c r="AE1222" s="22"/>
      <c r="AF1222" s="23"/>
      <c r="AG1222" s="24"/>
      <c r="AH1222" s="1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  <c r="AY1222" s="25"/>
      <c r="AZ1222" s="25"/>
      <c r="BA1222" s="25"/>
      <c r="BB1222" s="25"/>
      <c r="BC1222" s="25"/>
      <c r="BD1222" s="25"/>
      <c r="BE1222" s="25"/>
      <c r="BF1222" s="25"/>
      <c r="BG1222" s="25"/>
      <c r="BH1222" s="25"/>
      <c r="BI1222" s="25"/>
      <c r="BJ1222" s="25"/>
      <c r="BK1222" s="25"/>
      <c r="BL1222" s="25"/>
      <c r="BM1222" s="25"/>
      <c r="BN1222" s="25"/>
      <c r="BO1222" s="25"/>
      <c r="BP1222" s="25"/>
    </row>
    <row r="1223" spans="5:68" ht="15" customHeight="1" x14ac:dyDescent="0.25">
      <c r="E1223" s="3"/>
      <c r="F1223" s="4"/>
      <c r="G1223" s="39"/>
      <c r="H1223" s="40"/>
      <c r="I1223" s="40"/>
      <c r="J1223" s="7"/>
      <c r="K1223" s="8"/>
      <c r="L1223" s="9"/>
      <c r="M1223" s="10"/>
      <c r="N1223" s="11"/>
      <c r="O1223" s="12"/>
      <c r="P1223" s="32"/>
      <c r="Q1223" s="81"/>
      <c r="R1223" s="82"/>
      <c r="S1223" s="80"/>
      <c r="T1223" s="32"/>
      <c r="U1223" s="32"/>
      <c r="V1223" s="74"/>
      <c r="W1223" s="15"/>
      <c r="X1223" s="15"/>
      <c r="Y1223" s="16"/>
      <c r="Z1223" s="17"/>
      <c r="AA1223" s="16"/>
      <c r="AB1223" s="99"/>
      <c r="AC1223" s="20"/>
      <c r="AD1223" s="21"/>
      <c r="AE1223" s="22"/>
      <c r="AF1223" s="23"/>
      <c r="AG1223" s="24"/>
      <c r="AH1223" s="1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25"/>
      <c r="AY1223" s="25"/>
      <c r="AZ1223" s="25"/>
      <c r="BA1223" s="25"/>
      <c r="BB1223" s="25"/>
      <c r="BC1223" s="25"/>
      <c r="BD1223" s="25"/>
      <c r="BE1223" s="25"/>
      <c r="BF1223" s="25"/>
      <c r="BG1223" s="25"/>
      <c r="BH1223" s="25"/>
      <c r="BI1223" s="25"/>
      <c r="BJ1223" s="25"/>
      <c r="BK1223" s="25"/>
      <c r="BL1223" s="25"/>
      <c r="BM1223" s="25"/>
      <c r="BN1223" s="25"/>
      <c r="BO1223" s="25"/>
      <c r="BP1223" s="25"/>
    </row>
    <row r="1224" spans="5:68" ht="15" customHeight="1" x14ac:dyDescent="0.25">
      <c r="E1224" s="3"/>
      <c r="F1224" s="4"/>
      <c r="G1224" s="39"/>
      <c r="H1224" s="40"/>
      <c r="I1224" s="40"/>
      <c r="J1224" s="7"/>
      <c r="K1224" s="8"/>
      <c r="L1224" s="9"/>
      <c r="M1224" s="10"/>
      <c r="N1224" s="11"/>
      <c r="O1224" s="12"/>
      <c r="P1224" s="32"/>
      <c r="Q1224" s="81"/>
      <c r="R1224" s="82"/>
      <c r="S1224" s="80"/>
      <c r="T1224" s="32"/>
      <c r="U1224" s="32"/>
      <c r="V1224" s="74"/>
      <c r="W1224" s="15"/>
      <c r="X1224" s="15"/>
      <c r="Y1224" s="16"/>
      <c r="Z1224" s="17"/>
      <c r="AA1224" s="16"/>
      <c r="AB1224" s="99"/>
      <c r="AC1224" s="20"/>
      <c r="AD1224" s="21"/>
      <c r="AE1224" s="22"/>
      <c r="AF1224" s="23"/>
      <c r="AG1224" s="24"/>
      <c r="AH1224" s="1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  <c r="AY1224" s="25"/>
      <c r="AZ1224" s="25"/>
      <c r="BA1224" s="25"/>
      <c r="BB1224" s="25"/>
      <c r="BC1224" s="25"/>
      <c r="BD1224" s="25"/>
      <c r="BE1224" s="25"/>
      <c r="BF1224" s="25"/>
      <c r="BG1224" s="25"/>
      <c r="BH1224" s="25"/>
      <c r="BI1224" s="25"/>
      <c r="BJ1224" s="25"/>
      <c r="BK1224" s="25"/>
      <c r="BL1224" s="25"/>
      <c r="BM1224" s="25"/>
      <c r="BN1224" s="25"/>
      <c r="BO1224" s="25"/>
      <c r="BP1224" s="25"/>
    </row>
    <row r="1225" spans="5:68" ht="15" customHeight="1" x14ac:dyDescent="0.25">
      <c r="E1225" s="3"/>
      <c r="F1225" s="4"/>
      <c r="G1225" s="39"/>
      <c r="H1225" s="40"/>
      <c r="I1225" s="40"/>
      <c r="J1225" s="7"/>
      <c r="K1225" s="8"/>
      <c r="L1225" s="9"/>
      <c r="M1225" s="10"/>
      <c r="N1225" s="11"/>
      <c r="O1225" s="12"/>
      <c r="P1225" s="32"/>
      <c r="Q1225" s="81"/>
      <c r="R1225" s="82"/>
      <c r="S1225" s="80"/>
      <c r="T1225" s="32"/>
      <c r="U1225" s="32"/>
      <c r="V1225" s="74"/>
      <c r="W1225" s="15"/>
      <c r="X1225" s="15"/>
      <c r="Y1225" s="16"/>
      <c r="Z1225" s="17"/>
      <c r="AA1225" s="16"/>
      <c r="AB1225" s="99"/>
      <c r="AC1225" s="20"/>
      <c r="AD1225" s="21"/>
      <c r="AE1225" s="22"/>
      <c r="AF1225" s="23"/>
      <c r="AG1225" s="24"/>
      <c r="AH1225" s="1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  <c r="AY1225" s="25"/>
      <c r="AZ1225" s="25"/>
      <c r="BA1225" s="25"/>
      <c r="BB1225" s="25"/>
      <c r="BC1225" s="25"/>
      <c r="BD1225" s="25"/>
      <c r="BE1225" s="25"/>
      <c r="BF1225" s="25"/>
      <c r="BG1225" s="25"/>
      <c r="BH1225" s="25"/>
      <c r="BI1225" s="25"/>
      <c r="BJ1225" s="25"/>
      <c r="BK1225" s="25"/>
      <c r="BL1225" s="25"/>
      <c r="BM1225" s="25"/>
      <c r="BN1225" s="25"/>
      <c r="BO1225" s="25"/>
      <c r="BP1225" s="25"/>
    </row>
    <row r="1226" spans="5:68" ht="15" customHeight="1" x14ac:dyDescent="0.25">
      <c r="E1226" s="3"/>
      <c r="F1226" s="4"/>
      <c r="G1226" s="39"/>
      <c r="H1226" s="40"/>
      <c r="I1226" s="40"/>
      <c r="J1226" s="7"/>
      <c r="K1226" s="8"/>
      <c r="L1226" s="9"/>
      <c r="M1226" s="10"/>
      <c r="N1226" s="11"/>
      <c r="O1226" s="12"/>
      <c r="P1226" s="32"/>
      <c r="Q1226" s="81"/>
      <c r="R1226" s="82"/>
      <c r="S1226" s="80"/>
      <c r="T1226" s="32"/>
      <c r="U1226" s="32"/>
      <c r="V1226" s="74"/>
      <c r="W1226" s="15"/>
      <c r="X1226" s="15"/>
      <c r="Y1226" s="16"/>
      <c r="Z1226" s="17"/>
      <c r="AA1226" s="16"/>
      <c r="AB1226" s="99"/>
      <c r="AC1226" s="20"/>
      <c r="AD1226" s="21"/>
      <c r="AE1226" s="22"/>
      <c r="AF1226" s="23"/>
      <c r="AG1226" s="24"/>
      <c r="AH1226" s="1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  <c r="AZ1226" s="25"/>
      <c r="BA1226" s="25"/>
      <c r="BB1226" s="25"/>
      <c r="BC1226" s="25"/>
      <c r="BD1226" s="25"/>
      <c r="BE1226" s="25"/>
      <c r="BF1226" s="25"/>
      <c r="BG1226" s="25"/>
      <c r="BH1226" s="25"/>
      <c r="BI1226" s="25"/>
      <c r="BJ1226" s="25"/>
      <c r="BK1226" s="25"/>
      <c r="BL1226" s="25"/>
      <c r="BM1226" s="25"/>
      <c r="BN1226" s="25"/>
      <c r="BO1226" s="25"/>
      <c r="BP1226" s="25"/>
    </row>
    <row r="1227" spans="5:68" ht="15" customHeight="1" x14ac:dyDescent="0.25">
      <c r="E1227" s="3"/>
      <c r="F1227" s="4"/>
      <c r="G1227" s="39"/>
      <c r="H1227" s="40"/>
      <c r="I1227" s="40"/>
      <c r="J1227" s="7"/>
      <c r="K1227" s="8"/>
      <c r="L1227" s="9"/>
      <c r="M1227" s="10"/>
      <c r="N1227" s="11"/>
      <c r="O1227" s="12"/>
      <c r="P1227" s="32"/>
      <c r="Q1227" s="81"/>
      <c r="R1227" s="82"/>
      <c r="S1227" s="80"/>
      <c r="T1227" s="32"/>
      <c r="U1227" s="32"/>
      <c r="V1227" s="74"/>
      <c r="W1227" s="15"/>
      <c r="X1227" s="15"/>
      <c r="Y1227" s="16"/>
      <c r="Z1227" s="17"/>
      <c r="AA1227" s="16"/>
      <c r="AB1227" s="99"/>
      <c r="AC1227" s="20"/>
      <c r="AD1227" s="21"/>
      <c r="AE1227" s="22"/>
      <c r="AF1227" s="23"/>
      <c r="AG1227" s="24"/>
      <c r="AH1227" s="1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  <c r="AY1227" s="25"/>
      <c r="AZ1227" s="25"/>
      <c r="BA1227" s="25"/>
      <c r="BB1227" s="25"/>
      <c r="BC1227" s="25"/>
      <c r="BD1227" s="25"/>
      <c r="BE1227" s="25"/>
      <c r="BF1227" s="25"/>
      <c r="BG1227" s="25"/>
      <c r="BH1227" s="25"/>
      <c r="BI1227" s="25"/>
      <c r="BJ1227" s="25"/>
      <c r="BK1227" s="25"/>
      <c r="BL1227" s="25"/>
      <c r="BM1227" s="25"/>
      <c r="BN1227" s="25"/>
      <c r="BO1227" s="25"/>
      <c r="BP1227" s="25"/>
    </row>
    <row r="1228" spans="5:68" ht="15" customHeight="1" x14ac:dyDescent="0.25">
      <c r="E1228" s="3"/>
      <c r="F1228" s="4"/>
      <c r="G1228" s="39"/>
      <c r="H1228" s="40"/>
      <c r="I1228" s="40"/>
      <c r="J1228" s="7"/>
      <c r="K1228" s="8"/>
      <c r="L1228" s="9"/>
      <c r="M1228" s="10"/>
      <c r="N1228" s="11"/>
      <c r="O1228" s="12"/>
      <c r="P1228" s="32"/>
      <c r="Q1228" s="81"/>
      <c r="R1228" s="82"/>
      <c r="S1228" s="80"/>
      <c r="T1228" s="32"/>
      <c r="U1228" s="32"/>
      <c r="V1228" s="74"/>
      <c r="W1228" s="15"/>
      <c r="X1228" s="15"/>
      <c r="Y1228" s="16"/>
      <c r="Z1228" s="17"/>
      <c r="AA1228" s="16"/>
      <c r="AB1228" s="99"/>
      <c r="AC1228" s="20"/>
      <c r="AD1228" s="21"/>
      <c r="AE1228" s="22"/>
      <c r="AF1228" s="23"/>
      <c r="AG1228" s="24"/>
      <c r="AH1228" s="1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  <c r="AZ1228" s="25"/>
      <c r="BA1228" s="25"/>
      <c r="BB1228" s="25"/>
      <c r="BC1228" s="25"/>
      <c r="BD1228" s="25"/>
      <c r="BE1228" s="25"/>
      <c r="BF1228" s="25"/>
      <c r="BG1228" s="25"/>
      <c r="BH1228" s="25"/>
      <c r="BI1228" s="25"/>
      <c r="BJ1228" s="25"/>
      <c r="BK1228" s="25"/>
      <c r="BL1228" s="25"/>
      <c r="BM1228" s="25"/>
      <c r="BN1228" s="25"/>
      <c r="BO1228" s="25"/>
      <c r="BP1228" s="25"/>
    </row>
    <row r="1229" spans="5:68" ht="15" customHeight="1" x14ac:dyDescent="0.25">
      <c r="E1229" s="3"/>
      <c r="F1229" s="4"/>
      <c r="G1229" s="39"/>
      <c r="H1229" s="40"/>
      <c r="I1229" s="40"/>
      <c r="J1229" s="7"/>
      <c r="K1229" s="8"/>
      <c r="L1229" s="9"/>
      <c r="M1229" s="10"/>
      <c r="N1229" s="11"/>
      <c r="O1229" s="12"/>
      <c r="P1229" s="32"/>
      <c r="Q1229" s="81"/>
      <c r="R1229" s="82"/>
      <c r="S1229" s="80"/>
      <c r="T1229" s="32"/>
      <c r="U1229" s="32"/>
      <c r="V1229" s="74"/>
      <c r="W1229" s="15"/>
      <c r="X1229" s="15"/>
      <c r="Y1229" s="16"/>
      <c r="Z1229" s="17"/>
      <c r="AA1229" s="16"/>
      <c r="AB1229" s="99"/>
      <c r="AC1229" s="20"/>
      <c r="AD1229" s="21"/>
      <c r="AE1229" s="22"/>
      <c r="AF1229" s="23"/>
      <c r="AG1229" s="24"/>
      <c r="AH1229" s="1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  <c r="AW1229" s="25"/>
      <c r="AX1229" s="25"/>
      <c r="AY1229" s="25"/>
      <c r="AZ1229" s="25"/>
      <c r="BA1229" s="25"/>
      <c r="BB1229" s="25"/>
      <c r="BC1229" s="25"/>
      <c r="BD1229" s="25"/>
      <c r="BE1229" s="25"/>
      <c r="BF1229" s="25"/>
      <c r="BG1229" s="25"/>
      <c r="BH1229" s="25"/>
      <c r="BI1229" s="25"/>
      <c r="BJ1229" s="25"/>
      <c r="BK1229" s="25"/>
      <c r="BL1229" s="25"/>
      <c r="BM1229" s="25"/>
      <c r="BN1229" s="25"/>
      <c r="BO1229" s="25"/>
      <c r="BP1229" s="25"/>
    </row>
    <row r="1230" spans="5:68" ht="15" customHeight="1" x14ac:dyDescent="0.25">
      <c r="E1230" s="3"/>
      <c r="F1230" s="4"/>
      <c r="G1230" s="39"/>
      <c r="H1230" s="40"/>
      <c r="I1230" s="40"/>
      <c r="J1230" s="7"/>
      <c r="K1230" s="8"/>
      <c r="L1230" s="9"/>
      <c r="M1230" s="10"/>
      <c r="N1230" s="11"/>
      <c r="O1230" s="12"/>
      <c r="P1230" s="32"/>
      <c r="Q1230" s="81"/>
      <c r="R1230" s="82"/>
      <c r="S1230" s="80"/>
      <c r="T1230" s="32"/>
      <c r="U1230" s="32"/>
      <c r="V1230" s="74"/>
      <c r="W1230" s="15"/>
      <c r="X1230" s="15"/>
      <c r="Y1230" s="16"/>
      <c r="Z1230" s="17"/>
      <c r="AA1230" s="16"/>
      <c r="AB1230" s="99"/>
      <c r="AC1230" s="20"/>
      <c r="AD1230" s="21"/>
      <c r="AE1230" s="22"/>
      <c r="AF1230" s="23"/>
      <c r="AG1230" s="24"/>
      <c r="AH1230" s="1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25"/>
      <c r="AY1230" s="25"/>
      <c r="AZ1230" s="25"/>
      <c r="BA1230" s="25"/>
      <c r="BB1230" s="25"/>
      <c r="BC1230" s="25"/>
      <c r="BD1230" s="25"/>
      <c r="BE1230" s="25"/>
      <c r="BF1230" s="25"/>
      <c r="BG1230" s="25"/>
      <c r="BH1230" s="25"/>
      <c r="BI1230" s="25"/>
      <c r="BJ1230" s="25"/>
      <c r="BK1230" s="25"/>
      <c r="BL1230" s="25"/>
      <c r="BM1230" s="25"/>
      <c r="BN1230" s="25"/>
      <c r="BO1230" s="25"/>
      <c r="BP1230" s="25"/>
    </row>
    <row r="1231" spans="5:68" ht="15" customHeight="1" x14ac:dyDescent="0.25">
      <c r="E1231" s="3"/>
      <c r="F1231" s="4"/>
      <c r="G1231" s="39"/>
      <c r="H1231" s="40"/>
      <c r="I1231" s="40"/>
      <c r="J1231" s="7"/>
      <c r="K1231" s="8"/>
      <c r="L1231" s="9"/>
      <c r="M1231" s="10"/>
      <c r="N1231" s="11"/>
      <c r="O1231" s="12"/>
      <c r="P1231" s="32"/>
      <c r="Q1231" s="81"/>
      <c r="R1231" s="82"/>
      <c r="S1231" s="80"/>
      <c r="T1231" s="32"/>
      <c r="U1231" s="32"/>
      <c r="V1231" s="74"/>
      <c r="W1231" s="15"/>
      <c r="X1231" s="15"/>
      <c r="Y1231" s="16"/>
      <c r="Z1231" s="17"/>
      <c r="AA1231" s="16"/>
      <c r="AB1231" s="99"/>
      <c r="AC1231" s="20"/>
      <c r="AD1231" s="21"/>
      <c r="AE1231" s="22"/>
      <c r="AF1231" s="23"/>
      <c r="AG1231" s="24"/>
      <c r="AH1231" s="1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  <c r="AW1231" s="25"/>
      <c r="AX1231" s="25"/>
      <c r="AY1231" s="25"/>
      <c r="AZ1231" s="25"/>
      <c r="BA1231" s="25"/>
      <c r="BB1231" s="25"/>
      <c r="BC1231" s="25"/>
      <c r="BD1231" s="25"/>
      <c r="BE1231" s="25"/>
      <c r="BF1231" s="25"/>
      <c r="BG1231" s="25"/>
      <c r="BH1231" s="25"/>
      <c r="BI1231" s="25"/>
      <c r="BJ1231" s="25"/>
      <c r="BK1231" s="25"/>
      <c r="BL1231" s="25"/>
      <c r="BM1231" s="25"/>
      <c r="BN1231" s="25"/>
      <c r="BO1231" s="25"/>
      <c r="BP1231" s="25"/>
    </row>
    <row r="1232" spans="5:68" ht="15" customHeight="1" x14ac:dyDescent="0.25">
      <c r="E1232" s="3"/>
      <c r="F1232" s="4"/>
      <c r="G1232" s="39"/>
      <c r="H1232" s="40"/>
      <c r="I1232" s="40"/>
      <c r="J1232" s="7"/>
      <c r="K1232" s="8"/>
      <c r="L1232" s="9"/>
      <c r="M1232" s="10"/>
      <c r="N1232" s="11"/>
      <c r="O1232" s="12"/>
      <c r="P1232" s="32"/>
      <c r="Q1232" s="81"/>
      <c r="R1232" s="82"/>
      <c r="S1232" s="80"/>
      <c r="T1232" s="32"/>
      <c r="U1232" s="32"/>
      <c r="V1232" s="74"/>
      <c r="W1232" s="15"/>
      <c r="X1232" s="15"/>
      <c r="Y1232" s="16"/>
      <c r="Z1232" s="17"/>
      <c r="AA1232" s="16"/>
      <c r="AB1232" s="99"/>
      <c r="AC1232" s="20"/>
      <c r="AD1232" s="21"/>
      <c r="AE1232" s="22"/>
      <c r="AF1232" s="23"/>
      <c r="AG1232" s="24"/>
      <c r="AH1232" s="1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25"/>
      <c r="AY1232" s="25"/>
      <c r="AZ1232" s="25"/>
      <c r="BA1232" s="25"/>
      <c r="BB1232" s="25"/>
      <c r="BC1232" s="25"/>
      <c r="BD1232" s="25"/>
      <c r="BE1232" s="25"/>
      <c r="BF1232" s="25"/>
      <c r="BG1232" s="25"/>
      <c r="BH1232" s="25"/>
      <c r="BI1232" s="25"/>
      <c r="BJ1232" s="25"/>
      <c r="BK1232" s="25"/>
      <c r="BL1232" s="25"/>
      <c r="BM1232" s="25"/>
      <c r="BN1232" s="25"/>
      <c r="BO1232" s="25"/>
      <c r="BP1232" s="25"/>
    </row>
    <row r="1233" spans="5:68" ht="15" customHeight="1" x14ac:dyDescent="0.25">
      <c r="E1233" s="3"/>
      <c r="F1233" s="4"/>
      <c r="G1233" s="39"/>
      <c r="H1233" s="40"/>
      <c r="I1233" s="40"/>
      <c r="J1233" s="7"/>
      <c r="K1233" s="8"/>
      <c r="L1233" s="9"/>
      <c r="M1233" s="10"/>
      <c r="N1233" s="11"/>
      <c r="O1233" s="12"/>
      <c r="P1233" s="32"/>
      <c r="Q1233" s="81"/>
      <c r="R1233" s="82"/>
      <c r="S1233" s="80"/>
      <c r="T1233" s="32"/>
      <c r="U1233" s="32"/>
      <c r="V1233" s="74"/>
      <c r="W1233" s="15"/>
      <c r="X1233" s="15"/>
      <c r="Y1233" s="16"/>
      <c r="Z1233" s="17"/>
      <c r="AA1233" s="16"/>
      <c r="AB1233" s="99"/>
      <c r="AC1233" s="20"/>
      <c r="AD1233" s="21"/>
      <c r="AE1233" s="22"/>
      <c r="AF1233" s="23"/>
      <c r="AG1233" s="24"/>
      <c r="AH1233" s="1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  <c r="AW1233" s="25"/>
      <c r="AX1233" s="25"/>
      <c r="AY1233" s="25"/>
      <c r="AZ1233" s="25"/>
      <c r="BA1233" s="25"/>
      <c r="BB1233" s="25"/>
      <c r="BC1233" s="25"/>
      <c r="BD1233" s="25"/>
      <c r="BE1233" s="25"/>
      <c r="BF1233" s="25"/>
      <c r="BG1233" s="25"/>
      <c r="BH1233" s="25"/>
      <c r="BI1233" s="25"/>
      <c r="BJ1233" s="25"/>
      <c r="BK1233" s="25"/>
      <c r="BL1233" s="25"/>
      <c r="BM1233" s="25"/>
      <c r="BN1233" s="25"/>
      <c r="BO1233" s="25"/>
      <c r="BP1233" s="25"/>
    </row>
    <row r="1234" spans="5:68" ht="15" customHeight="1" x14ac:dyDescent="0.25">
      <c r="E1234" s="131"/>
      <c r="F1234" s="40"/>
      <c r="G1234" s="132"/>
      <c r="H1234" s="40"/>
      <c r="I1234" s="40"/>
      <c r="J1234" s="40"/>
      <c r="K1234" s="8"/>
      <c r="L1234" s="9"/>
      <c r="M1234" s="10"/>
      <c r="N1234" s="11"/>
      <c r="O1234" s="12"/>
      <c r="P1234" s="80"/>
      <c r="Q1234" s="133"/>
      <c r="R1234" s="82"/>
      <c r="S1234" s="80"/>
      <c r="T1234" s="32"/>
      <c r="U1234" s="32"/>
      <c r="V1234" s="74"/>
      <c r="W1234" s="15"/>
      <c r="X1234" s="15"/>
      <c r="Y1234" s="16"/>
      <c r="Z1234" s="17"/>
      <c r="AA1234" s="16"/>
      <c r="AB1234" s="99"/>
      <c r="AC1234" s="20"/>
      <c r="AD1234" s="21"/>
      <c r="AE1234" s="22"/>
      <c r="AF1234" s="23"/>
      <c r="AG1234" s="24"/>
      <c r="AH1234" s="1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25"/>
      <c r="AY1234" s="25"/>
      <c r="AZ1234" s="25"/>
      <c r="BA1234" s="25"/>
      <c r="BB1234" s="25"/>
      <c r="BC1234" s="25"/>
      <c r="BD1234" s="25"/>
      <c r="BE1234" s="25"/>
      <c r="BF1234" s="25"/>
      <c r="BG1234" s="25"/>
      <c r="BH1234" s="25"/>
      <c r="BI1234" s="25"/>
      <c r="BJ1234" s="25"/>
      <c r="BK1234" s="25"/>
      <c r="BL1234" s="25"/>
      <c r="BM1234" s="25"/>
      <c r="BN1234" s="25"/>
      <c r="BO1234" s="25"/>
      <c r="BP1234" s="25"/>
    </row>
    <row r="1235" spans="5:68" ht="15" customHeight="1" x14ac:dyDescent="0.25">
      <c r="E1235" s="131"/>
      <c r="F1235" s="40"/>
      <c r="G1235" s="132"/>
      <c r="H1235" s="40"/>
      <c r="I1235" s="40"/>
      <c r="J1235" s="40"/>
      <c r="K1235" s="8"/>
      <c r="L1235" s="9"/>
      <c r="M1235" s="10"/>
      <c r="N1235" s="11"/>
      <c r="O1235" s="12"/>
      <c r="P1235" s="80"/>
      <c r="Q1235" s="133"/>
      <c r="R1235" s="82"/>
      <c r="S1235" s="80"/>
      <c r="T1235" s="32"/>
      <c r="U1235" s="32"/>
      <c r="V1235" s="74"/>
      <c r="W1235" s="15"/>
      <c r="X1235" s="15"/>
      <c r="Y1235" s="16"/>
      <c r="Z1235" s="17"/>
      <c r="AA1235" s="16"/>
      <c r="AB1235" s="99"/>
      <c r="AC1235" s="20"/>
      <c r="AD1235" s="21"/>
      <c r="AE1235" s="22"/>
      <c r="AF1235" s="23"/>
      <c r="AG1235" s="24"/>
      <c r="AH1235" s="1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  <c r="AW1235" s="25"/>
      <c r="AX1235" s="25"/>
      <c r="AY1235" s="25"/>
      <c r="AZ1235" s="25"/>
      <c r="BA1235" s="25"/>
      <c r="BB1235" s="25"/>
      <c r="BC1235" s="25"/>
      <c r="BD1235" s="25"/>
      <c r="BE1235" s="25"/>
      <c r="BF1235" s="25"/>
      <c r="BG1235" s="25"/>
      <c r="BH1235" s="25"/>
      <c r="BI1235" s="25"/>
      <c r="BJ1235" s="25"/>
      <c r="BK1235" s="25"/>
      <c r="BL1235" s="25"/>
      <c r="BM1235" s="25"/>
      <c r="BN1235" s="25"/>
      <c r="BO1235" s="25"/>
      <c r="BP1235" s="25"/>
    </row>
    <row r="1236" spans="5:68" ht="15" customHeight="1" x14ac:dyDescent="0.25">
      <c r="E1236" s="131"/>
      <c r="F1236" s="40"/>
      <c r="G1236" s="132"/>
      <c r="H1236" s="40"/>
      <c r="I1236" s="40"/>
      <c r="J1236" s="40"/>
      <c r="K1236" s="8"/>
      <c r="L1236" s="9"/>
      <c r="M1236" s="10"/>
      <c r="N1236" s="11"/>
      <c r="O1236" s="12"/>
      <c r="P1236" s="80"/>
      <c r="Q1236" s="133"/>
      <c r="R1236" s="82"/>
      <c r="S1236" s="80"/>
      <c r="T1236" s="32"/>
      <c r="U1236" s="32"/>
      <c r="V1236" s="74"/>
      <c r="W1236" s="15"/>
      <c r="X1236" s="15"/>
      <c r="Y1236" s="16"/>
      <c r="Z1236" s="17"/>
      <c r="AA1236" s="16"/>
      <c r="AB1236" s="99"/>
      <c r="AC1236" s="20"/>
      <c r="AD1236" s="21"/>
      <c r="AE1236" s="22"/>
      <c r="AF1236" s="23"/>
      <c r="AG1236" s="24"/>
      <c r="AH1236" s="1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25"/>
      <c r="AY1236" s="25"/>
      <c r="AZ1236" s="25"/>
      <c r="BA1236" s="25"/>
      <c r="BB1236" s="25"/>
      <c r="BC1236" s="25"/>
      <c r="BD1236" s="25"/>
      <c r="BE1236" s="25"/>
      <c r="BF1236" s="25"/>
      <c r="BG1236" s="25"/>
      <c r="BH1236" s="25"/>
      <c r="BI1236" s="25"/>
      <c r="BJ1236" s="25"/>
      <c r="BK1236" s="25"/>
      <c r="BL1236" s="25"/>
      <c r="BM1236" s="25"/>
      <c r="BN1236" s="25"/>
      <c r="BO1236" s="25"/>
      <c r="BP1236" s="25"/>
    </row>
    <row r="1237" spans="5:68" ht="15" customHeight="1" x14ac:dyDescent="0.25">
      <c r="E1237" s="3"/>
      <c r="F1237" s="40"/>
      <c r="G1237" s="39"/>
      <c r="H1237" s="40"/>
      <c r="I1237" s="40"/>
      <c r="J1237" s="7"/>
      <c r="K1237" s="8"/>
      <c r="L1237" s="9"/>
      <c r="M1237" s="10"/>
      <c r="N1237" s="11"/>
      <c r="O1237" s="12"/>
      <c r="P1237" s="32"/>
      <c r="Q1237" s="81"/>
      <c r="R1237" s="82"/>
      <c r="S1237" s="80"/>
      <c r="T1237" s="32"/>
      <c r="U1237" s="32"/>
      <c r="V1237" s="74"/>
      <c r="W1237" s="15"/>
      <c r="X1237" s="15"/>
      <c r="Y1237" s="16"/>
      <c r="Z1237" s="17"/>
      <c r="AA1237" s="16"/>
      <c r="AB1237" s="99"/>
      <c r="AC1237" s="20"/>
      <c r="AD1237" s="21"/>
      <c r="AE1237" s="22"/>
      <c r="AF1237" s="23"/>
      <c r="AG1237" s="24"/>
      <c r="AH1237" s="1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  <c r="AW1237" s="25"/>
      <c r="AX1237" s="25"/>
      <c r="AY1237" s="25"/>
      <c r="AZ1237" s="25"/>
      <c r="BA1237" s="25"/>
      <c r="BB1237" s="25"/>
      <c r="BC1237" s="25"/>
      <c r="BD1237" s="25"/>
      <c r="BE1237" s="25"/>
      <c r="BF1237" s="25"/>
      <c r="BG1237" s="25"/>
      <c r="BH1237" s="25"/>
      <c r="BI1237" s="25"/>
      <c r="BJ1237" s="25"/>
      <c r="BK1237" s="25"/>
      <c r="BL1237" s="25"/>
      <c r="BM1237" s="25"/>
      <c r="BN1237" s="25"/>
      <c r="BO1237" s="25"/>
      <c r="BP1237" s="25"/>
    </row>
    <row r="1238" spans="5:68" ht="15" customHeight="1" x14ac:dyDescent="0.25">
      <c r="E1238" s="3"/>
      <c r="F1238" s="40"/>
      <c r="G1238" s="39"/>
      <c r="H1238" s="40"/>
      <c r="I1238" s="40"/>
      <c r="J1238" s="7"/>
      <c r="K1238" s="8"/>
      <c r="L1238" s="9"/>
      <c r="M1238" s="10"/>
      <c r="N1238" s="11"/>
      <c r="O1238" s="12"/>
      <c r="P1238" s="32"/>
      <c r="Q1238" s="81"/>
      <c r="R1238" s="82"/>
      <c r="S1238" s="80"/>
      <c r="T1238" s="32"/>
      <c r="U1238" s="32"/>
      <c r="V1238" s="74"/>
      <c r="W1238" s="15"/>
      <c r="X1238" s="15"/>
      <c r="Y1238" s="16"/>
      <c r="Z1238" s="17"/>
      <c r="AA1238" s="16"/>
      <c r="AB1238" s="99"/>
      <c r="AC1238" s="20"/>
      <c r="AD1238" s="21"/>
      <c r="AE1238" s="22"/>
      <c r="AF1238" s="23"/>
      <c r="AG1238" s="24"/>
      <c r="AH1238" s="1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25"/>
      <c r="AY1238" s="25"/>
      <c r="AZ1238" s="25"/>
      <c r="BA1238" s="25"/>
      <c r="BB1238" s="25"/>
      <c r="BC1238" s="25"/>
      <c r="BD1238" s="25"/>
      <c r="BE1238" s="25"/>
      <c r="BF1238" s="25"/>
      <c r="BG1238" s="25"/>
      <c r="BH1238" s="25"/>
      <c r="BI1238" s="25"/>
      <c r="BJ1238" s="25"/>
      <c r="BK1238" s="25"/>
      <c r="BL1238" s="25"/>
      <c r="BM1238" s="25"/>
      <c r="BN1238" s="25"/>
      <c r="BO1238" s="25"/>
      <c r="BP1238" s="25"/>
    </row>
    <row r="1239" spans="5:68" ht="15" customHeight="1" x14ac:dyDescent="0.25">
      <c r="E1239" s="3"/>
      <c r="F1239" s="4"/>
      <c r="G1239" s="39"/>
      <c r="H1239" s="40"/>
      <c r="I1239" s="40"/>
      <c r="J1239" s="7"/>
      <c r="K1239" s="8"/>
      <c r="L1239" s="9"/>
      <c r="M1239" s="10"/>
      <c r="N1239" s="11"/>
      <c r="O1239" s="12"/>
      <c r="P1239" s="32"/>
      <c r="Q1239" s="81"/>
      <c r="R1239" s="82"/>
      <c r="S1239" s="80"/>
      <c r="T1239" s="32"/>
      <c r="U1239" s="32"/>
      <c r="V1239" s="74"/>
      <c r="W1239" s="15"/>
      <c r="X1239" s="15"/>
      <c r="Y1239" s="16"/>
      <c r="Z1239" s="17"/>
      <c r="AA1239" s="16"/>
      <c r="AB1239" s="99"/>
      <c r="AC1239" s="20"/>
      <c r="AD1239" s="21"/>
      <c r="AE1239" s="22"/>
      <c r="AF1239" s="23"/>
      <c r="AG1239" s="24"/>
      <c r="AH1239" s="1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  <c r="AW1239" s="25"/>
      <c r="AX1239" s="25"/>
      <c r="AY1239" s="25"/>
      <c r="AZ1239" s="25"/>
      <c r="BA1239" s="25"/>
      <c r="BB1239" s="25"/>
      <c r="BC1239" s="25"/>
      <c r="BD1239" s="25"/>
      <c r="BE1239" s="25"/>
      <c r="BF1239" s="25"/>
      <c r="BG1239" s="25"/>
      <c r="BH1239" s="25"/>
      <c r="BI1239" s="25"/>
      <c r="BJ1239" s="25"/>
      <c r="BK1239" s="25"/>
      <c r="BL1239" s="25"/>
      <c r="BM1239" s="25"/>
      <c r="BN1239" s="25"/>
      <c r="BO1239" s="25"/>
      <c r="BP1239" s="25"/>
    </row>
    <row r="1240" spans="5:68" ht="15" customHeight="1" x14ac:dyDescent="0.25">
      <c r="E1240" s="3"/>
      <c r="F1240" s="4"/>
      <c r="G1240" s="39"/>
      <c r="H1240" s="40"/>
      <c r="I1240" s="40"/>
      <c r="J1240" s="7"/>
      <c r="K1240" s="8"/>
      <c r="L1240" s="9"/>
      <c r="M1240" s="10"/>
      <c r="N1240" s="11"/>
      <c r="O1240" s="12"/>
      <c r="P1240" s="32"/>
      <c r="Q1240" s="81"/>
      <c r="R1240" s="82"/>
      <c r="S1240" s="80"/>
      <c r="T1240" s="32"/>
      <c r="U1240" s="32"/>
      <c r="V1240" s="74"/>
      <c r="W1240" s="15"/>
      <c r="X1240" s="15"/>
      <c r="Y1240" s="16"/>
      <c r="Z1240" s="17"/>
      <c r="AA1240" s="16"/>
      <c r="AB1240" s="99"/>
      <c r="AC1240" s="20"/>
      <c r="AD1240" s="21"/>
      <c r="AE1240" s="22"/>
      <c r="AF1240" s="23"/>
      <c r="AG1240" s="24"/>
      <c r="AH1240" s="1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25"/>
      <c r="AY1240" s="25"/>
      <c r="AZ1240" s="25"/>
      <c r="BA1240" s="25"/>
      <c r="BB1240" s="25"/>
      <c r="BC1240" s="25"/>
      <c r="BD1240" s="25"/>
      <c r="BE1240" s="25"/>
      <c r="BF1240" s="25"/>
      <c r="BG1240" s="25"/>
      <c r="BH1240" s="25"/>
      <c r="BI1240" s="25"/>
      <c r="BJ1240" s="25"/>
      <c r="BK1240" s="25"/>
      <c r="BL1240" s="25"/>
      <c r="BM1240" s="25"/>
      <c r="BN1240" s="25"/>
      <c r="BO1240" s="25"/>
      <c r="BP1240" s="25"/>
    </row>
    <row r="1241" spans="5:68" ht="15" customHeight="1" x14ac:dyDescent="0.25">
      <c r="E1241" s="3"/>
      <c r="F1241" s="4"/>
      <c r="G1241" s="39"/>
      <c r="H1241" s="40"/>
      <c r="I1241" s="40"/>
      <c r="J1241" s="7"/>
      <c r="K1241" s="8"/>
      <c r="L1241" s="9"/>
      <c r="M1241" s="10"/>
      <c r="N1241" s="11"/>
      <c r="O1241" s="12"/>
      <c r="P1241" s="32"/>
      <c r="Q1241" s="81"/>
      <c r="R1241" s="82"/>
      <c r="S1241" s="80"/>
      <c r="T1241" s="32"/>
      <c r="U1241" s="32"/>
      <c r="V1241" s="74"/>
      <c r="W1241" s="15"/>
      <c r="X1241" s="15"/>
      <c r="Y1241" s="16"/>
      <c r="Z1241" s="17"/>
      <c r="AA1241" s="16"/>
      <c r="AB1241" s="99"/>
      <c r="AC1241" s="20"/>
      <c r="AD1241" s="21"/>
      <c r="AE1241" s="22"/>
      <c r="AF1241" s="23"/>
      <c r="AG1241" s="24"/>
      <c r="AH1241" s="1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  <c r="AW1241" s="25"/>
      <c r="AX1241" s="25"/>
      <c r="AY1241" s="25"/>
      <c r="AZ1241" s="25"/>
      <c r="BA1241" s="25"/>
      <c r="BB1241" s="25"/>
      <c r="BC1241" s="25"/>
      <c r="BD1241" s="25"/>
      <c r="BE1241" s="25"/>
      <c r="BF1241" s="25"/>
      <c r="BG1241" s="25"/>
      <c r="BH1241" s="25"/>
      <c r="BI1241" s="25"/>
      <c r="BJ1241" s="25"/>
      <c r="BK1241" s="25"/>
      <c r="BL1241" s="25"/>
      <c r="BM1241" s="25"/>
      <c r="BN1241" s="25"/>
      <c r="BO1241" s="25"/>
      <c r="BP1241" s="25"/>
    </row>
    <row r="1242" spans="5:68" ht="15" customHeight="1" x14ac:dyDescent="0.25">
      <c r="E1242" s="3"/>
      <c r="F1242" s="4"/>
      <c r="G1242" s="39"/>
      <c r="H1242" s="40"/>
      <c r="I1242" s="40"/>
      <c r="J1242" s="7"/>
      <c r="K1242" s="8"/>
      <c r="L1242" s="9"/>
      <c r="M1242" s="10"/>
      <c r="N1242" s="11"/>
      <c r="O1242" s="12"/>
      <c r="P1242" s="32"/>
      <c r="Q1242" s="81"/>
      <c r="R1242" s="82"/>
      <c r="S1242" s="80"/>
      <c r="T1242" s="32"/>
      <c r="U1242" s="32"/>
      <c r="V1242" s="74"/>
      <c r="W1242" s="15"/>
      <c r="X1242" s="15"/>
      <c r="Y1242" s="16"/>
      <c r="Z1242" s="17"/>
      <c r="AA1242" s="16"/>
      <c r="AB1242" s="99"/>
      <c r="AC1242" s="20"/>
      <c r="AD1242" s="21"/>
      <c r="AE1242" s="22"/>
      <c r="AF1242" s="23"/>
      <c r="AG1242" s="24"/>
      <c r="AH1242" s="1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25"/>
      <c r="AY1242" s="25"/>
      <c r="AZ1242" s="25"/>
      <c r="BA1242" s="25"/>
      <c r="BB1242" s="25"/>
      <c r="BC1242" s="25"/>
      <c r="BD1242" s="25"/>
      <c r="BE1242" s="25"/>
      <c r="BF1242" s="25"/>
      <c r="BG1242" s="25"/>
      <c r="BH1242" s="25"/>
      <c r="BI1242" s="25"/>
      <c r="BJ1242" s="25"/>
      <c r="BK1242" s="25"/>
      <c r="BL1242" s="25"/>
      <c r="BM1242" s="25"/>
      <c r="BN1242" s="25"/>
      <c r="BO1242" s="25"/>
      <c r="BP1242" s="25"/>
    </row>
    <row r="1243" spans="5:68" ht="15" customHeight="1" x14ac:dyDescent="0.25">
      <c r="E1243" s="3"/>
      <c r="F1243" s="4"/>
      <c r="G1243" s="39"/>
      <c r="H1243" s="40"/>
      <c r="I1243" s="40"/>
      <c r="J1243" s="7"/>
      <c r="K1243" s="8"/>
      <c r="L1243" s="9"/>
      <c r="M1243" s="10"/>
      <c r="N1243" s="11"/>
      <c r="O1243" s="12"/>
      <c r="P1243" s="32"/>
      <c r="Q1243" s="81"/>
      <c r="R1243" s="82"/>
      <c r="S1243" s="80"/>
      <c r="T1243" s="32"/>
      <c r="U1243" s="32"/>
      <c r="V1243" s="74"/>
      <c r="W1243" s="15"/>
      <c r="X1243" s="15"/>
      <c r="Y1243" s="16"/>
      <c r="Z1243" s="17"/>
      <c r="AA1243" s="16"/>
      <c r="AB1243" s="99"/>
      <c r="AC1243" s="20"/>
      <c r="AD1243" s="21"/>
      <c r="AE1243" s="22"/>
      <c r="AF1243" s="23"/>
      <c r="AG1243" s="24"/>
      <c r="AH1243" s="1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  <c r="AW1243" s="25"/>
      <c r="AX1243" s="25"/>
      <c r="AY1243" s="25"/>
      <c r="AZ1243" s="25"/>
      <c r="BA1243" s="25"/>
      <c r="BB1243" s="25"/>
      <c r="BC1243" s="25"/>
      <c r="BD1243" s="25"/>
      <c r="BE1243" s="25"/>
      <c r="BF1243" s="25"/>
      <c r="BG1243" s="25"/>
      <c r="BH1243" s="25"/>
      <c r="BI1243" s="25"/>
      <c r="BJ1243" s="25"/>
      <c r="BK1243" s="25"/>
      <c r="BL1243" s="25"/>
      <c r="BM1243" s="25"/>
      <c r="BN1243" s="25"/>
      <c r="BO1243" s="25"/>
      <c r="BP1243" s="25"/>
    </row>
    <row r="1244" spans="5:68" ht="15" customHeight="1" x14ac:dyDescent="0.25">
      <c r="E1244" s="3"/>
      <c r="F1244" s="4"/>
      <c r="G1244" s="39"/>
      <c r="H1244" s="40"/>
      <c r="I1244" s="40"/>
      <c r="J1244" s="7"/>
      <c r="K1244" s="8"/>
      <c r="L1244" s="9"/>
      <c r="M1244" s="10"/>
      <c r="N1244" s="11"/>
      <c r="O1244" s="12"/>
      <c r="P1244" s="32"/>
      <c r="Q1244" s="81"/>
      <c r="R1244" s="82"/>
      <c r="S1244" s="80"/>
      <c r="T1244" s="32"/>
      <c r="U1244" s="32"/>
      <c r="V1244" s="74"/>
      <c r="W1244" s="15"/>
      <c r="X1244" s="15"/>
      <c r="Y1244" s="16"/>
      <c r="Z1244" s="17"/>
      <c r="AA1244" s="16"/>
      <c r="AB1244" s="99"/>
      <c r="AC1244" s="20"/>
      <c r="AD1244" s="21"/>
      <c r="AE1244" s="22"/>
      <c r="AF1244" s="23"/>
      <c r="AG1244" s="24"/>
      <c r="AH1244" s="1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  <c r="AZ1244" s="25"/>
      <c r="BA1244" s="25"/>
      <c r="BB1244" s="25"/>
      <c r="BC1244" s="25"/>
      <c r="BD1244" s="25"/>
      <c r="BE1244" s="25"/>
      <c r="BF1244" s="25"/>
      <c r="BG1244" s="25"/>
      <c r="BH1244" s="25"/>
      <c r="BI1244" s="25"/>
      <c r="BJ1244" s="25"/>
      <c r="BK1244" s="25"/>
      <c r="BL1244" s="25"/>
      <c r="BM1244" s="25"/>
      <c r="BN1244" s="25"/>
      <c r="BO1244" s="25"/>
      <c r="BP1244" s="25"/>
    </row>
    <row r="1245" spans="5:68" ht="15" customHeight="1" x14ac:dyDescent="0.25">
      <c r="E1245" s="3"/>
      <c r="F1245" s="4"/>
      <c r="G1245" s="39"/>
      <c r="H1245" s="40"/>
      <c r="I1245" s="40"/>
      <c r="J1245" s="7"/>
      <c r="K1245" s="8"/>
      <c r="L1245" s="9"/>
      <c r="M1245" s="10"/>
      <c r="N1245" s="11"/>
      <c r="O1245" s="12"/>
      <c r="P1245" s="32"/>
      <c r="Q1245" s="81"/>
      <c r="R1245" s="82"/>
      <c r="S1245" s="80"/>
      <c r="T1245" s="32"/>
      <c r="U1245" s="32"/>
      <c r="V1245" s="74"/>
      <c r="W1245" s="15"/>
      <c r="X1245" s="15"/>
      <c r="Y1245" s="16"/>
      <c r="Z1245" s="17"/>
      <c r="AA1245" s="16"/>
      <c r="AB1245" s="99"/>
      <c r="AC1245" s="20"/>
      <c r="AD1245" s="21"/>
      <c r="AE1245" s="22"/>
      <c r="AF1245" s="23"/>
      <c r="AG1245" s="24"/>
      <c r="AH1245" s="1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25"/>
      <c r="AY1245" s="25"/>
      <c r="AZ1245" s="25"/>
      <c r="BA1245" s="25"/>
      <c r="BB1245" s="25"/>
      <c r="BC1245" s="25"/>
      <c r="BD1245" s="25"/>
      <c r="BE1245" s="25"/>
      <c r="BF1245" s="25"/>
      <c r="BG1245" s="25"/>
      <c r="BH1245" s="25"/>
      <c r="BI1245" s="25"/>
      <c r="BJ1245" s="25"/>
      <c r="BK1245" s="25"/>
      <c r="BL1245" s="25"/>
      <c r="BM1245" s="25"/>
      <c r="BN1245" s="25"/>
      <c r="BO1245" s="25"/>
      <c r="BP1245" s="25"/>
    </row>
    <row r="1246" spans="5:68" ht="15" customHeight="1" x14ac:dyDescent="0.25">
      <c r="E1246" s="3"/>
      <c r="F1246" s="4"/>
      <c r="G1246" s="39"/>
      <c r="H1246" s="40"/>
      <c r="I1246" s="40"/>
      <c r="J1246" s="7"/>
      <c r="K1246" s="8"/>
      <c r="L1246" s="9"/>
      <c r="M1246" s="10"/>
      <c r="N1246" s="11"/>
      <c r="O1246" s="12"/>
      <c r="P1246" s="32"/>
      <c r="Q1246" s="81"/>
      <c r="R1246" s="82"/>
      <c r="S1246" s="80"/>
      <c r="T1246" s="32"/>
      <c r="U1246" s="32"/>
      <c r="V1246" s="74"/>
      <c r="W1246" s="15"/>
      <c r="X1246" s="15"/>
      <c r="Y1246" s="16"/>
      <c r="Z1246" s="17"/>
      <c r="AA1246" s="16"/>
      <c r="AB1246" s="99"/>
      <c r="AC1246" s="20"/>
      <c r="AD1246" s="21"/>
      <c r="AE1246" s="22"/>
      <c r="AF1246" s="23"/>
      <c r="AG1246" s="24"/>
      <c r="AH1246" s="1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  <c r="AZ1246" s="25"/>
      <c r="BA1246" s="25"/>
      <c r="BB1246" s="25"/>
      <c r="BC1246" s="25"/>
      <c r="BD1246" s="25"/>
      <c r="BE1246" s="25"/>
      <c r="BF1246" s="25"/>
      <c r="BG1246" s="25"/>
      <c r="BH1246" s="25"/>
      <c r="BI1246" s="25"/>
      <c r="BJ1246" s="25"/>
      <c r="BK1246" s="25"/>
      <c r="BL1246" s="25"/>
      <c r="BM1246" s="25"/>
      <c r="BN1246" s="25"/>
      <c r="BO1246" s="25"/>
      <c r="BP1246" s="25"/>
    </row>
    <row r="1247" spans="5:68" ht="15" customHeight="1" x14ac:dyDescent="0.25">
      <c r="E1247" s="3"/>
      <c r="F1247" s="4"/>
      <c r="G1247" s="39"/>
      <c r="H1247" s="40"/>
      <c r="I1247" s="40"/>
      <c r="J1247" s="7"/>
      <c r="K1247" s="8"/>
      <c r="L1247" s="9"/>
      <c r="M1247" s="10"/>
      <c r="N1247" s="11"/>
      <c r="O1247" s="12"/>
      <c r="P1247" s="32"/>
      <c r="Q1247" s="81"/>
      <c r="R1247" s="82"/>
      <c r="S1247" s="80"/>
      <c r="T1247" s="32"/>
      <c r="U1247" s="32"/>
      <c r="V1247" s="74"/>
      <c r="W1247" s="15"/>
      <c r="X1247" s="15"/>
      <c r="Y1247" s="16"/>
      <c r="Z1247" s="17"/>
      <c r="AA1247" s="16"/>
      <c r="AB1247" s="99"/>
      <c r="AC1247" s="20"/>
      <c r="AD1247" s="21"/>
      <c r="AE1247" s="22"/>
      <c r="AF1247" s="23"/>
      <c r="AG1247" s="24"/>
      <c r="AH1247" s="1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  <c r="BA1247" s="25"/>
      <c r="BB1247" s="25"/>
      <c r="BC1247" s="25"/>
      <c r="BD1247" s="25"/>
      <c r="BE1247" s="25"/>
      <c r="BF1247" s="25"/>
      <c r="BG1247" s="25"/>
      <c r="BH1247" s="25"/>
      <c r="BI1247" s="25"/>
      <c r="BJ1247" s="25"/>
      <c r="BK1247" s="25"/>
      <c r="BL1247" s="25"/>
      <c r="BM1247" s="25"/>
      <c r="BN1247" s="25"/>
      <c r="BO1247" s="25"/>
      <c r="BP1247" s="25"/>
    </row>
    <row r="1248" spans="5:68" ht="15" customHeight="1" x14ac:dyDescent="0.25">
      <c r="E1248" s="3"/>
      <c r="F1248" s="4"/>
      <c r="G1248" s="39"/>
      <c r="H1248" s="40"/>
      <c r="I1248" s="40"/>
      <c r="J1248" s="7"/>
      <c r="K1248" s="8"/>
      <c r="L1248" s="9"/>
      <c r="M1248" s="10"/>
      <c r="N1248" s="11"/>
      <c r="O1248" s="12"/>
      <c r="P1248" s="32"/>
      <c r="Q1248" s="81"/>
      <c r="R1248" s="82"/>
      <c r="S1248" s="80"/>
      <c r="T1248" s="32"/>
      <c r="U1248" s="32"/>
      <c r="V1248" s="74"/>
      <c r="W1248" s="15"/>
      <c r="X1248" s="15"/>
      <c r="Y1248" s="16"/>
      <c r="Z1248" s="17"/>
      <c r="AA1248" s="16"/>
      <c r="AB1248" s="99"/>
      <c r="AC1248" s="20"/>
      <c r="AD1248" s="21"/>
      <c r="AE1248" s="22"/>
      <c r="AF1248" s="23"/>
      <c r="AG1248" s="24"/>
      <c r="AH1248" s="1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  <c r="BA1248" s="25"/>
      <c r="BB1248" s="25"/>
      <c r="BC1248" s="25"/>
      <c r="BD1248" s="25"/>
      <c r="BE1248" s="25"/>
      <c r="BF1248" s="25"/>
      <c r="BG1248" s="25"/>
      <c r="BH1248" s="25"/>
      <c r="BI1248" s="25"/>
      <c r="BJ1248" s="25"/>
      <c r="BK1248" s="25"/>
      <c r="BL1248" s="25"/>
      <c r="BM1248" s="25"/>
      <c r="BN1248" s="25"/>
      <c r="BO1248" s="25"/>
      <c r="BP1248" s="25"/>
    </row>
    <row r="1249" spans="5:68" ht="15" customHeight="1" x14ac:dyDescent="0.25">
      <c r="E1249" s="3"/>
      <c r="F1249" s="4"/>
      <c r="G1249" s="39"/>
      <c r="H1249" s="40"/>
      <c r="I1249" s="40"/>
      <c r="J1249" s="7"/>
      <c r="K1249" s="8"/>
      <c r="L1249" s="9"/>
      <c r="M1249" s="10"/>
      <c r="N1249" s="11"/>
      <c r="O1249" s="12"/>
      <c r="P1249" s="32"/>
      <c r="Q1249" s="81"/>
      <c r="R1249" s="82"/>
      <c r="S1249" s="80"/>
      <c r="T1249" s="32"/>
      <c r="U1249" s="32"/>
      <c r="V1249" s="74"/>
      <c r="W1249" s="15"/>
      <c r="X1249" s="15"/>
      <c r="Y1249" s="16"/>
      <c r="Z1249" s="17"/>
      <c r="AA1249" s="16"/>
      <c r="AB1249" s="99"/>
      <c r="AC1249" s="20"/>
      <c r="AD1249" s="21"/>
      <c r="AE1249" s="22"/>
      <c r="AF1249" s="23"/>
      <c r="AG1249" s="24"/>
      <c r="AH1249" s="1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  <c r="AZ1249" s="25"/>
      <c r="BA1249" s="25"/>
      <c r="BB1249" s="25"/>
      <c r="BC1249" s="25"/>
      <c r="BD1249" s="25"/>
      <c r="BE1249" s="25"/>
      <c r="BF1249" s="25"/>
      <c r="BG1249" s="25"/>
      <c r="BH1249" s="25"/>
      <c r="BI1249" s="25"/>
      <c r="BJ1249" s="25"/>
      <c r="BK1249" s="25"/>
      <c r="BL1249" s="25"/>
      <c r="BM1249" s="25"/>
      <c r="BN1249" s="25"/>
      <c r="BO1249" s="25"/>
      <c r="BP1249" s="25"/>
    </row>
    <row r="1250" spans="5:68" ht="15" customHeight="1" x14ac:dyDescent="0.25">
      <c r="E1250" s="3"/>
      <c r="F1250" s="4"/>
      <c r="G1250" s="39"/>
      <c r="H1250" s="40"/>
      <c r="I1250" s="40"/>
      <c r="J1250" s="7"/>
      <c r="K1250" s="8"/>
      <c r="L1250" s="9"/>
      <c r="M1250" s="10"/>
      <c r="N1250" s="11"/>
      <c r="O1250" s="12"/>
      <c r="P1250" s="32"/>
      <c r="Q1250" s="81"/>
      <c r="R1250" s="82"/>
      <c r="S1250" s="80"/>
      <c r="T1250" s="32"/>
      <c r="U1250" s="32"/>
      <c r="V1250" s="74"/>
      <c r="W1250" s="15"/>
      <c r="X1250" s="15"/>
      <c r="Y1250" s="16"/>
      <c r="Z1250" s="17"/>
      <c r="AA1250" s="16"/>
      <c r="AB1250" s="99"/>
      <c r="AC1250" s="20"/>
      <c r="AD1250" s="21"/>
      <c r="AE1250" s="22"/>
      <c r="AF1250" s="23"/>
      <c r="AG1250" s="24"/>
      <c r="AH1250" s="1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  <c r="BA1250" s="25"/>
      <c r="BB1250" s="25"/>
      <c r="BC1250" s="25"/>
      <c r="BD1250" s="25"/>
      <c r="BE1250" s="25"/>
      <c r="BF1250" s="25"/>
      <c r="BG1250" s="25"/>
      <c r="BH1250" s="25"/>
      <c r="BI1250" s="25"/>
      <c r="BJ1250" s="25"/>
      <c r="BK1250" s="25"/>
      <c r="BL1250" s="25"/>
      <c r="BM1250" s="25"/>
      <c r="BN1250" s="25"/>
      <c r="BO1250" s="25"/>
      <c r="BP1250" s="25"/>
    </row>
    <row r="1251" spans="5:68" ht="15" customHeight="1" x14ac:dyDescent="0.25">
      <c r="E1251" s="3"/>
      <c r="F1251" s="4"/>
      <c r="G1251" s="39"/>
      <c r="H1251" s="40"/>
      <c r="I1251" s="40"/>
      <c r="J1251" s="7"/>
      <c r="K1251" s="8"/>
      <c r="L1251" s="9"/>
      <c r="M1251" s="10"/>
      <c r="N1251" s="11"/>
      <c r="O1251" s="12"/>
      <c r="P1251" s="32"/>
      <c r="Q1251" s="81"/>
      <c r="R1251" s="82"/>
      <c r="S1251" s="80"/>
      <c r="T1251" s="32"/>
      <c r="U1251" s="32"/>
      <c r="V1251" s="74"/>
      <c r="W1251" s="15"/>
      <c r="X1251" s="15"/>
      <c r="Y1251" s="16"/>
      <c r="Z1251" s="17"/>
      <c r="AA1251" s="16"/>
      <c r="AB1251" s="99"/>
      <c r="AC1251" s="20"/>
      <c r="AD1251" s="21"/>
      <c r="AE1251" s="22"/>
      <c r="AF1251" s="23"/>
      <c r="AG1251" s="24"/>
      <c r="AH1251" s="1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  <c r="AZ1251" s="25"/>
      <c r="BA1251" s="25"/>
      <c r="BB1251" s="25"/>
      <c r="BC1251" s="25"/>
      <c r="BD1251" s="25"/>
      <c r="BE1251" s="25"/>
      <c r="BF1251" s="25"/>
      <c r="BG1251" s="25"/>
      <c r="BH1251" s="25"/>
      <c r="BI1251" s="25"/>
      <c r="BJ1251" s="25"/>
      <c r="BK1251" s="25"/>
      <c r="BL1251" s="25"/>
      <c r="BM1251" s="25"/>
      <c r="BN1251" s="25"/>
      <c r="BO1251" s="25"/>
      <c r="BP1251" s="25"/>
    </row>
    <row r="1252" spans="5:68" ht="15" customHeight="1" x14ac:dyDescent="0.25">
      <c r="E1252" s="3"/>
      <c r="F1252" s="4"/>
      <c r="G1252" s="39"/>
      <c r="H1252" s="40"/>
      <c r="I1252" s="40"/>
      <c r="J1252" s="7"/>
      <c r="K1252" s="8"/>
      <c r="L1252" s="9"/>
      <c r="M1252" s="10"/>
      <c r="N1252" s="11"/>
      <c r="O1252" s="12"/>
      <c r="P1252" s="32"/>
      <c r="Q1252" s="81"/>
      <c r="R1252" s="82"/>
      <c r="S1252" s="80"/>
      <c r="T1252" s="32"/>
      <c r="U1252" s="32"/>
      <c r="V1252" s="74"/>
      <c r="W1252" s="15"/>
      <c r="X1252" s="15"/>
      <c r="Y1252" s="16"/>
      <c r="Z1252" s="17"/>
      <c r="AA1252" s="16"/>
      <c r="AB1252" s="99"/>
      <c r="AC1252" s="20"/>
      <c r="AD1252" s="21"/>
      <c r="AE1252" s="22"/>
      <c r="AF1252" s="23"/>
      <c r="AG1252" s="24"/>
      <c r="AH1252" s="1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25"/>
      <c r="AY1252" s="25"/>
      <c r="AZ1252" s="25"/>
      <c r="BA1252" s="25"/>
      <c r="BB1252" s="25"/>
      <c r="BC1252" s="25"/>
      <c r="BD1252" s="25"/>
      <c r="BE1252" s="25"/>
      <c r="BF1252" s="25"/>
      <c r="BG1252" s="25"/>
      <c r="BH1252" s="25"/>
      <c r="BI1252" s="25"/>
      <c r="BJ1252" s="25"/>
      <c r="BK1252" s="25"/>
      <c r="BL1252" s="25"/>
      <c r="BM1252" s="25"/>
      <c r="BN1252" s="25"/>
      <c r="BO1252" s="25"/>
      <c r="BP1252" s="25"/>
    </row>
    <row r="1253" spans="5:68" ht="15" customHeight="1" x14ac:dyDescent="0.25">
      <c r="E1253" s="3"/>
      <c r="F1253" s="4"/>
      <c r="G1253" s="39"/>
      <c r="H1253" s="40"/>
      <c r="I1253" s="40"/>
      <c r="J1253" s="7"/>
      <c r="K1253" s="8"/>
      <c r="L1253" s="9"/>
      <c r="M1253" s="10"/>
      <c r="N1253" s="11"/>
      <c r="O1253" s="12"/>
      <c r="P1253" s="32"/>
      <c r="Q1253" s="81"/>
      <c r="R1253" s="82"/>
      <c r="S1253" s="80"/>
      <c r="T1253" s="32"/>
      <c r="U1253" s="32"/>
      <c r="V1253" s="74"/>
      <c r="W1253" s="15"/>
      <c r="X1253" s="15"/>
      <c r="Y1253" s="16"/>
      <c r="Z1253" s="17"/>
      <c r="AA1253" s="16"/>
      <c r="AB1253" s="99"/>
      <c r="AC1253" s="20"/>
      <c r="AD1253" s="21"/>
      <c r="AE1253" s="22"/>
      <c r="AF1253" s="23"/>
      <c r="AG1253" s="24"/>
      <c r="AH1253" s="1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  <c r="AW1253" s="25"/>
      <c r="AX1253" s="25"/>
      <c r="AY1253" s="25"/>
      <c r="AZ1253" s="25"/>
      <c r="BA1253" s="25"/>
      <c r="BB1253" s="25"/>
      <c r="BC1253" s="25"/>
      <c r="BD1253" s="25"/>
      <c r="BE1253" s="25"/>
      <c r="BF1253" s="25"/>
      <c r="BG1253" s="25"/>
      <c r="BH1253" s="25"/>
      <c r="BI1253" s="25"/>
      <c r="BJ1253" s="25"/>
      <c r="BK1253" s="25"/>
      <c r="BL1253" s="25"/>
      <c r="BM1253" s="25"/>
      <c r="BN1253" s="25"/>
      <c r="BO1253" s="25"/>
      <c r="BP1253" s="25"/>
    </row>
    <row r="1254" spans="5:68" ht="15" customHeight="1" x14ac:dyDescent="0.25">
      <c r="E1254" s="3"/>
      <c r="F1254" s="4"/>
      <c r="G1254" s="39"/>
      <c r="H1254" s="40"/>
      <c r="I1254" s="40"/>
      <c r="J1254" s="7"/>
      <c r="K1254" s="8"/>
      <c r="L1254" s="9"/>
      <c r="M1254" s="10"/>
      <c r="N1254" s="11"/>
      <c r="O1254" s="12"/>
      <c r="P1254" s="32"/>
      <c r="Q1254" s="81"/>
      <c r="R1254" s="82"/>
      <c r="S1254" s="80"/>
      <c r="T1254" s="32"/>
      <c r="U1254" s="32"/>
      <c r="V1254" s="74"/>
      <c r="W1254" s="15"/>
      <c r="X1254" s="15"/>
      <c r="Y1254" s="16"/>
      <c r="Z1254" s="17"/>
      <c r="AA1254" s="16"/>
      <c r="AB1254" s="99"/>
      <c r="AC1254" s="20"/>
      <c r="AD1254" s="21"/>
      <c r="AE1254" s="22"/>
      <c r="AF1254" s="23"/>
      <c r="AG1254" s="24"/>
      <c r="AH1254" s="1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25"/>
      <c r="AY1254" s="25"/>
      <c r="AZ1254" s="25"/>
      <c r="BA1254" s="25"/>
      <c r="BB1254" s="25"/>
      <c r="BC1254" s="25"/>
      <c r="BD1254" s="25"/>
      <c r="BE1254" s="25"/>
      <c r="BF1254" s="25"/>
      <c r="BG1254" s="25"/>
      <c r="BH1254" s="25"/>
      <c r="BI1254" s="25"/>
      <c r="BJ1254" s="25"/>
      <c r="BK1254" s="25"/>
      <c r="BL1254" s="25"/>
      <c r="BM1254" s="25"/>
      <c r="BN1254" s="25"/>
      <c r="BO1254" s="25"/>
      <c r="BP1254" s="25"/>
    </row>
    <row r="1255" spans="5:68" ht="15" customHeight="1" x14ac:dyDescent="0.25">
      <c r="E1255" s="3"/>
      <c r="F1255" s="4"/>
      <c r="G1255" s="39"/>
      <c r="H1255" s="40"/>
      <c r="I1255" s="40"/>
      <c r="J1255" s="7"/>
      <c r="K1255" s="8"/>
      <c r="L1255" s="9"/>
      <c r="M1255" s="10"/>
      <c r="N1255" s="11"/>
      <c r="O1255" s="12"/>
      <c r="P1255" s="32"/>
      <c r="Q1255" s="81"/>
      <c r="R1255" s="82"/>
      <c r="S1255" s="80"/>
      <c r="T1255" s="32"/>
      <c r="U1255" s="32"/>
      <c r="V1255" s="74"/>
      <c r="W1255" s="15"/>
      <c r="X1255" s="15"/>
      <c r="Y1255" s="16"/>
      <c r="Z1255" s="17"/>
      <c r="AA1255" s="16"/>
      <c r="AB1255" s="99"/>
      <c r="AC1255" s="20"/>
      <c r="AD1255" s="21"/>
      <c r="AE1255" s="22"/>
      <c r="AF1255" s="23"/>
      <c r="AG1255" s="24"/>
      <c r="AH1255" s="1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  <c r="AW1255" s="25"/>
      <c r="AX1255" s="25"/>
      <c r="AY1255" s="25"/>
      <c r="AZ1255" s="25"/>
      <c r="BA1255" s="25"/>
      <c r="BB1255" s="25"/>
      <c r="BC1255" s="25"/>
      <c r="BD1255" s="25"/>
      <c r="BE1255" s="25"/>
      <c r="BF1255" s="25"/>
      <c r="BG1255" s="25"/>
      <c r="BH1255" s="25"/>
      <c r="BI1255" s="25"/>
      <c r="BJ1255" s="25"/>
      <c r="BK1255" s="25"/>
      <c r="BL1255" s="25"/>
      <c r="BM1255" s="25"/>
      <c r="BN1255" s="25"/>
      <c r="BO1255" s="25"/>
      <c r="BP1255" s="25"/>
    </row>
    <row r="1256" spans="5:68" ht="15" customHeight="1" x14ac:dyDescent="0.25">
      <c r="E1256" s="3"/>
      <c r="F1256" s="4"/>
      <c r="G1256" s="39"/>
      <c r="H1256" s="40"/>
      <c r="I1256" s="40"/>
      <c r="J1256" s="7"/>
      <c r="K1256" s="8"/>
      <c r="L1256" s="9"/>
      <c r="M1256" s="10"/>
      <c r="N1256" s="11"/>
      <c r="O1256" s="12"/>
      <c r="P1256" s="32"/>
      <c r="Q1256" s="81"/>
      <c r="R1256" s="82"/>
      <c r="S1256" s="80"/>
      <c r="T1256" s="32"/>
      <c r="U1256" s="32"/>
      <c r="V1256" s="74"/>
      <c r="W1256" s="15"/>
      <c r="X1256" s="15"/>
      <c r="Y1256" s="16"/>
      <c r="Z1256" s="17"/>
      <c r="AA1256" s="16"/>
      <c r="AB1256" s="99"/>
      <c r="AC1256" s="20"/>
      <c r="AD1256" s="21"/>
      <c r="AE1256" s="22"/>
      <c r="AF1256" s="23"/>
      <c r="AG1256" s="24"/>
      <c r="AH1256" s="1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25"/>
      <c r="AY1256" s="25"/>
      <c r="AZ1256" s="25"/>
      <c r="BA1256" s="25"/>
      <c r="BB1256" s="25"/>
      <c r="BC1256" s="25"/>
      <c r="BD1256" s="25"/>
      <c r="BE1256" s="25"/>
      <c r="BF1256" s="25"/>
      <c r="BG1256" s="25"/>
      <c r="BH1256" s="25"/>
      <c r="BI1256" s="25"/>
      <c r="BJ1256" s="25"/>
      <c r="BK1256" s="25"/>
      <c r="BL1256" s="25"/>
      <c r="BM1256" s="25"/>
      <c r="BN1256" s="25"/>
      <c r="BO1256" s="25"/>
      <c r="BP1256" s="25"/>
    </row>
    <row r="1257" spans="5:68" ht="15" customHeight="1" x14ac:dyDescent="0.25">
      <c r="E1257" s="3"/>
      <c r="F1257" s="4"/>
      <c r="G1257" s="39"/>
      <c r="H1257" s="40"/>
      <c r="I1257" s="40"/>
      <c r="J1257" s="7"/>
      <c r="K1257" s="8"/>
      <c r="L1257" s="9"/>
      <c r="M1257" s="10"/>
      <c r="N1257" s="11"/>
      <c r="O1257" s="12"/>
      <c r="P1257" s="32"/>
      <c r="Q1257" s="81"/>
      <c r="R1257" s="82"/>
      <c r="S1257" s="80"/>
      <c r="T1257" s="32"/>
      <c r="U1257" s="32"/>
      <c r="V1257" s="74"/>
      <c r="W1257" s="15"/>
      <c r="X1257" s="15"/>
      <c r="Y1257" s="16"/>
      <c r="Z1257" s="17"/>
      <c r="AA1257" s="16"/>
      <c r="AB1257" s="99"/>
      <c r="AC1257" s="20"/>
      <c r="AD1257" s="21"/>
      <c r="AE1257" s="22"/>
      <c r="AF1257" s="23"/>
      <c r="AG1257" s="24"/>
      <c r="AH1257" s="15"/>
      <c r="AI1257" s="76"/>
      <c r="AJ1257" s="76"/>
      <c r="AK1257" s="76"/>
      <c r="AL1257" s="76"/>
      <c r="AM1257" s="76"/>
      <c r="AN1257" s="76"/>
      <c r="AO1257" s="76"/>
      <c r="AP1257" s="77"/>
      <c r="AQ1257" s="77"/>
      <c r="AR1257" s="77"/>
      <c r="AS1257" s="77"/>
      <c r="AT1257" s="77"/>
      <c r="AU1257" s="77"/>
      <c r="AV1257" s="77"/>
      <c r="AW1257" s="77"/>
      <c r="AX1257" s="77"/>
      <c r="AY1257" s="77"/>
      <c r="AZ1257" s="77"/>
      <c r="BA1257" s="77"/>
      <c r="BB1257" s="77"/>
      <c r="BC1257" s="77"/>
      <c r="BD1257" s="77"/>
      <c r="BE1257" s="77"/>
      <c r="BF1257" s="77"/>
      <c r="BG1257" s="77"/>
      <c r="BH1257" s="77"/>
      <c r="BI1257" s="77"/>
      <c r="BJ1257" s="77"/>
      <c r="BK1257" s="77"/>
      <c r="BL1257" s="77"/>
      <c r="BM1257" s="77"/>
      <c r="BN1257" s="77"/>
      <c r="BO1257" s="77"/>
      <c r="BP1257" s="76"/>
    </row>
    <row r="1258" spans="5:68" ht="15" customHeight="1" x14ac:dyDescent="0.25">
      <c r="E1258" s="3"/>
      <c r="F1258" s="4"/>
      <c r="G1258" s="39"/>
      <c r="H1258" s="40"/>
      <c r="I1258" s="40"/>
      <c r="J1258" s="7"/>
      <c r="K1258" s="8"/>
      <c r="L1258" s="9"/>
      <c r="M1258" s="10"/>
      <c r="N1258" s="11"/>
      <c r="O1258" s="12"/>
      <c r="P1258" s="32"/>
      <c r="Q1258" s="81"/>
      <c r="R1258" s="82"/>
      <c r="S1258" s="80"/>
      <c r="T1258" s="32"/>
      <c r="U1258" s="32"/>
      <c r="V1258" s="74"/>
      <c r="W1258" s="15"/>
      <c r="X1258" s="15"/>
      <c r="Y1258" s="16"/>
      <c r="Z1258" s="17"/>
      <c r="AA1258" s="16"/>
      <c r="AB1258" s="99"/>
      <c r="AC1258" s="20"/>
      <c r="AD1258" s="21"/>
      <c r="AE1258" s="22"/>
      <c r="AF1258" s="23"/>
      <c r="AG1258" s="24"/>
      <c r="AH1258" s="15"/>
      <c r="AI1258" s="76"/>
      <c r="AJ1258" s="77"/>
      <c r="AK1258" s="77"/>
      <c r="AL1258" s="77"/>
      <c r="AM1258" s="77"/>
      <c r="AN1258" s="76"/>
      <c r="AO1258" s="76"/>
      <c r="AP1258" s="77"/>
      <c r="AQ1258" s="77"/>
      <c r="AR1258" s="77"/>
      <c r="AS1258" s="77"/>
      <c r="AT1258" s="77"/>
      <c r="AU1258" s="77"/>
      <c r="AV1258" s="77"/>
      <c r="AW1258" s="77"/>
      <c r="AX1258" s="77"/>
      <c r="AY1258" s="77"/>
      <c r="AZ1258" s="77"/>
      <c r="BA1258" s="77"/>
      <c r="BB1258" s="77"/>
      <c r="BC1258" s="77"/>
      <c r="BD1258" s="77"/>
      <c r="BE1258" s="77"/>
      <c r="BF1258" s="77"/>
      <c r="BG1258" s="77"/>
      <c r="BH1258" s="77"/>
      <c r="BI1258" s="77"/>
      <c r="BJ1258" s="77"/>
      <c r="BK1258" s="77"/>
      <c r="BL1258" s="77"/>
      <c r="BM1258" s="77"/>
      <c r="BN1258" s="77"/>
      <c r="BO1258" s="77"/>
      <c r="BP1258" s="77"/>
    </row>
    <row r="1259" spans="5:68" ht="15" customHeight="1" x14ac:dyDescent="0.25">
      <c r="E1259" s="3"/>
      <c r="F1259" s="4"/>
      <c r="G1259" s="39"/>
      <c r="H1259" s="40"/>
      <c r="I1259" s="40"/>
      <c r="J1259" s="7"/>
      <c r="K1259" s="8"/>
      <c r="L1259" s="9"/>
      <c r="M1259" s="10"/>
      <c r="N1259" s="11"/>
      <c r="O1259" s="12"/>
      <c r="P1259" s="32"/>
      <c r="Q1259" s="81"/>
      <c r="R1259" s="82"/>
      <c r="S1259" s="80"/>
      <c r="T1259" s="32"/>
      <c r="U1259" s="32"/>
      <c r="V1259" s="74"/>
      <c r="W1259" s="15"/>
      <c r="X1259" s="15"/>
      <c r="Y1259" s="16"/>
      <c r="Z1259" s="17"/>
      <c r="AA1259" s="16"/>
      <c r="AB1259" s="99"/>
      <c r="AC1259" s="20"/>
      <c r="AD1259" s="21"/>
      <c r="AE1259" s="22"/>
      <c r="AF1259" s="23"/>
      <c r="AG1259" s="24"/>
      <c r="AH1259" s="15"/>
      <c r="AI1259" s="76"/>
      <c r="AJ1259" s="77"/>
      <c r="AK1259" s="77"/>
      <c r="AL1259" s="77"/>
      <c r="AM1259" s="77"/>
      <c r="AN1259" s="76"/>
      <c r="AO1259" s="76"/>
      <c r="AP1259" s="77"/>
      <c r="AQ1259" s="77"/>
      <c r="AR1259" s="77"/>
      <c r="AS1259" s="77"/>
      <c r="AT1259" s="77"/>
      <c r="AU1259" s="77"/>
      <c r="AV1259" s="77"/>
      <c r="AW1259" s="77"/>
      <c r="AX1259" s="77"/>
      <c r="AY1259" s="77"/>
      <c r="AZ1259" s="77"/>
      <c r="BA1259" s="77"/>
      <c r="BB1259" s="77"/>
      <c r="BC1259" s="77"/>
      <c r="BD1259" s="77"/>
      <c r="BE1259" s="77"/>
      <c r="BF1259" s="77"/>
      <c r="BG1259" s="77"/>
      <c r="BH1259" s="77"/>
      <c r="BI1259" s="77"/>
      <c r="BJ1259" s="77"/>
      <c r="BK1259" s="77"/>
      <c r="BL1259" s="77"/>
      <c r="BM1259" s="77"/>
      <c r="BN1259" s="77"/>
      <c r="BO1259" s="77"/>
      <c r="BP1259" s="77"/>
    </row>
    <row r="1260" spans="5:68" ht="15" customHeight="1" x14ac:dyDescent="0.25">
      <c r="E1260" s="3"/>
      <c r="F1260" s="4"/>
      <c r="G1260" s="39"/>
      <c r="H1260" s="40"/>
      <c r="I1260" s="40"/>
      <c r="J1260" s="7"/>
      <c r="K1260" s="8"/>
      <c r="L1260" s="9"/>
      <c r="M1260" s="10"/>
      <c r="N1260" s="11"/>
      <c r="O1260" s="12"/>
      <c r="P1260" s="32"/>
      <c r="Q1260" s="80"/>
      <c r="R1260" s="82"/>
      <c r="S1260" s="80"/>
      <c r="T1260" s="32"/>
      <c r="U1260" s="32"/>
      <c r="V1260" s="74"/>
      <c r="W1260" s="15"/>
      <c r="X1260" s="15"/>
      <c r="Y1260" s="16"/>
      <c r="Z1260" s="17"/>
      <c r="AA1260" s="16"/>
      <c r="AB1260" s="99"/>
      <c r="AC1260" s="20"/>
      <c r="AD1260" s="21"/>
      <c r="AE1260" s="22"/>
      <c r="AF1260" s="23"/>
      <c r="AG1260" s="24"/>
      <c r="AH1260" s="15"/>
      <c r="AI1260" s="76"/>
      <c r="AJ1260" s="76"/>
      <c r="AK1260" s="76"/>
      <c r="AL1260" s="76"/>
      <c r="AM1260" s="76"/>
      <c r="AN1260" s="77"/>
      <c r="AO1260" s="77"/>
      <c r="AP1260" s="77"/>
      <c r="AQ1260" s="77"/>
      <c r="AR1260" s="77"/>
      <c r="AS1260" s="77"/>
      <c r="AT1260" s="77"/>
      <c r="AU1260" s="77"/>
      <c r="AV1260" s="77"/>
      <c r="AW1260" s="77"/>
      <c r="AX1260" s="77"/>
      <c r="AY1260" s="77"/>
      <c r="AZ1260" s="77"/>
      <c r="BA1260" s="77"/>
      <c r="BB1260" s="77"/>
      <c r="BC1260" s="77"/>
      <c r="BD1260" s="77"/>
      <c r="BE1260" s="77"/>
      <c r="BF1260" s="77"/>
      <c r="BG1260" s="77"/>
      <c r="BH1260" s="77"/>
      <c r="BI1260" s="77"/>
      <c r="BJ1260" s="77"/>
      <c r="BK1260" s="77"/>
      <c r="BL1260" s="77"/>
      <c r="BM1260" s="77"/>
      <c r="BN1260" s="77"/>
      <c r="BO1260" s="77"/>
      <c r="BP1260" s="77"/>
    </row>
    <row r="1261" spans="5:68" ht="15" customHeight="1" x14ac:dyDescent="0.25">
      <c r="E1261" s="3"/>
      <c r="F1261" s="4"/>
      <c r="G1261" s="39"/>
      <c r="H1261" s="40"/>
      <c r="I1261" s="40"/>
      <c r="J1261" s="7"/>
      <c r="K1261" s="8"/>
      <c r="L1261" s="9"/>
      <c r="M1261" s="10"/>
      <c r="N1261" s="11"/>
      <c r="O1261" s="12"/>
      <c r="P1261" s="32"/>
      <c r="Q1261" s="80"/>
      <c r="R1261" s="82"/>
      <c r="S1261" s="80"/>
      <c r="T1261" s="32"/>
      <c r="U1261" s="32"/>
      <c r="V1261" s="74"/>
      <c r="W1261" s="15"/>
      <c r="X1261" s="15"/>
      <c r="Y1261" s="16"/>
      <c r="Z1261" s="17"/>
      <c r="AA1261" s="16"/>
      <c r="AB1261" s="99"/>
      <c r="AC1261" s="20"/>
      <c r="AD1261" s="21"/>
      <c r="AE1261" s="22"/>
      <c r="AF1261" s="23"/>
      <c r="AG1261" s="24"/>
      <c r="AH1261" s="15"/>
      <c r="AI1261" s="76"/>
      <c r="AJ1261" s="76"/>
      <c r="AK1261" s="76"/>
      <c r="AL1261" s="76"/>
      <c r="AM1261" s="76"/>
      <c r="AN1261" s="76"/>
      <c r="AO1261" s="76"/>
      <c r="AP1261" s="77"/>
      <c r="AQ1261" s="77"/>
      <c r="AR1261" s="77"/>
      <c r="AS1261" s="77"/>
      <c r="AT1261" s="77"/>
      <c r="AU1261" s="77"/>
      <c r="AV1261" s="77"/>
      <c r="AW1261" s="77"/>
      <c r="AX1261" s="77"/>
      <c r="AY1261" s="77"/>
      <c r="AZ1261" s="77"/>
      <c r="BA1261" s="77"/>
      <c r="BB1261" s="77"/>
      <c r="BC1261" s="77"/>
      <c r="BD1261" s="77"/>
      <c r="BE1261" s="77"/>
      <c r="BF1261" s="77"/>
      <c r="BG1261" s="77"/>
      <c r="BH1261" s="77"/>
      <c r="BI1261" s="77"/>
      <c r="BJ1261" s="77"/>
      <c r="BK1261" s="77"/>
      <c r="BL1261" s="77"/>
      <c r="BM1261" s="77"/>
      <c r="BN1261" s="77"/>
      <c r="BO1261" s="77"/>
      <c r="BP1261" s="77"/>
    </row>
    <row r="1262" spans="5:68" ht="15" customHeight="1" x14ac:dyDescent="0.25">
      <c r="E1262" s="3"/>
      <c r="F1262" s="4"/>
      <c r="G1262" s="39"/>
      <c r="H1262" s="40"/>
      <c r="I1262" s="40"/>
      <c r="J1262" s="7"/>
      <c r="K1262" s="8"/>
      <c r="L1262" s="9"/>
      <c r="M1262" s="10"/>
      <c r="N1262" s="11"/>
      <c r="O1262" s="12"/>
      <c r="P1262" s="32"/>
      <c r="Q1262" s="80"/>
      <c r="R1262" s="82"/>
      <c r="S1262" s="80"/>
      <c r="T1262" s="32"/>
      <c r="U1262" s="32"/>
      <c r="V1262" s="74"/>
      <c r="W1262" s="15"/>
      <c r="X1262" s="15"/>
      <c r="Y1262" s="16"/>
      <c r="Z1262" s="17"/>
      <c r="AA1262" s="16"/>
      <c r="AB1262" s="99"/>
      <c r="AC1262" s="20"/>
      <c r="AD1262" s="21"/>
      <c r="AE1262" s="22"/>
      <c r="AF1262" s="23"/>
      <c r="AG1262" s="24"/>
      <c r="AH1262" s="15"/>
      <c r="AI1262" s="76"/>
      <c r="AJ1262" s="76"/>
      <c r="AK1262" s="76"/>
      <c r="AL1262" s="76"/>
      <c r="AM1262" s="76"/>
      <c r="AN1262" s="76"/>
      <c r="AO1262" s="76"/>
      <c r="AP1262" s="77"/>
      <c r="AQ1262" s="77"/>
      <c r="AR1262" s="77"/>
      <c r="AS1262" s="77"/>
      <c r="AT1262" s="77"/>
      <c r="AU1262" s="77"/>
      <c r="AV1262" s="77"/>
      <c r="AW1262" s="77"/>
      <c r="AX1262" s="77"/>
      <c r="AY1262" s="77"/>
      <c r="AZ1262" s="77"/>
      <c r="BA1262" s="77"/>
      <c r="BB1262" s="77"/>
      <c r="BC1262" s="77"/>
      <c r="BD1262" s="77"/>
      <c r="BE1262" s="77"/>
      <c r="BF1262" s="77"/>
      <c r="BG1262" s="77"/>
      <c r="BH1262" s="77"/>
      <c r="BI1262" s="77"/>
      <c r="BJ1262" s="77"/>
      <c r="BK1262" s="77"/>
      <c r="BL1262" s="77"/>
      <c r="BM1262" s="77"/>
      <c r="BN1262" s="77"/>
      <c r="BO1262" s="77"/>
      <c r="BP1262" s="77"/>
    </row>
    <row r="1263" spans="5:68" ht="15" customHeight="1" x14ac:dyDescent="0.25">
      <c r="E1263" s="3"/>
      <c r="F1263" s="4"/>
      <c r="G1263" s="39"/>
      <c r="H1263" s="40"/>
      <c r="I1263" s="40"/>
      <c r="J1263" s="7"/>
      <c r="K1263" s="8"/>
      <c r="L1263" s="9"/>
      <c r="M1263" s="10"/>
      <c r="N1263" s="11"/>
      <c r="O1263" s="12"/>
      <c r="P1263" s="32"/>
      <c r="Q1263" s="80"/>
      <c r="R1263" s="82"/>
      <c r="S1263" s="80"/>
      <c r="T1263" s="32"/>
      <c r="U1263" s="32"/>
      <c r="V1263" s="74"/>
      <c r="W1263" s="15"/>
      <c r="X1263" s="15"/>
      <c r="Y1263" s="16"/>
      <c r="Z1263" s="17"/>
      <c r="AA1263" s="16"/>
      <c r="AB1263" s="99"/>
      <c r="AC1263" s="20"/>
      <c r="AD1263" s="21"/>
      <c r="AE1263" s="22"/>
      <c r="AF1263" s="23"/>
      <c r="AG1263" s="24"/>
      <c r="AH1263" s="15"/>
      <c r="AI1263" s="76"/>
      <c r="AJ1263" s="76"/>
      <c r="AK1263" s="76"/>
      <c r="AL1263" s="76"/>
      <c r="AM1263" s="76"/>
      <c r="AN1263" s="76"/>
      <c r="AO1263" s="76"/>
      <c r="AP1263" s="77"/>
      <c r="AQ1263" s="77"/>
      <c r="AR1263" s="77"/>
      <c r="AS1263" s="77"/>
      <c r="AT1263" s="77"/>
      <c r="AU1263" s="77"/>
      <c r="AV1263" s="77"/>
      <c r="AW1263" s="77"/>
      <c r="AX1263" s="77"/>
      <c r="AY1263" s="77"/>
      <c r="AZ1263" s="77"/>
      <c r="BA1263" s="77"/>
      <c r="BB1263" s="77"/>
      <c r="BC1263" s="77"/>
      <c r="BD1263" s="77"/>
      <c r="BE1263" s="77"/>
      <c r="BF1263" s="77"/>
      <c r="BG1263" s="77"/>
      <c r="BH1263" s="77"/>
      <c r="BI1263" s="77"/>
      <c r="BJ1263" s="77"/>
      <c r="BK1263" s="77"/>
      <c r="BL1263" s="77"/>
      <c r="BM1263" s="77"/>
      <c r="BN1263" s="77"/>
      <c r="BO1263" s="77"/>
      <c r="BP1263" s="77"/>
    </row>
    <row r="1264" spans="5:68" ht="15" customHeight="1" x14ac:dyDescent="0.25">
      <c r="E1264" s="3"/>
      <c r="F1264" s="4"/>
      <c r="G1264" s="39"/>
      <c r="H1264" s="40"/>
      <c r="I1264" s="40"/>
      <c r="J1264" s="7"/>
      <c r="K1264" s="8"/>
      <c r="L1264" s="9"/>
      <c r="M1264" s="10"/>
      <c r="N1264" s="11"/>
      <c r="O1264" s="12"/>
      <c r="P1264" s="32"/>
      <c r="Q1264" s="80"/>
      <c r="R1264" s="82"/>
      <c r="S1264" s="80"/>
      <c r="T1264" s="32"/>
      <c r="U1264" s="32"/>
      <c r="V1264" s="74"/>
      <c r="W1264" s="15"/>
      <c r="X1264" s="15"/>
      <c r="Y1264" s="16"/>
      <c r="Z1264" s="17"/>
      <c r="AA1264" s="16"/>
      <c r="AB1264" s="99"/>
      <c r="AC1264" s="20"/>
      <c r="AD1264" s="21"/>
      <c r="AE1264" s="22"/>
      <c r="AF1264" s="23"/>
      <c r="AG1264" s="24"/>
      <c r="AH1264" s="15"/>
      <c r="AI1264" s="76"/>
      <c r="AJ1264" s="77"/>
      <c r="AK1264" s="77"/>
      <c r="AL1264" s="77"/>
      <c r="AM1264" s="77"/>
      <c r="AN1264" s="77"/>
      <c r="AO1264" s="77"/>
      <c r="AP1264" s="77"/>
      <c r="AQ1264" s="77"/>
      <c r="AR1264" s="77"/>
      <c r="AS1264" s="77"/>
      <c r="AT1264" s="77"/>
      <c r="AU1264" s="77"/>
      <c r="AV1264" s="77"/>
      <c r="AW1264" s="77"/>
      <c r="AX1264" s="77"/>
      <c r="AY1264" s="77"/>
      <c r="AZ1264" s="77"/>
      <c r="BA1264" s="77"/>
      <c r="BB1264" s="77"/>
      <c r="BC1264" s="77"/>
      <c r="BD1264" s="77"/>
      <c r="BE1264" s="77"/>
      <c r="BF1264" s="77"/>
      <c r="BG1264" s="77"/>
      <c r="BH1264" s="77"/>
      <c r="BI1264" s="77"/>
      <c r="BJ1264" s="77"/>
      <c r="BK1264" s="77"/>
      <c r="BL1264" s="77"/>
      <c r="BM1264" s="77"/>
      <c r="BN1264" s="77"/>
      <c r="BO1264" s="77"/>
      <c r="BP1264" s="76"/>
    </row>
    <row r="1265" spans="5:68" ht="15" customHeight="1" x14ac:dyDescent="0.25">
      <c r="E1265" s="3"/>
      <c r="F1265" s="4"/>
      <c r="G1265" s="39"/>
      <c r="H1265" s="40"/>
      <c r="I1265" s="40"/>
      <c r="J1265" s="7"/>
      <c r="K1265" s="8"/>
      <c r="L1265" s="9"/>
      <c r="M1265" s="10"/>
      <c r="N1265" s="11"/>
      <c r="O1265" s="12"/>
      <c r="P1265" s="32"/>
      <c r="Q1265" s="80"/>
      <c r="R1265" s="82"/>
      <c r="S1265" s="80"/>
      <c r="T1265" s="32"/>
      <c r="U1265" s="32"/>
      <c r="V1265" s="74"/>
      <c r="W1265" s="15"/>
      <c r="X1265" s="15"/>
      <c r="Y1265" s="16"/>
      <c r="Z1265" s="17"/>
      <c r="AA1265" s="16"/>
      <c r="AB1265" s="99"/>
      <c r="AC1265" s="20"/>
      <c r="AD1265" s="21"/>
      <c r="AE1265" s="22"/>
      <c r="AF1265" s="23"/>
      <c r="AG1265" s="24"/>
      <c r="AH1265" s="15"/>
      <c r="AI1265" s="76"/>
      <c r="AJ1265" s="76"/>
      <c r="AK1265" s="76"/>
      <c r="AL1265" s="76"/>
      <c r="AM1265" s="76"/>
      <c r="AN1265" s="77"/>
      <c r="AO1265" s="77"/>
      <c r="AP1265" s="77"/>
      <c r="AQ1265" s="77"/>
      <c r="AR1265" s="77"/>
      <c r="AS1265" s="77"/>
      <c r="AT1265" s="77"/>
      <c r="AU1265" s="77"/>
      <c r="AV1265" s="77"/>
      <c r="AW1265" s="77"/>
      <c r="AX1265" s="77"/>
      <c r="AY1265" s="77"/>
      <c r="AZ1265" s="77"/>
      <c r="BA1265" s="77"/>
      <c r="BB1265" s="77"/>
      <c r="BC1265" s="77"/>
      <c r="BD1265" s="77"/>
      <c r="BE1265" s="77"/>
      <c r="BF1265" s="77"/>
      <c r="BG1265" s="77"/>
      <c r="BH1265" s="77"/>
      <c r="BI1265" s="77"/>
      <c r="BJ1265" s="77"/>
      <c r="BK1265" s="77"/>
      <c r="BL1265" s="77"/>
      <c r="BM1265" s="77"/>
      <c r="BN1265" s="77"/>
      <c r="BO1265" s="77"/>
      <c r="BP1265" s="76"/>
    </row>
    <row r="1266" spans="5:68" ht="15" customHeight="1" x14ac:dyDescent="0.25">
      <c r="E1266" s="3"/>
      <c r="F1266" s="4"/>
      <c r="G1266" s="39"/>
      <c r="H1266" s="40"/>
      <c r="I1266" s="40"/>
      <c r="J1266" s="7"/>
      <c r="K1266" s="8"/>
      <c r="L1266" s="9"/>
      <c r="M1266" s="10"/>
      <c r="N1266" s="11"/>
      <c r="O1266" s="12"/>
      <c r="P1266" s="32"/>
      <c r="Q1266" s="80"/>
      <c r="R1266" s="82"/>
      <c r="S1266" s="80"/>
      <c r="T1266" s="32"/>
      <c r="U1266" s="32"/>
      <c r="V1266" s="74"/>
      <c r="W1266" s="15"/>
      <c r="X1266" s="15"/>
      <c r="Y1266" s="16"/>
      <c r="Z1266" s="17"/>
      <c r="AA1266" s="16"/>
      <c r="AB1266" s="99"/>
      <c r="AC1266" s="20"/>
      <c r="AD1266" s="21"/>
      <c r="AE1266" s="22"/>
      <c r="AF1266" s="23"/>
      <c r="AG1266" s="24"/>
      <c r="AH1266" s="15"/>
      <c r="AI1266" s="76"/>
      <c r="AJ1266" s="77"/>
      <c r="AK1266" s="77"/>
      <c r="AL1266" s="77"/>
      <c r="AM1266" s="77"/>
      <c r="AN1266" s="76"/>
      <c r="AO1266" s="76"/>
      <c r="AP1266" s="77"/>
      <c r="AQ1266" s="77"/>
      <c r="AR1266" s="77"/>
      <c r="AS1266" s="77"/>
      <c r="AT1266" s="77"/>
      <c r="AU1266" s="77"/>
      <c r="AV1266" s="77"/>
      <c r="AW1266" s="77"/>
      <c r="AX1266" s="77"/>
      <c r="AY1266" s="77"/>
      <c r="AZ1266" s="77"/>
      <c r="BA1266" s="77"/>
      <c r="BB1266" s="77"/>
      <c r="BC1266" s="77"/>
      <c r="BD1266" s="77"/>
      <c r="BE1266" s="77"/>
      <c r="BF1266" s="77"/>
      <c r="BG1266" s="77"/>
      <c r="BH1266" s="77"/>
      <c r="BI1266" s="77"/>
      <c r="BJ1266" s="77"/>
      <c r="BK1266" s="77"/>
      <c r="BL1266" s="77"/>
      <c r="BM1266" s="77"/>
      <c r="BN1266" s="77"/>
      <c r="BO1266" s="77"/>
      <c r="BP1266" s="77"/>
    </row>
    <row r="1267" spans="5:68" ht="15" customHeight="1" x14ac:dyDescent="0.25">
      <c r="E1267" s="3"/>
      <c r="F1267" s="4"/>
      <c r="G1267" s="39"/>
      <c r="H1267" s="40"/>
      <c r="I1267" s="40"/>
      <c r="J1267" s="7"/>
      <c r="K1267" s="8"/>
      <c r="L1267" s="9"/>
      <c r="M1267" s="10"/>
      <c r="N1267" s="11"/>
      <c r="O1267" s="12"/>
      <c r="P1267" s="32"/>
      <c r="Q1267" s="80"/>
      <c r="R1267" s="82"/>
      <c r="S1267" s="80"/>
      <c r="T1267" s="32"/>
      <c r="U1267" s="32"/>
      <c r="V1267" s="74"/>
      <c r="W1267" s="15"/>
      <c r="X1267" s="15"/>
      <c r="Y1267" s="16"/>
      <c r="Z1267" s="17"/>
      <c r="AA1267" s="16"/>
      <c r="AB1267" s="99"/>
      <c r="AC1267" s="20"/>
      <c r="AD1267" s="21"/>
      <c r="AE1267" s="22"/>
      <c r="AF1267" s="23"/>
      <c r="AG1267" s="24"/>
      <c r="AH1267" s="15"/>
      <c r="AI1267" s="76"/>
      <c r="AJ1267" s="77"/>
      <c r="AK1267" s="77"/>
      <c r="AL1267" s="77"/>
      <c r="AM1267" s="77"/>
      <c r="AN1267" s="76"/>
      <c r="AO1267" s="76"/>
      <c r="AP1267" s="77"/>
      <c r="AQ1267" s="77"/>
      <c r="AR1267" s="77"/>
      <c r="AS1267" s="77"/>
      <c r="AT1267" s="77"/>
      <c r="AU1267" s="77"/>
      <c r="AV1267" s="77"/>
      <c r="AW1267" s="77"/>
      <c r="AX1267" s="77"/>
      <c r="AY1267" s="77"/>
      <c r="AZ1267" s="77"/>
      <c r="BA1267" s="77"/>
      <c r="BB1267" s="77"/>
      <c r="BC1267" s="77"/>
      <c r="BD1267" s="77"/>
      <c r="BE1267" s="77"/>
      <c r="BF1267" s="77"/>
      <c r="BG1267" s="77"/>
      <c r="BH1267" s="77"/>
      <c r="BI1267" s="77"/>
      <c r="BJ1267" s="77"/>
      <c r="BK1267" s="77"/>
      <c r="BL1267" s="77"/>
      <c r="BM1267" s="77"/>
      <c r="BN1267" s="77"/>
      <c r="BO1267" s="77"/>
      <c r="BP1267" s="77"/>
    </row>
    <row r="1268" spans="5:68" ht="15" customHeight="1" x14ac:dyDescent="0.25">
      <c r="E1268" s="3"/>
      <c r="F1268" s="4"/>
      <c r="G1268" s="39"/>
      <c r="H1268" s="40"/>
      <c r="I1268" s="40"/>
      <c r="J1268" s="7"/>
      <c r="K1268" s="8"/>
      <c r="L1268" s="9"/>
      <c r="M1268" s="10"/>
      <c r="N1268" s="11"/>
      <c r="O1268" s="12"/>
      <c r="P1268" s="32"/>
      <c r="Q1268" s="80"/>
      <c r="R1268" s="82"/>
      <c r="S1268" s="80"/>
      <c r="T1268" s="32"/>
      <c r="U1268" s="32"/>
      <c r="V1268" s="74"/>
      <c r="W1268" s="15"/>
      <c r="X1268" s="15"/>
      <c r="Y1268" s="16"/>
      <c r="Z1268" s="17"/>
      <c r="AA1268" s="16"/>
      <c r="AB1268" s="99"/>
      <c r="AC1268" s="20"/>
      <c r="AD1268" s="21"/>
      <c r="AE1268" s="22"/>
      <c r="AF1268" s="23"/>
      <c r="AG1268" s="24"/>
      <c r="AH1268" s="15"/>
      <c r="AI1268" s="76"/>
      <c r="AJ1268" s="77"/>
      <c r="AK1268" s="77"/>
      <c r="AL1268" s="77"/>
      <c r="AM1268" s="77"/>
      <c r="AN1268" s="76"/>
      <c r="AO1268" s="76"/>
      <c r="AP1268" s="77"/>
      <c r="AQ1268" s="77"/>
      <c r="AR1268" s="77"/>
      <c r="AS1268" s="77"/>
      <c r="AT1268" s="77"/>
      <c r="AU1268" s="77"/>
      <c r="AV1268" s="77"/>
      <c r="AW1268" s="77"/>
      <c r="AX1268" s="77"/>
      <c r="AY1268" s="77"/>
      <c r="AZ1268" s="77"/>
      <c r="BA1268" s="77"/>
      <c r="BB1268" s="77"/>
      <c r="BC1268" s="77"/>
      <c r="BD1268" s="77"/>
      <c r="BE1268" s="77"/>
      <c r="BF1268" s="77"/>
      <c r="BG1268" s="77"/>
      <c r="BH1268" s="77"/>
      <c r="BI1268" s="77"/>
      <c r="BJ1268" s="77"/>
      <c r="BK1268" s="77"/>
      <c r="BL1268" s="77"/>
      <c r="BM1268" s="77"/>
      <c r="BN1268" s="77"/>
      <c r="BO1268" s="77"/>
      <c r="BP1268" s="77"/>
    </row>
    <row r="1269" spans="5:68" ht="15" customHeight="1" x14ac:dyDescent="0.25">
      <c r="E1269" s="3"/>
      <c r="F1269" s="4"/>
      <c r="G1269" s="39"/>
      <c r="H1269" s="40"/>
      <c r="I1269" s="40"/>
      <c r="J1269" s="7"/>
      <c r="K1269" s="8"/>
      <c r="L1269" s="9"/>
      <c r="M1269" s="10"/>
      <c r="N1269" s="11"/>
      <c r="O1269" s="12"/>
      <c r="P1269" s="32"/>
      <c r="Q1269" s="80"/>
      <c r="R1269" s="82"/>
      <c r="S1269" s="80"/>
      <c r="T1269" s="32"/>
      <c r="U1269" s="32"/>
      <c r="V1269" s="74"/>
      <c r="W1269" s="15"/>
      <c r="X1269" s="15"/>
      <c r="Y1269" s="16"/>
      <c r="Z1269" s="17"/>
      <c r="AA1269" s="16"/>
      <c r="AB1269" s="99"/>
      <c r="AC1269" s="20"/>
      <c r="AD1269" s="21"/>
      <c r="AE1269" s="22"/>
      <c r="AF1269" s="23"/>
      <c r="AG1269" s="24"/>
      <c r="AH1269" s="15"/>
      <c r="AI1269" s="76"/>
      <c r="AJ1269" s="76"/>
      <c r="AK1269" s="76"/>
      <c r="AL1269" s="76"/>
      <c r="AM1269" s="76"/>
      <c r="AN1269" s="76"/>
      <c r="AO1269" s="76"/>
      <c r="AP1269" s="77"/>
      <c r="AQ1269" s="77"/>
      <c r="AR1269" s="77"/>
      <c r="AS1269" s="77"/>
      <c r="AT1269" s="77"/>
      <c r="AU1269" s="77"/>
      <c r="AV1269" s="77"/>
      <c r="AW1269" s="77"/>
      <c r="AX1269" s="77"/>
      <c r="AY1269" s="77"/>
      <c r="AZ1269" s="77"/>
      <c r="BA1269" s="77"/>
      <c r="BB1269" s="77"/>
      <c r="BC1269" s="77"/>
      <c r="BD1269" s="77"/>
      <c r="BE1269" s="77"/>
      <c r="BF1269" s="77"/>
      <c r="BG1269" s="77"/>
      <c r="BH1269" s="77"/>
      <c r="BI1269" s="77"/>
      <c r="BJ1269" s="77"/>
      <c r="BK1269" s="77"/>
      <c r="BL1269" s="77"/>
      <c r="BM1269" s="77"/>
      <c r="BN1269" s="77"/>
      <c r="BO1269" s="77"/>
      <c r="BP1269" s="77"/>
    </row>
    <row r="1270" spans="5:68" ht="15" customHeight="1" x14ac:dyDescent="0.25">
      <c r="E1270" s="3"/>
      <c r="F1270" s="4"/>
      <c r="G1270" s="39"/>
      <c r="H1270" s="40"/>
      <c r="I1270" s="40"/>
      <c r="J1270" s="7"/>
      <c r="K1270" s="8"/>
      <c r="L1270" s="9"/>
      <c r="M1270" s="10"/>
      <c r="N1270" s="11"/>
      <c r="O1270" s="12"/>
      <c r="P1270" s="32"/>
      <c r="Q1270" s="80"/>
      <c r="R1270" s="82"/>
      <c r="S1270" s="80"/>
      <c r="T1270" s="32"/>
      <c r="U1270" s="32"/>
      <c r="V1270" s="74"/>
      <c r="W1270" s="15"/>
      <c r="X1270" s="15"/>
      <c r="Y1270" s="16"/>
      <c r="Z1270" s="17"/>
      <c r="AA1270" s="16"/>
      <c r="AB1270" s="99"/>
      <c r="AC1270" s="20"/>
      <c r="AD1270" s="21"/>
      <c r="AE1270" s="22"/>
      <c r="AF1270" s="23"/>
      <c r="AG1270" s="24"/>
      <c r="AH1270" s="15"/>
      <c r="AI1270" s="76"/>
      <c r="AJ1270" s="77"/>
      <c r="AK1270" s="77"/>
      <c r="AL1270" s="77"/>
      <c r="AM1270" s="77"/>
      <c r="AN1270" s="76"/>
      <c r="AO1270" s="76"/>
      <c r="AP1270" s="77"/>
      <c r="AQ1270" s="77"/>
      <c r="AR1270" s="77"/>
      <c r="AS1270" s="77"/>
      <c r="AT1270" s="77"/>
      <c r="AU1270" s="77"/>
      <c r="AV1270" s="77"/>
      <c r="AW1270" s="77"/>
      <c r="AX1270" s="77"/>
      <c r="AY1270" s="77"/>
      <c r="AZ1270" s="77"/>
      <c r="BA1270" s="77"/>
      <c r="BB1270" s="77"/>
      <c r="BC1270" s="77"/>
      <c r="BD1270" s="77"/>
      <c r="BE1270" s="77"/>
      <c r="BF1270" s="77"/>
      <c r="BG1270" s="77"/>
      <c r="BH1270" s="77"/>
      <c r="BI1270" s="77"/>
      <c r="BJ1270" s="77"/>
      <c r="BK1270" s="77"/>
      <c r="BL1270" s="77"/>
      <c r="BM1270" s="77"/>
      <c r="BN1270" s="77"/>
      <c r="BO1270" s="77"/>
      <c r="BP1270" s="77"/>
    </row>
    <row r="1271" spans="5:68" ht="15" customHeight="1" x14ac:dyDescent="0.25">
      <c r="E1271" s="3"/>
      <c r="F1271" s="4"/>
      <c r="G1271" s="39"/>
      <c r="H1271" s="40"/>
      <c r="I1271" s="40"/>
      <c r="J1271" s="7"/>
      <c r="K1271" s="8"/>
      <c r="L1271" s="9"/>
      <c r="M1271" s="10"/>
      <c r="N1271" s="11"/>
      <c r="O1271" s="12"/>
      <c r="P1271" s="32"/>
      <c r="Q1271" s="80"/>
      <c r="R1271" s="82"/>
      <c r="S1271" s="80"/>
      <c r="T1271" s="32"/>
      <c r="U1271" s="32"/>
      <c r="V1271" s="74"/>
      <c r="W1271" s="15"/>
      <c r="X1271" s="15"/>
      <c r="Y1271" s="16"/>
      <c r="Z1271" s="17"/>
      <c r="AA1271" s="16"/>
      <c r="AB1271" s="99"/>
      <c r="AC1271" s="20"/>
      <c r="AD1271" s="21"/>
      <c r="AE1271" s="22"/>
      <c r="AF1271" s="23"/>
      <c r="AG1271" s="24"/>
      <c r="AH1271" s="15"/>
      <c r="AI1271" s="76"/>
      <c r="AJ1271" s="77"/>
      <c r="AK1271" s="77"/>
      <c r="AL1271" s="77"/>
      <c r="AM1271" s="77"/>
      <c r="AN1271" s="77"/>
      <c r="AO1271" s="77"/>
      <c r="AP1271" s="77"/>
      <c r="AQ1271" s="77"/>
      <c r="AR1271" s="77"/>
      <c r="AS1271" s="77"/>
      <c r="AT1271" s="77"/>
      <c r="AU1271" s="77"/>
      <c r="AV1271" s="77"/>
      <c r="AW1271" s="77"/>
      <c r="AX1271" s="77"/>
      <c r="AY1271" s="77"/>
      <c r="AZ1271" s="77"/>
      <c r="BA1271" s="77"/>
      <c r="BB1271" s="77"/>
      <c r="BC1271" s="77"/>
      <c r="BD1271" s="77"/>
      <c r="BE1271" s="77"/>
      <c r="BF1271" s="77"/>
      <c r="BG1271" s="77"/>
      <c r="BH1271" s="77"/>
      <c r="BI1271" s="77"/>
      <c r="BJ1271" s="77"/>
      <c r="BK1271" s="77"/>
      <c r="BL1271" s="77"/>
      <c r="BM1271" s="77"/>
      <c r="BN1271" s="77"/>
      <c r="BO1271" s="77"/>
      <c r="BP1271" s="77"/>
    </row>
    <row r="1272" spans="5:68" ht="15" customHeight="1" x14ac:dyDescent="0.25">
      <c r="E1272" s="3"/>
      <c r="F1272" s="4"/>
      <c r="G1272" s="39"/>
      <c r="H1272" s="40"/>
      <c r="I1272" s="40"/>
      <c r="J1272" s="7"/>
      <c r="K1272" s="8"/>
      <c r="L1272" s="9"/>
      <c r="M1272" s="10"/>
      <c r="N1272" s="11"/>
      <c r="O1272" s="12"/>
      <c r="P1272" s="32"/>
      <c r="Q1272" s="80"/>
      <c r="R1272" s="82"/>
      <c r="S1272" s="80"/>
      <c r="T1272" s="32"/>
      <c r="U1272" s="32"/>
      <c r="V1272" s="74"/>
      <c r="W1272" s="15"/>
      <c r="X1272" s="15"/>
      <c r="Y1272" s="16"/>
      <c r="Z1272" s="17"/>
      <c r="AA1272" s="16"/>
      <c r="AB1272" s="99"/>
      <c r="AC1272" s="20"/>
      <c r="AD1272" s="21"/>
      <c r="AE1272" s="22"/>
      <c r="AF1272" s="23"/>
      <c r="AG1272" s="24"/>
      <c r="AH1272" s="15"/>
      <c r="AI1272" s="76"/>
      <c r="AJ1272" s="76"/>
      <c r="AK1272" s="76"/>
      <c r="AL1272" s="76"/>
      <c r="AM1272" s="76"/>
      <c r="AN1272" s="76"/>
      <c r="AO1272" s="76"/>
      <c r="AP1272" s="77"/>
      <c r="AQ1272" s="77"/>
      <c r="AR1272" s="77"/>
      <c r="AS1272" s="77"/>
      <c r="AT1272" s="77"/>
      <c r="AU1272" s="77"/>
      <c r="AV1272" s="77"/>
      <c r="AW1272" s="77"/>
      <c r="AX1272" s="77"/>
      <c r="AY1272" s="77"/>
      <c r="AZ1272" s="77"/>
      <c r="BA1272" s="77"/>
      <c r="BB1272" s="77"/>
      <c r="BC1272" s="77"/>
      <c r="BD1272" s="77"/>
      <c r="BE1272" s="77"/>
      <c r="BF1272" s="77"/>
      <c r="BG1272" s="77"/>
      <c r="BH1272" s="77"/>
      <c r="BI1272" s="77"/>
      <c r="BJ1272" s="77"/>
      <c r="BK1272" s="77"/>
      <c r="BL1272" s="77"/>
      <c r="BM1272" s="77"/>
      <c r="BN1272" s="77"/>
      <c r="BO1272" s="77"/>
      <c r="BP1272" s="77"/>
    </row>
    <row r="1273" spans="5:68" ht="15" customHeight="1" x14ac:dyDescent="0.25">
      <c r="E1273" s="3"/>
      <c r="F1273" s="4"/>
      <c r="G1273" s="39"/>
      <c r="H1273" s="40"/>
      <c r="I1273" s="40"/>
      <c r="J1273" s="7"/>
      <c r="K1273" s="8"/>
      <c r="L1273" s="9"/>
      <c r="M1273" s="10"/>
      <c r="N1273" s="11"/>
      <c r="O1273" s="12"/>
      <c r="P1273" s="32"/>
      <c r="Q1273" s="81"/>
      <c r="R1273" s="82"/>
      <c r="S1273" s="80"/>
      <c r="T1273" s="32"/>
      <c r="U1273" s="32"/>
      <c r="V1273" s="74"/>
      <c r="W1273" s="15"/>
      <c r="X1273" s="15"/>
      <c r="Y1273" s="16"/>
      <c r="Z1273" s="17"/>
      <c r="AA1273" s="16"/>
      <c r="AB1273" s="99"/>
      <c r="AC1273" s="20"/>
      <c r="AD1273" s="21"/>
      <c r="AE1273" s="22"/>
      <c r="AF1273" s="23"/>
      <c r="AG1273" s="24"/>
      <c r="AH1273" s="15"/>
      <c r="AI1273" s="76"/>
      <c r="AJ1273" s="77"/>
      <c r="AK1273" s="77"/>
      <c r="AL1273" s="77"/>
      <c r="AM1273" s="77"/>
      <c r="AN1273" s="76"/>
      <c r="AO1273" s="76"/>
      <c r="AP1273" s="77"/>
      <c r="AQ1273" s="77"/>
      <c r="AR1273" s="77"/>
      <c r="AS1273" s="77"/>
      <c r="AT1273" s="77"/>
      <c r="AU1273" s="77"/>
      <c r="AV1273" s="77"/>
      <c r="AW1273" s="77"/>
      <c r="AX1273" s="76"/>
      <c r="AY1273" s="76"/>
      <c r="AZ1273" s="76"/>
      <c r="BA1273" s="76"/>
      <c r="BB1273" s="76"/>
      <c r="BC1273" s="76"/>
      <c r="BD1273" s="77"/>
      <c r="BE1273" s="77"/>
      <c r="BF1273" s="77"/>
      <c r="BG1273" s="77"/>
      <c r="BH1273" s="77"/>
      <c r="BI1273" s="77"/>
      <c r="BJ1273" s="77"/>
      <c r="BK1273" s="77"/>
      <c r="BL1273" s="77"/>
      <c r="BM1273" s="77"/>
      <c r="BN1273" s="77"/>
      <c r="BO1273" s="77"/>
      <c r="BP1273" s="76"/>
    </row>
    <row r="1274" spans="5:68" ht="15" customHeight="1" x14ac:dyDescent="0.25">
      <c r="E1274" s="3"/>
      <c r="F1274" s="4"/>
      <c r="G1274" s="39"/>
      <c r="H1274" s="40"/>
      <c r="I1274" s="40"/>
      <c r="J1274" s="7"/>
      <c r="K1274" s="8"/>
      <c r="L1274" s="9"/>
      <c r="M1274" s="10"/>
      <c r="N1274" s="11"/>
      <c r="O1274" s="12"/>
      <c r="P1274" s="32"/>
      <c r="Q1274" s="81"/>
      <c r="R1274" s="82"/>
      <c r="S1274" s="80"/>
      <c r="T1274" s="32"/>
      <c r="U1274" s="32"/>
      <c r="V1274" s="74"/>
      <c r="W1274" s="15"/>
      <c r="X1274" s="15"/>
      <c r="Y1274" s="16"/>
      <c r="Z1274" s="17"/>
      <c r="AA1274" s="16"/>
      <c r="AB1274" s="99"/>
      <c r="AC1274" s="20"/>
      <c r="AD1274" s="21"/>
      <c r="AE1274" s="22"/>
      <c r="AF1274" s="23"/>
      <c r="AG1274" s="24"/>
      <c r="AH1274" s="15"/>
      <c r="AI1274" s="76"/>
      <c r="AJ1274" s="77"/>
      <c r="AK1274" s="77"/>
      <c r="AL1274" s="77"/>
      <c r="AM1274" s="77"/>
      <c r="AN1274" s="77"/>
      <c r="AO1274" s="77"/>
      <c r="AP1274" s="77"/>
      <c r="AQ1274" s="77"/>
      <c r="AR1274" s="77"/>
      <c r="AS1274" s="77"/>
      <c r="AT1274" s="77"/>
      <c r="AU1274" s="77"/>
      <c r="AV1274" s="77"/>
      <c r="AW1274" s="77"/>
      <c r="AX1274" s="77"/>
      <c r="AY1274" s="77"/>
      <c r="AZ1274" s="77"/>
      <c r="BA1274" s="77"/>
      <c r="BB1274" s="77"/>
      <c r="BC1274" s="77"/>
      <c r="BD1274" s="77"/>
      <c r="BE1274" s="77"/>
      <c r="BF1274" s="77"/>
      <c r="BG1274" s="77"/>
      <c r="BH1274" s="77"/>
      <c r="BI1274" s="77"/>
      <c r="BJ1274" s="77"/>
      <c r="BK1274" s="77"/>
      <c r="BL1274" s="77"/>
      <c r="BM1274" s="77"/>
      <c r="BN1274" s="77"/>
      <c r="BO1274" s="77"/>
      <c r="BP1274" s="77"/>
    </row>
    <row r="1275" spans="5:68" ht="15" customHeight="1" x14ac:dyDescent="0.25">
      <c r="E1275" s="3"/>
      <c r="F1275" s="4"/>
      <c r="G1275" s="39"/>
      <c r="H1275" s="40"/>
      <c r="I1275" s="40"/>
      <c r="J1275" s="7"/>
      <c r="K1275" s="8"/>
      <c r="L1275" s="9"/>
      <c r="M1275" s="10"/>
      <c r="N1275" s="11"/>
      <c r="O1275" s="12"/>
      <c r="P1275" s="32"/>
      <c r="Q1275" s="81"/>
      <c r="R1275" s="82"/>
      <c r="S1275" s="80"/>
      <c r="T1275" s="32"/>
      <c r="U1275" s="32"/>
      <c r="V1275" s="74"/>
      <c r="W1275" s="15"/>
      <c r="X1275" s="15"/>
      <c r="Y1275" s="16"/>
      <c r="Z1275" s="17"/>
      <c r="AA1275" s="16"/>
      <c r="AB1275" s="99"/>
      <c r="AC1275" s="20"/>
      <c r="AD1275" s="21"/>
      <c r="AE1275" s="22"/>
      <c r="AF1275" s="23"/>
      <c r="AG1275" s="24"/>
      <c r="AH1275" s="15"/>
      <c r="AI1275" s="76"/>
      <c r="AJ1275" s="77"/>
      <c r="AK1275" s="77"/>
      <c r="AL1275" s="77"/>
      <c r="AM1275" s="77"/>
      <c r="AN1275" s="77"/>
      <c r="AO1275" s="77"/>
      <c r="AP1275" s="77"/>
      <c r="AQ1275" s="77"/>
      <c r="AR1275" s="77"/>
      <c r="AS1275" s="77"/>
      <c r="AT1275" s="77"/>
      <c r="AU1275" s="77"/>
      <c r="AV1275" s="77"/>
      <c r="AW1275" s="77"/>
      <c r="AX1275" s="77"/>
      <c r="AY1275" s="77"/>
      <c r="AZ1275" s="77"/>
      <c r="BA1275" s="77"/>
      <c r="BB1275" s="77"/>
      <c r="BC1275" s="77"/>
      <c r="BD1275" s="77"/>
      <c r="BE1275" s="77"/>
      <c r="BF1275" s="77"/>
      <c r="BG1275" s="77"/>
      <c r="BH1275" s="77"/>
      <c r="BI1275" s="77"/>
      <c r="BJ1275" s="77"/>
      <c r="BK1275" s="77"/>
      <c r="BL1275" s="77"/>
      <c r="BM1275" s="77"/>
      <c r="BN1275" s="77"/>
      <c r="BO1275" s="77"/>
      <c r="BP1275" s="77"/>
    </row>
    <row r="1276" spans="5:68" ht="15" customHeight="1" x14ac:dyDescent="0.25">
      <c r="E1276" s="3"/>
      <c r="F1276" s="4"/>
      <c r="G1276" s="39"/>
      <c r="H1276" s="40"/>
      <c r="I1276" s="40"/>
      <c r="J1276" s="7"/>
      <c r="K1276" s="8"/>
      <c r="L1276" s="9"/>
      <c r="M1276" s="10"/>
      <c r="N1276" s="11"/>
      <c r="O1276" s="12"/>
      <c r="P1276" s="32"/>
      <c r="Q1276" s="81"/>
      <c r="R1276" s="82"/>
      <c r="S1276" s="80"/>
      <c r="T1276" s="32"/>
      <c r="U1276" s="32"/>
      <c r="V1276" s="74"/>
      <c r="W1276" s="15"/>
      <c r="X1276" s="15"/>
      <c r="Y1276" s="16"/>
      <c r="Z1276" s="17"/>
      <c r="AA1276" s="16"/>
      <c r="AB1276" s="99"/>
      <c r="AC1276" s="20"/>
      <c r="AD1276" s="21"/>
      <c r="AE1276" s="22"/>
      <c r="AF1276" s="23"/>
      <c r="AG1276" s="24"/>
      <c r="AH1276" s="15"/>
      <c r="AI1276" s="76"/>
      <c r="AJ1276" s="77"/>
      <c r="AK1276" s="77"/>
      <c r="AL1276" s="77"/>
      <c r="AM1276" s="77"/>
      <c r="AN1276" s="76"/>
      <c r="AO1276" s="76"/>
      <c r="AP1276" s="77"/>
      <c r="AQ1276" s="77"/>
      <c r="AR1276" s="77"/>
      <c r="AS1276" s="77"/>
      <c r="AT1276" s="77"/>
      <c r="AU1276" s="77"/>
      <c r="AV1276" s="77"/>
      <c r="AW1276" s="77"/>
      <c r="AX1276" s="77"/>
      <c r="AY1276" s="77"/>
      <c r="AZ1276" s="77"/>
      <c r="BA1276" s="77"/>
      <c r="BB1276" s="77"/>
      <c r="BC1276" s="77"/>
      <c r="BD1276" s="77"/>
      <c r="BE1276" s="77"/>
      <c r="BF1276" s="77"/>
      <c r="BG1276" s="77"/>
      <c r="BH1276" s="77"/>
      <c r="BI1276" s="77"/>
      <c r="BJ1276" s="77"/>
      <c r="BK1276" s="77"/>
      <c r="BL1276" s="77"/>
      <c r="BM1276" s="77"/>
      <c r="BN1276" s="77"/>
      <c r="BO1276" s="77"/>
      <c r="BP1276" s="77"/>
    </row>
    <row r="1277" spans="5:68" ht="15" customHeight="1" x14ac:dyDescent="0.25">
      <c r="E1277" s="3"/>
      <c r="F1277" s="4"/>
      <c r="G1277" s="39"/>
      <c r="H1277" s="40"/>
      <c r="I1277" s="40"/>
      <c r="J1277" s="7"/>
      <c r="K1277" s="8"/>
      <c r="L1277" s="9"/>
      <c r="M1277" s="10"/>
      <c r="N1277" s="11"/>
      <c r="O1277" s="12"/>
      <c r="P1277" s="32"/>
      <c r="Q1277" s="81"/>
      <c r="R1277" s="82"/>
      <c r="S1277" s="80"/>
      <c r="T1277" s="32"/>
      <c r="U1277" s="32"/>
      <c r="V1277" s="74"/>
      <c r="W1277" s="15"/>
      <c r="X1277" s="15"/>
      <c r="Y1277" s="16"/>
      <c r="Z1277" s="17"/>
      <c r="AA1277" s="16"/>
      <c r="AB1277" s="99"/>
      <c r="AC1277" s="20"/>
      <c r="AD1277" s="21"/>
      <c r="AE1277" s="22"/>
      <c r="AF1277" s="23"/>
      <c r="AG1277" s="24"/>
      <c r="AH1277" s="15"/>
      <c r="AI1277" s="76"/>
      <c r="AJ1277" s="76"/>
      <c r="AK1277" s="76"/>
      <c r="AL1277" s="76"/>
      <c r="AM1277" s="76"/>
      <c r="AN1277" s="76"/>
      <c r="AO1277" s="76"/>
      <c r="AP1277" s="77"/>
      <c r="AQ1277" s="77"/>
      <c r="AR1277" s="77"/>
      <c r="AS1277" s="77"/>
      <c r="AT1277" s="77"/>
      <c r="AU1277" s="77"/>
      <c r="AV1277" s="77"/>
      <c r="AW1277" s="77"/>
      <c r="AX1277" s="77"/>
      <c r="AY1277" s="77"/>
      <c r="AZ1277" s="77"/>
      <c r="BA1277" s="77"/>
      <c r="BB1277" s="77"/>
      <c r="BC1277" s="77"/>
      <c r="BD1277" s="77"/>
      <c r="BE1277" s="77"/>
      <c r="BF1277" s="77"/>
      <c r="BG1277" s="77"/>
      <c r="BH1277" s="77"/>
      <c r="BI1277" s="77"/>
      <c r="BJ1277" s="77"/>
      <c r="BK1277" s="77"/>
      <c r="BL1277" s="77"/>
      <c r="BM1277" s="77"/>
      <c r="BN1277" s="77"/>
      <c r="BO1277" s="77"/>
      <c r="BP1277" s="76"/>
    </row>
    <row r="1278" spans="5:68" ht="15" customHeight="1" x14ac:dyDescent="0.25">
      <c r="E1278" s="3"/>
      <c r="F1278" s="4"/>
      <c r="G1278" s="39"/>
      <c r="H1278" s="40"/>
      <c r="I1278" s="40"/>
      <c r="J1278" s="7"/>
      <c r="K1278" s="8"/>
      <c r="L1278" s="9"/>
      <c r="M1278" s="10"/>
      <c r="N1278" s="11"/>
      <c r="O1278" s="12"/>
      <c r="P1278" s="32"/>
      <c r="Q1278" s="81"/>
      <c r="R1278" s="82"/>
      <c r="S1278" s="80"/>
      <c r="T1278" s="32"/>
      <c r="U1278" s="32"/>
      <c r="V1278" s="74"/>
      <c r="W1278" s="15"/>
      <c r="X1278" s="15"/>
      <c r="Y1278" s="16"/>
      <c r="Z1278" s="17"/>
      <c r="AA1278" s="16"/>
      <c r="AB1278" s="99"/>
      <c r="AC1278" s="20"/>
      <c r="AD1278" s="21"/>
      <c r="AE1278" s="22"/>
      <c r="AF1278" s="23"/>
      <c r="AG1278" s="24"/>
      <c r="AH1278" s="15"/>
      <c r="AI1278" s="77"/>
      <c r="AJ1278" s="77"/>
      <c r="AK1278" s="77"/>
      <c r="AL1278" s="77"/>
      <c r="AM1278" s="77"/>
      <c r="AN1278" s="77"/>
      <c r="AO1278" s="77"/>
      <c r="AP1278" s="77"/>
      <c r="AQ1278" s="77"/>
      <c r="AR1278" s="77"/>
      <c r="AS1278" s="77"/>
      <c r="AT1278" s="77"/>
      <c r="AU1278" s="77"/>
      <c r="AV1278" s="77"/>
      <c r="AW1278" s="77"/>
      <c r="AX1278" s="77"/>
      <c r="AY1278" s="77"/>
      <c r="AZ1278" s="77"/>
      <c r="BA1278" s="77"/>
      <c r="BB1278" s="77"/>
      <c r="BC1278" s="77"/>
      <c r="BD1278" s="77"/>
      <c r="BE1278" s="77"/>
      <c r="BF1278" s="77"/>
      <c r="BG1278" s="77"/>
      <c r="BH1278" s="77"/>
      <c r="BI1278" s="77"/>
      <c r="BJ1278" s="77"/>
      <c r="BK1278" s="77"/>
      <c r="BL1278" s="77"/>
      <c r="BM1278" s="77"/>
      <c r="BN1278" s="77"/>
      <c r="BO1278" s="77"/>
      <c r="BP1278" s="77"/>
    </row>
    <row r="1279" spans="5:68" ht="15" customHeight="1" x14ac:dyDescent="0.25">
      <c r="E1279" s="3"/>
      <c r="F1279" s="4"/>
      <c r="G1279" s="39"/>
      <c r="H1279" s="40"/>
      <c r="I1279" s="40"/>
      <c r="J1279" s="7"/>
      <c r="K1279" s="8"/>
      <c r="L1279" s="9"/>
      <c r="M1279" s="10"/>
      <c r="N1279" s="11"/>
      <c r="O1279" s="12"/>
      <c r="P1279" s="32"/>
      <c r="Q1279" s="82"/>
      <c r="R1279" s="82"/>
      <c r="S1279" s="80"/>
      <c r="T1279" s="32"/>
      <c r="U1279" s="32"/>
      <c r="V1279" s="74"/>
      <c r="W1279" s="15"/>
      <c r="X1279" s="15"/>
      <c r="Y1279" s="16"/>
      <c r="Z1279" s="17"/>
      <c r="AA1279" s="16"/>
      <c r="AB1279" s="99"/>
      <c r="AC1279" s="20"/>
      <c r="AD1279" s="21"/>
      <c r="AE1279" s="22"/>
      <c r="AF1279" s="23"/>
      <c r="AG1279" s="24"/>
      <c r="AH1279" s="15"/>
      <c r="AI1279" s="76"/>
      <c r="AJ1279" s="76"/>
      <c r="AK1279" s="76"/>
      <c r="AL1279" s="76"/>
      <c r="AM1279" s="76"/>
      <c r="AN1279" s="77"/>
      <c r="AO1279" s="77"/>
      <c r="AP1279" s="77"/>
      <c r="AQ1279" s="77"/>
      <c r="AR1279" s="77"/>
      <c r="AS1279" s="77"/>
      <c r="AT1279" s="77"/>
      <c r="AU1279" s="77"/>
      <c r="AV1279" s="77"/>
      <c r="AW1279" s="77"/>
      <c r="AX1279" s="77"/>
      <c r="AY1279" s="77"/>
      <c r="AZ1279" s="77"/>
      <c r="BA1279" s="77"/>
      <c r="BB1279" s="77"/>
      <c r="BC1279" s="77"/>
      <c r="BD1279" s="77"/>
      <c r="BE1279" s="77"/>
      <c r="BF1279" s="77"/>
      <c r="BG1279" s="77"/>
      <c r="BH1279" s="77"/>
      <c r="BI1279" s="77"/>
      <c r="BJ1279" s="77"/>
      <c r="BK1279" s="77"/>
      <c r="BL1279" s="77"/>
      <c r="BM1279" s="77"/>
      <c r="BN1279" s="77"/>
      <c r="BO1279" s="77"/>
      <c r="BP1279" s="77"/>
    </row>
    <row r="1280" spans="5:68" ht="15" customHeight="1" x14ac:dyDescent="0.25">
      <c r="E1280" s="96"/>
      <c r="F1280" s="4"/>
      <c r="G1280" s="39"/>
      <c r="H1280" s="40"/>
      <c r="I1280" s="40"/>
      <c r="J1280" s="7"/>
      <c r="K1280" s="8"/>
      <c r="L1280" s="9"/>
      <c r="M1280" s="10"/>
      <c r="N1280" s="11"/>
      <c r="O1280" s="12"/>
      <c r="P1280" s="32"/>
      <c r="Q1280" s="81"/>
      <c r="R1280" s="82"/>
      <c r="S1280" s="80"/>
      <c r="T1280" s="32"/>
      <c r="U1280" s="32"/>
      <c r="V1280" s="74"/>
      <c r="W1280" s="15"/>
      <c r="X1280" s="15"/>
      <c r="Y1280" s="16"/>
      <c r="Z1280" s="17"/>
      <c r="AA1280" s="16"/>
      <c r="AB1280" s="99"/>
      <c r="AC1280" s="20"/>
      <c r="AD1280" s="21"/>
      <c r="AE1280" s="22"/>
      <c r="AF1280" s="23"/>
      <c r="AG1280" s="24"/>
      <c r="AH1280" s="15"/>
      <c r="AI1280" s="76"/>
      <c r="AJ1280" s="76"/>
      <c r="AK1280" s="76"/>
      <c r="AL1280" s="76"/>
      <c r="AM1280" s="76"/>
      <c r="AN1280" s="77"/>
      <c r="AO1280" s="77"/>
      <c r="AP1280" s="77"/>
      <c r="AQ1280" s="77"/>
      <c r="AR1280" s="77"/>
      <c r="AS1280" s="77"/>
      <c r="AT1280" s="77"/>
      <c r="AU1280" s="77"/>
      <c r="AV1280" s="77"/>
      <c r="AW1280" s="77"/>
      <c r="AX1280" s="77"/>
      <c r="AY1280" s="77"/>
      <c r="AZ1280" s="77"/>
      <c r="BA1280" s="77"/>
      <c r="BB1280" s="77"/>
      <c r="BC1280" s="77"/>
      <c r="BD1280" s="77"/>
      <c r="BE1280" s="77"/>
      <c r="BF1280" s="77"/>
      <c r="BG1280" s="77"/>
      <c r="BH1280" s="77"/>
      <c r="BI1280" s="77"/>
      <c r="BJ1280" s="77"/>
      <c r="BK1280" s="77"/>
      <c r="BL1280" s="77"/>
      <c r="BM1280" s="77"/>
      <c r="BN1280" s="77"/>
      <c r="BO1280" s="77"/>
      <c r="BP1280" s="77"/>
    </row>
    <row r="1281" spans="5:68" ht="15" customHeight="1" x14ac:dyDescent="0.25">
      <c r="E1281" s="96"/>
      <c r="F1281" s="4"/>
      <c r="G1281" s="39"/>
      <c r="H1281" s="40"/>
      <c r="I1281" s="40"/>
      <c r="J1281" s="7"/>
      <c r="K1281" s="8"/>
      <c r="L1281" s="9"/>
      <c r="M1281" s="10"/>
      <c r="N1281" s="11"/>
      <c r="O1281" s="12"/>
      <c r="P1281" s="32"/>
      <c r="Q1281" s="81"/>
      <c r="R1281" s="82"/>
      <c r="S1281" s="80"/>
      <c r="T1281" s="32"/>
      <c r="U1281" s="32"/>
      <c r="V1281" s="74"/>
      <c r="W1281" s="15"/>
      <c r="X1281" s="15"/>
      <c r="Y1281" s="16"/>
      <c r="Z1281" s="17"/>
      <c r="AA1281" s="16"/>
      <c r="AB1281" s="99"/>
      <c r="AC1281" s="20"/>
      <c r="AD1281" s="21"/>
      <c r="AE1281" s="22"/>
      <c r="AF1281" s="23"/>
      <c r="AG1281" s="24"/>
      <c r="AH1281" s="15"/>
      <c r="AI1281" s="76"/>
      <c r="AJ1281" s="76"/>
      <c r="AK1281" s="76"/>
      <c r="AL1281" s="76"/>
      <c r="AM1281" s="76"/>
      <c r="AN1281" s="76"/>
      <c r="AO1281" s="76"/>
      <c r="AP1281" s="77"/>
      <c r="AQ1281" s="77"/>
      <c r="AR1281" s="77"/>
      <c r="AS1281" s="77"/>
      <c r="AT1281" s="77"/>
      <c r="AU1281" s="77"/>
      <c r="AV1281" s="77"/>
      <c r="AW1281" s="77"/>
      <c r="AX1281" s="76"/>
      <c r="AY1281" s="76"/>
      <c r="AZ1281" s="76"/>
      <c r="BA1281" s="76"/>
      <c r="BB1281" s="76"/>
      <c r="BC1281" s="76"/>
      <c r="BD1281" s="77"/>
      <c r="BE1281" s="77"/>
      <c r="BF1281" s="77"/>
      <c r="BG1281" s="77"/>
      <c r="BH1281" s="77"/>
      <c r="BI1281" s="77"/>
      <c r="BJ1281" s="77"/>
      <c r="BK1281" s="77"/>
      <c r="BL1281" s="77"/>
      <c r="BM1281" s="77"/>
      <c r="BN1281" s="77"/>
      <c r="BO1281" s="77"/>
      <c r="BP1281" s="76"/>
    </row>
    <row r="1282" spans="5:68" ht="15" customHeight="1" x14ac:dyDescent="0.25">
      <c r="E1282" s="96"/>
      <c r="F1282" s="4"/>
      <c r="G1282" s="39"/>
      <c r="H1282" s="40"/>
      <c r="I1282" s="40"/>
      <c r="J1282" s="7"/>
      <c r="K1282" s="8"/>
      <c r="L1282" s="9"/>
      <c r="M1282" s="10"/>
      <c r="N1282" s="11"/>
      <c r="O1282" s="12"/>
      <c r="P1282" s="32"/>
      <c r="Q1282" s="81"/>
      <c r="R1282" s="82"/>
      <c r="S1282" s="80"/>
      <c r="T1282" s="32"/>
      <c r="U1282" s="32"/>
      <c r="V1282" s="74"/>
      <c r="W1282" s="15"/>
      <c r="X1282" s="15"/>
      <c r="Y1282" s="16"/>
      <c r="Z1282" s="17"/>
      <c r="AA1282" s="16"/>
      <c r="AB1282" s="99"/>
      <c r="AC1282" s="20"/>
      <c r="AD1282" s="21"/>
      <c r="AE1282" s="22"/>
      <c r="AF1282" s="23"/>
      <c r="AG1282" s="24"/>
      <c r="AH1282" s="15"/>
      <c r="AI1282" s="76"/>
      <c r="AJ1282" s="77"/>
      <c r="AK1282" s="77"/>
      <c r="AL1282" s="77"/>
      <c r="AM1282" s="77"/>
      <c r="AN1282" s="76"/>
      <c r="AO1282" s="76"/>
      <c r="AP1282" s="77"/>
      <c r="AQ1282" s="77"/>
      <c r="AR1282" s="77"/>
      <c r="AS1282" s="77"/>
      <c r="AT1282" s="77"/>
      <c r="AU1282" s="77"/>
      <c r="AV1282" s="77"/>
      <c r="AW1282" s="77"/>
      <c r="AX1282" s="77"/>
      <c r="AY1282" s="77"/>
      <c r="AZ1282" s="77"/>
      <c r="BA1282" s="77"/>
      <c r="BB1282" s="77"/>
      <c r="BC1282" s="77"/>
      <c r="BD1282" s="77"/>
      <c r="BE1282" s="77"/>
      <c r="BF1282" s="77"/>
      <c r="BG1282" s="77"/>
      <c r="BH1282" s="77"/>
      <c r="BI1282" s="77"/>
      <c r="BJ1282" s="77"/>
      <c r="BK1282" s="77"/>
      <c r="BL1282" s="77"/>
      <c r="BM1282" s="77"/>
      <c r="BN1282" s="77"/>
      <c r="BO1282" s="77"/>
      <c r="BP1282" s="77"/>
    </row>
    <row r="1283" spans="5:68" ht="15" customHeight="1" x14ac:dyDescent="0.25">
      <c r="E1283" s="96"/>
      <c r="F1283" s="4"/>
      <c r="G1283" s="39"/>
      <c r="H1283" s="40"/>
      <c r="I1283" s="40"/>
      <c r="J1283" s="7"/>
      <c r="K1283" s="8"/>
      <c r="L1283" s="9"/>
      <c r="M1283" s="10"/>
      <c r="N1283" s="11"/>
      <c r="O1283" s="12"/>
      <c r="P1283" s="32"/>
      <c r="Q1283" s="81"/>
      <c r="R1283" s="82"/>
      <c r="S1283" s="80"/>
      <c r="T1283" s="32"/>
      <c r="U1283" s="32"/>
      <c r="V1283" s="74"/>
      <c r="W1283" s="15"/>
      <c r="X1283" s="15"/>
      <c r="Y1283" s="16"/>
      <c r="Z1283" s="17"/>
      <c r="AA1283" s="16"/>
      <c r="AB1283" s="99"/>
      <c r="AC1283" s="20"/>
      <c r="AD1283" s="21"/>
      <c r="AE1283" s="22"/>
      <c r="AF1283" s="23"/>
      <c r="AG1283" s="24"/>
      <c r="AH1283" s="15"/>
      <c r="AI1283" s="76"/>
      <c r="AJ1283" s="77"/>
      <c r="AK1283" s="77"/>
      <c r="AL1283" s="77"/>
      <c r="AM1283" s="77"/>
      <c r="AN1283" s="77"/>
      <c r="AO1283" s="77"/>
      <c r="AP1283" s="77"/>
      <c r="AQ1283" s="77"/>
      <c r="AR1283" s="77"/>
      <c r="AS1283" s="77"/>
      <c r="AT1283" s="77"/>
      <c r="AU1283" s="77"/>
      <c r="AV1283" s="77"/>
      <c r="AW1283" s="77"/>
      <c r="AX1283" s="77"/>
      <c r="AY1283" s="77"/>
      <c r="AZ1283" s="77"/>
      <c r="BA1283" s="77"/>
      <c r="BB1283" s="77"/>
      <c r="BC1283" s="77"/>
      <c r="BD1283" s="77"/>
      <c r="BE1283" s="77"/>
      <c r="BF1283" s="77"/>
      <c r="BG1283" s="77"/>
      <c r="BH1283" s="77"/>
      <c r="BI1283" s="77"/>
      <c r="BJ1283" s="77"/>
      <c r="BK1283" s="77"/>
      <c r="BL1283" s="77"/>
      <c r="BM1283" s="77"/>
      <c r="BN1283" s="77"/>
      <c r="BO1283" s="77"/>
      <c r="BP1283" s="77"/>
    </row>
    <row r="1284" spans="5:68" ht="15" customHeight="1" x14ac:dyDescent="0.25">
      <c r="E1284" s="3"/>
      <c r="F1284" s="4"/>
      <c r="G1284" s="39"/>
      <c r="H1284" s="40"/>
      <c r="I1284" s="40"/>
      <c r="J1284" s="7"/>
      <c r="K1284" s="8"/>
      <c r="L1284" s="9"/>
      <c r="M1284" s="10"/>
      <c r="N1284" s="11"/>
      <c r="O1284" s="12"/>
      <c r="P1284" s="32"/>
      <c r="Q1284" s="81"/>
      <c r="R1284" s="82"/>
      <c r="S1284" s="80"/>
      <c r="T1284" s="32"/>
      <c r="U1284" s="32"/>
      <c r="V1284" s="74"/>
      <c r="W1284" s="15"/>
      <c r="X1284" s="15"/>
      <c r="Y1284" s="16"/>
      <c r="Z1284" s="17"/>
      <c r="AA1284" s="16"/>
      <c r="AB1284" s="99"/>
      <c r="AC1284" s="20"/>
      <c r="AD1284" s="21"/>
      <c r="AE1284" s="22"/>
      <c r="AF1284" s="23"/>
      <c r="AG1284" s="24"/>
      <c r="AH1284" s="15"/>
      <c r="AI1284" s="76"/>
      <c r="AJ1284" s="76"/>
      <c r="AK1284" s="76"/>
      <c r="AL1284" s="76"/>
      <c r="AM1284" s="76"/>
      <c r="AN1284" s="76"/>
      <c r="AO1284" s="76"/>
      <c r="AP1284" s="77"/>
      <c r="AQ1284" s="77"/>
      <c r="AR1284" s="77"/>
      <c r="AS1284" s="77"/>
      <c r="AT1284" s="77"/>
      <c r="AU1284" s="77"/>
      <c r="AV1284" s="77"/>
      <c r="AW1284" s="77"/>
      <c r="AX1284" s="76"/>
      <c r="AY1284" s="76"/>
      <c r="AZ1284" s="76"/>
      <c r="BA1284" s="76"/>
      <c r="BB1284" s="76"/>
      <c r="BC1284" s="76"/>
      <c r="BD1284" s="77"/>
      <c r="BE1284" s="77"/>
      <c r="BF1284" s="77"/>
      <c r="BG1284" s="77"/>
      <c r="BH1284" s="77"/>
      <c r="BI1284" s="77"/>
      <c r="BJ1284" s="77"/>
      <c r="BK1284" s="77"/>
      <c r="BL1284" s="77"/>
      <c r="BM1284" s="77"/>
      <c r="BN1284" s="77"/>
      <c r="BO1284" s="77"/>
      <c r="BP1284" s="77"/>
    </row>
    <row r="1285" spans="5:68" ht="15" customHeight="1" x14ac:dyDescent="0.25">
      <c r="E1285" s="3"/>
      <c r="F1285" s="4"/>
      <c r="G1285" s="39"/>
      <c r="H1285" s="40"/>
      <c r="I1285" s="40"/>
      <c r="J1285" s="7"/>
      <c r="K1285" s="8"/>
      <c r="L1285" s="9"/>
      <c r="M1285" s="10"/>
      <c r="N1285" s="11"/>
      <c r="O1285" s="12"/>
      <c r="P1285" s="32"/>
      <c r="Q1285" s="81"/>
      <c r="R1285" s="82"/>
      <c r="S1285" s="80"/>
      <c r="T1285" s="32"/>
      <c r="U1285" s="32"/>
      <c r="V1285" s="74"/>
      <c r="W1285" s="15"/>
      <c r="X1285" s="15"/>
      <c r="Y1285" s="16"/>
      <c r="Z1285" s="17"/>
      <c r="AA1285" s="16"/>
      <c r="AB1285" s="99"/>
      <c r="AC1285" s="20"/>
      <c r="AD1285" s="21"/>
      <c r="AE1285" s="22"/>
      <c r="AF1285" s="23"/>
      <c r="AG1285" s="24"/>
      <c r="AH1285" s="15"/>
      <c r="AI1285" s="76"/>
      <c r="AJ1285" s="77"/>
      <c r="AK1285" s="77"/>
      <c r="AL1285" s="77"/>
      <c r="AM1285" s="77"/>
      <c r="AN1285" s="76"/>
      <c r="AO1285" s="76"/>
      <c r="AP1285" s="77"/>
      <c r="AQ1285" s="77"/>
      <c r="AR1285" s="77"/>
      <c r="AS1285" s="77"/>
      <c r="AT1285" s="77"/>
      <c r="AU1285" s="77"/>
      <c r="AV1285" s="77"/>
      <c r="AW1285" s="77"/>
      <c r="AX1285" s="77"/>
      <c r="AY1285" s="77"/>
      <c r="AZ1285" s="77"/>
      <c r="BA1285" s="77"/>
      <c r="BB1285" s="77"/>
      <c r="BC1285" s="77"/>
      <c r="BD1285" s="77"/>
      <c r="BE1285" s="77"/>
      <c r="BF1285" s="77"/>
      <c r="BG1285" s="77"/>
      <c r="BH1285" s="77"/>
      <c r="BI1285" s="77"/>
      <c r="BJ1285" s="77"/>
      <c r="BK1285" s="77"/>
      <c r="BL1285" s="77"/>
      <c r="BM1285" s="77"/>
      <c r="BN1285" s="77"/>
      <c r="BO1285" s="77"/>
      <c r="BP1285" s="77"/>
    </row>
    <row r="1286" spans="5:68" ht="15" customHeight="1" x14ac:dyDescent="0.25">
      <c r="E1286" s="3"/>
      <c r="F1286" s="4"/>
      <c r="G1286" s="39"/>
      <c r="H1286" s="40"/>
      <c r="I1286" s="40"/>
      <c r="J1286" s="7"/>
      <c r="K1286" s="8"/>
      <c r="L1286" s="9"/>
      <c r="M1286" s="10"/>
      <c r="N1286" s="11"/>
      <c r="O1286" s="12"/>
      <c r="P1286" s="32"/>
      <c r="Q1286" s="81"/>
      <c r="R1286" s="82"/>
      <c r="S1286" s="80"/>
      <c r="T1286" s="32"/>
      <c r="U1286" s="32"/>
      <c r="V1286" s="74"/>
      <c r="W1286" s="15"/>
      <c r="X1286" s="15"/>
      <c r="Y1286" s="16"/>
      <c r="Z1286" s="17"/>
      <c r="AA1286" s="16"/>
      <c r="AB1286" s="99"/>
      <c r="AC1286" s="20"/>
      <c r="AD1286" s="21"/>
      <c r="AE1286" s="22"/>
      <c r="AF1286" s="23"/>
      <c r="AG1286" s="24"/>
      <c r="AH1286" s="15"/>
      <c r="AI1286" s="76"/>
      <c r="AJ1286" s="76"/>
      <c r="AK1286" s="76"/>
      <c r="AL1286" s="76"/>
      <c r="AM1286" s="76"/>
      <c r="AN1286" s="77"/>
      <c r="AO1286" s="77"/>
      <c r="AP1286" s="77"/>
      <c r="AQ1286" s="77"/>
      <c r="AR1286" s="77"/>
      <c r="AS1286" s="77"/>
      <c r="AT1286" s="77"/>
      <c r="AU1286" s="77"/>
      <c r="AV1286" s="77"/>
      <c r="AW1286" s="77"/>
      <c r="AX1286" s="77"/>
      <c r="AY1286" s="77"/>
      <c r="AZ1286" s="77"/>
      <c r="BA1286" s="77"/>
      <c r="BB1286" s="77"/>
      <c r="BC1286" s="77"/>
      <c r="BD1286" s="77"/>
      <c r="BE1286" s="77"/>
      <c r="BF1286" s="77"/>
      <c r="BG1286" s="77"/>
      <c r="BH1286" s="77"/>
      <c r="BI1286" s="77"/>
      <c r="BJ1286" s="77"/>
      <c r="BK1286" s="77"/>
      <c r="BL1286" s="77"/>
      <c r="BM1286" s="77"/>
      <c r="BN1286" s="77"/>
      <c r="BO1286" s="77"/>
      <c r="BP1286" s="77"/>
    </row>
    <row r="1287" spans="5:68" ht="15" customHeight="1" x14ac:dyDescent="0.25">
      <c r="E1287" s="3"/>
      <c r="F1287" s="4"/>
      <c r="G1287" s="39"/>
      <c r="H1287" s="40"/>
      <c r="I1287" s="40"/>
      <c r="J1287" s="7"/>
      <c r="K1287" s="8"/>
      <c r="L1287" s="9"/>
      <c r="M1287" s="10"/>
      <c r="N1287" s="11"/>
      <c r="O1287" s="12"/>
      <c r="P1287" s="32"/>
      <c r="Q1287" s="81"/>
      <c r="R1287" s="82"/>
      <c r="S1287" s="80"/>
      <c r="T1287" s="32"/>
      <c r="U1287" s="32"/>
      <c r="V1287" s="74"/>
      <c r="W1287" s="15"/>
      <c r="X1287" s="15"/>
      <c r="Y1287" s="16"/>
      <c r="Z1287" s="17"/>
      <c r="AA1287" s="16"/>
      <c r="AB1287" s="99"/>
      <c r="AC1287" s="20"/>
      <c r="AD1287" s="21"/>
      <c r="AE1287" s="22"/>
      <c r="AF1287" s="23"/>
      <c r="AG1287" s="24"/>
      <c r="AH1287" s="15"/>
      <c r="AI1287" s="76"/>
      <c r="AJ1287" s="76"/>
      <c r="AK1287" s="76"/>
      <c r="AL1287" s="76"/>
      <c r="AM1287" s="76"/>
      <c r="AN1287" s="77"/>
      <c r="AO1287" s="77"/>
      <c r="AP1287" s="77"/>
      <c r="AQ1287" s="77"/>
      <c r="AR1287" s="77"/>
      <c r="AS1287" s="77"/>
      <c r="AT1287" s="77"/>
      <c r="AU1287" s="77"/>
      <c r="AV1287" s="77"/>
      <c r="AW1287" s="77"/>
      <c r="AX1287" s="77"/>
      <c r="AY1287" s="77"/>
      <c r="AZ1287" s="77"/>
      <c r="BA1287" s="77"/>
      <c r="BB1287" s="77"/>
      <c r="BC1287" s="77"/>
      <c r="BD1287" s="77"/>
      <c r="BE1287" s="77"/>
      <c r="BF1287" s="77"/>
      <c r="BG1287" s="77"/>
      <c r="BH1287" s="77"/>
      <c r="BI1287" s="77"/>
      <c r="BJ1287" s="77"/>
      <c r="BK1287" s="77"/>
      <c r="BL1287" s="77"/>
      <c r="BM1287" s="77"/>
      <c r="BN1287" s="77"/>
      <c r="BO1287" s="77"/>
      <c r="BP1287" s="77"/>
    </row>
    <row r="1288" spans="5:68" ht="15" customHeight="1" x14ac:dyDescent="0.25">
      <c r="E1288" s="3"/>
      <c r="F1288" s="4"/>
      <c r="G1288" s="39"/>
      <c r="H1288" s="40"/>
      <c r="I1288" s="40"/>
      <c r="J1288" s="7"/>
      <c r="K1288" s="8"/>
      <c r="L1288" s="9"/>
      <c r="M1288" s="10"/>
      <c r="N1288" s="11"/>
      <c r="O1288" s="12"/>
      <c r="P1288" s="32"/>
      <c r="Q1288" s="81"/>
      <c r="R1288" s="82"/>
      <c r="S1288" s="80"/>
      <c r="T1288" s="32"/>
      <c r="U1288" s="32"/>
      <c r="V1288" s="74"/>
      <c r="W1288" s="15"/>
      <c r="X1288" s="15"/>
      <c r="Y1288" s="16"/>
      <c r="Z1288" s="17"/>
      <c r="AA1288" s="16"/>
      <c r="AB1288" s="99"/>
      <c r="AC1288" s="20"/>
      <c r="AD1288" s="21"/>
      <c r="AE1288" s="22"/>
      <c r="AF1288" s="23"/>
      <c r="AG1288" s="24"/>
      <c r="AH1288" s="15"/>
      <c r="AI1288" s="76"/>
      <c r="AJ1288" s="76"/>
      <c r="AK1288" s="76"/>
      <c r="AL1288" s="76"/>
      <c r="AM1288" s="76"/>
      <c r="AN1288" s="77"/>
      <c r="AO1288" s="77"/>
      <c r="AP1288" s="77"/>
      <c r="AQ1288" s="77"/>
      <c r="AR1288" s="77"/>
      <c r="AS1288" s="77"/>
      <c r="AT1288" s="77"/>
      <c r="AU1288" s="77"/>
      <c r="AV1288" s="77"/>
      <c r="AW1288" s="77"/>
      <c r="AX1288" s="77"/>
      <c r="AY1288" s="77"/>
      <c r="AZ1288" s="77"/>
      <c r="BA1288" s="77"/>
      <c r="BB1288" s="77"/>
      <c r="BC1288" s="77"/>
      <c r="BD1288" s="77"/>
      <c r="BE1288" s="77"/>
      <c r="BF1288" s="77"/>
      <c r="BG1288" s="77"/>
      <c r="BH1288" s="77"/>
      <c r="BI1288" s="77"/>
      <c r="BJ1288" s="77"/>
      <c r="BK1288" s="77"/>
      <c r="BL1288" s="77"/>
      <c r="BM1288" s="77"/>
      <c r="BN1288" s="77"/>
      <c r="BO1288" s="77"/>
      <c r="BP1288" s="77"/>
    </row>
    <row r="1289" spans="5:68" ht="15" customHeight="1" x14ac:dyDescent="0.25">
      <c r="E1289" s="3"/>
      <c r="F1289" s="4"/>
      <c r="G1289" s="39"/>
      <c r="H1289" s="40"/>
      <c r="I1289" s="40"/>
      <c r="J1289" s="7"/>
      <c r="K1289" s="8"/>
      <c r="L1289" s="9"/>
      <c r="M1289" s="10"/>
      <c r="N1289" s="11"/>
      <c r="O1289" s="12"/>
      <c r="P1289" s="32"/>
      <c r="Q1289" s="81"/>
      <c r="R1289" s="82"/>
      <c r="S1289" s="80"/>
      <c r="T1289" s="32"/>
      <c r="U1289" s="32"/>
      <c r="V1289" s="74"/>
      <c r="W1289" s="15"/>
      <c r="X1289" s="15"/>
      <c r="Y1289" s="16"/>
      <c r="Z1289" s="17"/>
      <c r="AA1289" s="16"/>
      <c r="AB1289" s="99"/>
      <c r="AC1289" s="20"/>
      <c r="AD1289" s="21"/>
      <c r="AE1289" s="22"/>
      <c r="AF1289" s="23"/>
      <c r="AG1289" s="24"/>
      <c r="AH1289" s="15"/>
      <c r="AI1289" s="76"/>
      <c r="AJ1289" s="77"/>
      <c r="AK1289" s="77"/>
      <c r="AL1289" s="77"/>
      <c r="AM1289" s="77"/>
      <c r="AN1289" s="77"/>
      <c r="AO1289" s="77"/>
      <c r="AP1289" s="77"/>
      <c r="AQ1289" s="77"/>
      <c r="AR1289" s="77"/>
      <c r="AS1289" s="77"/>
      <c r="AT1289" s="77"/>
      <c r="AU1289" s="77"/>
      <c r="AV1289" s="77"/>
      <c r="AW1289" s="77"/>
      <c r="AX1289" s="77"/>
      <c r="AY1289" s="77"/>
      <c r="AZ1289" s="77"/>
      <c r="BA1289" s="77"/>
      <c r="BB1289" s="77"/>
      <c r="BC1289" s="77"/>
      <c r="BD1289" s="77"/>
      <c r="BE1289" s="77"/>
      <c r="BF1289" s="77"/>
      <c r="BG1289" s="77"/>
      <c r="BH1289" s="77"/>
      <c r="BI1289" s="77"/>
      <c r="BJ1289" s="77"/>
      <c r="BK1289" s="77"/>
      <c r="BL1289" s="77"/>
      <c r="BM1289" s="77"/>
      <c r="BN1289" s="77"/>
      <c r="BO1289" s="77"/>
      <c r="BP1289" s="77"/>
    </row>
    <row r="1290" spans="5:68" ht="15" customHeight="1" x14ac:dyDescent="0.25">
      <c r="E1290" s="3"/>
      <c r="F1290" s="4"/>
      <c r="G1290" s="39"/>
      <c r="H1290" s="40"/>
      <c r="I1290" s="40"/>
      <c r="J1290" s="7"/>
      <c r="K1290" s="8"/>
      <c r="L1290" s="9"/>
      <c r="M1290" s="10"/>
      <c r="N1290" s="11"/>
      <c r="O1290" s="12"/>
      <c r="P1290" s="32"/>
      <c r="Q1290" s="81"/>
      <c r="R1290" s="82"/>
      <c r="S1290" s="80"/>
      <c r="T1290" s="32"/>
      <c r="U1290" s="32"/>
      <c r="V1290" s="74"/>
      <c r="W1290" s="15"/>
      <c r="X1290" s="15"/>
      <c r="Y1290" s="16"/>
      <c r="Z1290" s="17"/>
      <c r="AA1290" s="16"/>
      <c r="AB1290" s="99"/>
      <c r="AC1290" s="20"/>
      <c r="AD1290" s="21"/>
      <c r="AE1290" s="22"/>
      <c r="AF1290" s="23"/>
      <c r="AG1290" s="24"/>
      <c r="AH1290" s="15"/>
      <c r="AI1290" s="76"/>
      <c r="AJ1290" s="76"/>
      <c r="AK1290" s="77"/>
      <c r="AL1290" s="76"/>
      <c r="AM1290" s="77"/>
      <c r="AN1290" s="76"/>
      <c r="AO1290" s="76"/>
      <c r="AP1290" s="77"/>
      <c r="AQ1290" s="77"/>
      <c r="AR1290" s="77"/>
      <c r="AS1290" s="77"/>
      <c r="AT1290" s="77"/>
      <c r="AU1290" s="77"/>
      <c r="AV1290" s="77"/>
      <c r="AW1290" s="77"/>
      <c r="AX1290" s="76"/>
      <c r="AY1290" s="77"/>
      <c r="AZ1290" s="76"/>
      <c r="BA1290" s="77"/>
      <c r="BB1290" s="76"/>
      <c r="BC1290" s="76"/>
      <c r="BD1290" s="77"/>
      <c r="BE1290" s="77"/>
      <c r="BF1290" s="77"/>
      <c r="BG1290" s="77"/>
      <c r="BH1290" s="77"/>
      <c r="BI1290" s="77"/>
      <c r="BJ1290" s="77"/>
      <c r="BK1290" s="77"/>
      <c r="BL1290" s="77"/>
      <c r="BM1290" s="77"/>
      <c r="BN1290" s="77"/>
      <c r="BO1290" s="77"/>
      <c r="BP1290" s="76"/>
    </row>
    <row r="1291" spans="5:68" ht="15" customHeight="1" x14ac:dyDescent="0.25">
      <c r="E1291" s="100"/>
      <c r="F1291" s="101"/>
      <c r="G1291" s="102"/>
      <c r="H1291" s="6"/>
      <c r="I1291" s="6"/>
      <c r="J1291" s="115"/>
      <c r="K1291" s="8"/>
      <c r="L1291" s="9"/>
      <c r="M1291" s="10"/>
      <c r="N1291" s="11"/>
      <c r="O1291" s="12"/>
      <c r="P1291" s="13"/>
      <c r="Q1291" s="13"/>
      <c r="R1291" s="14"/>
      <c r="S1291" s="13"/>
      <c r="T1291" s="13"/>
      <c r="U1291" s="13"/>
      <c r="V1291" s="31"/>
      <c r="W1291" s="105"/>
      <c r="X1291" s="105"/>
      <c r="Y1291" s="114"/>
      <c r="Z1291" s="8"/>
      <c r="AA1291" s="10"/>
      <c r="AB1291" s="106"/>
      <c r="AC1291" s="107"/>
      <c r="AD1291" s="108"/>
      <c r="AE1291" s="109"/>
      <c r="AF1291" s="110"/>
      <c r="AG1291" s="24"/>
      <c r="AH1291" s="1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  <c r="AW1291" s="25"/>
      <c r="AX1291" s="25"/>
      <c r="AY1291" s="25"/>
      <c r="AZ1291" s="25"/>
      <c r="BA1291" s="25"/>
      <c r="BB1291" s="25"/>
      <c r="BC1291" s="25"/>
      <c r="BD1291" s="25"/>
      <c r="BE1291" s="25"/>
      <c r="BF1291" s="25"/>
      <c r="BG1291" s="25"/>
      <c r="BH1291" s="25"/>
      <c r="BI1291" s="25"/>
      <c r="BJ1291" s="25"/>
      <c r="BK1291" s="25"/>
      <c r="BL1291" s="25"/>
      <c r="BM1291" s="25"/>
      <c r="BN1291" s="25"/>
      <c r="BO1291" s="25"/>
      <c r="BP1291" s="25"/>
    </row>
    <row r="1292" spans="5:68" ht="15" customHeight="1" x14ac:dyDescent="0.25">
      <c r="E1292" s="100"/>
      <c r="F1292" s="101"/>
      <c r="G1292" s="102"/>
      <c r="H1292" s="6"/>
      <c r="I1292" s="6"/>
      <c r="J1292" s="115"/>
      <c r="K1292" s="8"/>
      <c r="L1292" s="9"/>
      <c r="M1292" s="10"/>
      <c r="N1292" s="11"/>
      <c r="O1292" s="12"/>
      <c r="P1292" s="13"/>
      <c r="Q1292" s="13"/>
      <c r="R1292" s="14"/>
      <c r="S1292" s="13"/>
      <c r="T1292" s="13"/>
      <c r="U1292" s="13"/>
      <c r="V1292" s="31"/>
      <c r="W1292" s="105"/>
      <c r="X1292" s="105"/>
      <c r="Y1292" s="114"/>
      <c r="Z1292" s="8"/>
      <c r="AA1292" s="10"/>
      <c r="AB1292" s="106"/>
      <c r="AC1292" s="107"/>
      <c r="AD1292" s="108"/>
      <c r="AE1292" s="109"/>
      <c r="AF1292" s="110"/>
      <c r="AG1292" s="24"/>
      <c r="AH1292" s="1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  <c r="AW1292" s="25"/>
      <c r="AX1292" s="25"/>
      <c r="AY1292" s="25"/>
      <c r="AZ1292" s="25"/>
      <c r="BA1292" s="25"/>
      <c r="BB1292" s="25"/>
      <c r="BC1292" s="25"/>
      <c r="BD1292" s="25"/>
      <c r="BE1292" s="25"/>
      <c r="BF1292" s="25"/>
      <c r="BG1292" s="25"/>
      <c r="BH1292" s="25"/>
      <c r="BI1292" s="25"/>
      <c r="BJ1292" s="25"/>
      <c r="BK1292" s="25"/>
      <c r="BL1292" s="25"/>
      <c r="BM1292" s="25"/>
      <c r="BN1292" s="25"/>
      <c r="BO1292" s="25"/>
      <c r="BP1292" s="25"/>
    </row>
    <row r="1293" spans="5:68" ht="15" customHeight="1" x14ac:dyDescent="0.25">
      <c r="E1293" s="100"/>
      <c r="F1293" s="101"/>
      <c r="G1293" s="5"/>
      <c r="H1293" s="6"/>
      <c r="I1293" s="6"/>
      <c r="J1293" s="115"/>
      <c r="K1293" s="8"/>
      <c r="L1293" s="9"/>
      <c r="M1293" s="10"/>
      <c r="N1293" s="11"/>
      <c r="O1293" s="12"/>
      <c r="P1293" s="13"/>
      <c r="Q1293" s="13"/>
      <c r="R1293" s="14"/>
      <c r="S1293" s="13"/>
      <c r="T1293" s="13"/>
      <c r="U1293" s="104"/>
      <c r="V1293" s="31"/>
      <c r="W1293" s="15"/>
      <c r="X1293" s="15"/>
      <c r="Y1293" s="16"/>
      <c r="Z1293" s="17"/>
      <c r="AA1293" s="16"/>
      <c r="AB1293" s="24"/>
      <c r="AC1293" s="20"/>
      <c r="AD1293" s="21"/>
      <c r="AE1293" s="22"/>
      <c r="AF1293" s="23"/>
      <c r="AG1293" s="24"/>
      <c r="AH1293" s="1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  <c r="AW1293" s="25"/>
      <c r="AX1293" s="25"/>
      <c r="AY1293" s="25"/>
      <c r="AZ1293" s="25"/>
      <c r="BA1293" s="25"/>
      <c r="BB1293" s="25"/>
      <c r="BC1293" s="25"/>
      <c r="BD1293" s="25"/>
      <c r="BE1293" s="25"/>
      <c r="BF1293" s="25"/>
      <c r="BG1293" s="25"/>
      <c r="BH1293" s="25"/>
      <c r="BI1293" s="25"/>
      <c r="BJ1293" s="25"/>
      <c r="BK1293" s="25"/>
      <c r="BL1293" s="25"/>
      <c r="BM1293" s="25"/>
      <c r="BN1293" s="25"/>
      <c r="BO1293" s="25"/>
      <c r="BP1293" s="25"/>
    </row>
    <row r="1294" spans="5:68" ht="15" customHeight="1" x14ac:dyDescent="0.25">
      <c r="E1294" s="3"/>
      <c r="F1294" s="4"/>
      <c r="G1294" s="5"/>
      <c r="H1294" s="4"/>
      <c r="I1294" s="4"/>
      <c r="J1294" s="7"/>
      <c r="K1294" s="8"/>
      <c r="L1294" s="9"/>
      <c r="M1294" s="10"/>
      <c r="N1294" s="11"/>
      <c r="O1294" s="12"/>
      <c r="P1294" s="13"/>
      <c r="Q1294" s="13"/>
      <c r="R1294" s="14"/>
      <c r="S1294" s="13"/>
      <c r="T1294" s="13"/>
      <c r="U1294" s="13"/>
      <c r="V1294" s="31"/>
      <c r="W1294" s="15"/>
      <c r="X1294" s="15"/>
      <c r="Y1294" s="16"/>
      <c r="Z1294" s="17"/>
      <c r="AA1294" s="16"/>
      <c r="AB1294" s="24"/>
      <c r="AC1294" s="20"/>
      <c r="AD1294" s="21"/>
      <c r="AE1294" s="22"/>
      <c r="AF1294" s="23"/>
      <c r="AG1294" s="24"/>
      <c r="AH1294" s="1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  <c r="AW1294" s="25"/>
      <c r="AX1294" s="25"/>
      <c r="AY1294" s="25"/>
      <c r="AZ1294" s="25"/>
      <c r="BA1294" s="25"/>
      <c r="BB1294" s="25"/>
      <c r="BC1294" s="25"/>
      <c r="BD1294" s="25"/>
      <c r="BE1294" s="25"/>
      <c r="BF1294" s="25"/>
      <c r="BG1294" s="25"/>
      <c r="BH1294" s="25"/>
      <c r="BI1294" s="25"/>
      <c r="BJ1294" s="25"/>
      <c r="BK1294" s="25"/>
      <c r="BL1294" s="25"/>
      <c r="BM1294" s="25"/>
      <c r="BN1294" s="25"/>
      <c r="BO1294" s="25"/>
      <c r="BP1294" s="25"/>
    </row>
    <row r="1295" spans="5:68" ht="15" customHeight="1" x14ac:dyDescent="0.25">
      <c r="E1295" s="3"/>
      <c r="F1295" s="4"/>
      <c r="G1295" s="5"/>
      <c r="H1295" s="4"/>
      <c r="I1295" s="4"/>
      <c r="J1295" s="7"/>
      <c r="K1295" s="8"/>
      <c r="L1295" s="9"/>
      <c r="M1295" s="10"/>
      <c r="N1295" s="11"/>
      <c r="O1295" s="12"/>
      <c r="P1295" s="13"/>
      <c r="Q1295" s="13"/>
      <c r="R1295" s="14"/>
      <c r="S1295" s="13"/>
      <c r="T1295" s="13"/>
      <c r="U1295" s="13"/>
      <c r="V1295" s="31"/>
      <c r="W1295" s="15"/>
      <c r="X1295" s="15"/>
      <c r="Y1295" s="16"/>
      <c r="Z1295" s="17"/>
      <c r="AA1295" s="16"/>
      <c r="AB1295" s="24"/>
      <c r="AC1295" s="20"/>
      <c r="AD1295" s="21"/>
      <c r="AE1295" s="22"/>
      <c r="AF1295" s="23"/>
      <c r="AG1295" s="24"/>
      <c r="AH1295" s="1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  <c r="AW1295" s="25"/>
      <c r="AX1295" s="25"/>
      <c r="AY1295" s="25"/>
      <c r="AZ1295" s="25"/>
      <c r="BA1295" s="25"/>
      <c r="BB1295" s="25"/>
      <c r="BC1295" s="25"/>
      <c r="BD1295" s="25"/>
      <c r="BE1295" s="25"/>
      <c r="BF1295" s="25"/>
      <c r="BG1295" s="25"/>
      <c r="BH1295" s="25"/>
      <c r="BI1295" s="25"/>
      <c r="BJ1295" s="25"/>
      <c r="BK1295" s="25"/>
      <c r="BL1295" s="25"/>
      <c r="BM1295" s="25"/>
      <c r="BN1295" s="25"/>
      <c r="BO1295" s="25"/>
      <c r="BP1295" s="25"/>
    </row>
    <row r="1296" spans="5:68" ht="15" customHeight="1" x14ac:dyDescent="0.25">
      <c r="E1296" s="3"/>
      <c r="F1296" s="4"/>
      <c r="G1296" s="5"/>
      <c r="H1296" s="4"/>
      <c r="I1296" s="4"/>
      <c r="J1296" s="7"/>
      <c r="K1296" s="8"/>
      <c r="L1296" s="9"/>
      <c r="M1296" s="10"/>
      <c r="N1296" s="11"/>
      <c r="O1296" s="12"/>
      <c r="P1296" s="13"/>
      <c r="Q1296" s="13"/>
      <c r="R1296" s="14"/>
      <c r="S1296" s="13"/>
      <c r="T1296" s="13"/>
      <c r="U1296" s="13"/>
      <c r="V1296" s="31"/>
      <c r="W1296" s="15"/>
      <c r="X1296" s="15"/>
      <c r="Y1296" s="16"/>
      <c r="Z1296" s="17"/>
      <c r="AA1296" s="16"/>
      <c r="AB1296" s="24"/>
      <c r="AC1296" s="20"/>
      <c r="AD1296" s="21"/>
      <c r="AE1296" s="22"/>
      <c r="AF1296" s="23"/>
      <c r="AG1296" s="24"/>
      <c r="AH1296" s="1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  <c r="AW1296" s="25"/>
      <c r="AX1296" s="25"/>
      <c r="AY1296" s="25"/>
      <c r="AZ1296" s="25"/>
      <c r="BA1296" s="25"/>
      <c r="BB1296" s="25"/>
      <c r="BC1296" s="25"/>
      <c r="BD1296" s="25"/>
      <c r="BE1296" s="25"/>
      <c r="BF1296" s="25"/>
      <c r="BG1296" s="25"/>
      <c r="BH1296" s="25"/>
      <c r="BI1296" s="25"/>
      <c r="BJ1296" s="25"/>
      <c r="BK1296" s="25"/>
      <c r="BL1296" s="25"/>
      <c r="BM1296" s="25"/>
      <c r="BN1296" s="25"/>
      <c r="BO1296" s="25"/>
      <c r="BP1296" s="25"/>
    </row>
    <row r="1297" spans="5:68" ht="15" customHeight="1" x14ac:dyDescent="0.25">
      <c r="E1297" s="3"/>
      <c r="F1297" s="4"/>
      <c r="G1297" s="5"/>
      <c r="H1297" s="4"/>
      <c r="I1297" s="4"/>
      <c r="J1297" s="7"/>
      <c r="K1297" s="8"/>
      <c r="L1297" s="9"/>
      <c r="M1297" s="10"/>
      <c r="N1297" s="11"/>
      <c r="O1297" s="12"/>
      <c r="P1297" s="13"/>
      <c r="Q1297" s="13"/>
      <c r="R1297" s="14"/>
      <c r="S1297" s="13"/>
      <c r="T1297" s="13"/>
      <c r="U1297" s="13"/>
      <c r="V1297" s="31"/>
      <c r="W1297" s="15"/>
      <c r="X1297" s="15"/>
      <c r="Y1297" s="16"/>
      <c r="Z1297" s="17"/>
      <c r="AA1297" s="16"/>
      <c r="AB1297" s="24"/>
      <c r="AC1297" s="20"/>
      <c r="AD1297" s="21"/>
      <c r="AE1297" s="22"/>
      <c r="AF1297" s="23"/>
      <c r="AG1297" s="24"/>
      <c r="AH1297" s="1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  <c r="AW1297" s="25"/>
      <c r="AX1297" s="25"/>
      <c r="AY1297" s="25"/>
      <c r="AZ1297" s="25"/>
      <c r="BA1297" s="25"/>
      <c r="BB1297" s="25"/>
      <c r="BC1297" s="25"/>
      <c r="BD1297" s="25"/>
      <c r="BE1297" s="25"/>
      <c r="BF1297" s="25"/>
      <c r="BG1297" s="25"/>
      <c r="BH1297" s="25"/>
      <c r="BI1297" s="25"/>
      <c r="BJ1297" s="25"/>
      <c r="BK1297" s="25"/>
      <c r="BL1297" s="25"/>
      <c r="BM1297" s="25"/>
      <c r="BN1297" s="25"/>
      <c r="BO1297" s="25"/>
      <c r="BP1297" s="25"/>
    </row>
    <row r="1298" spans="5:68" ht="15" customHeight="1" x14ac:dyDescent="0.25">
      <c r="E1298" s="28"/>
      <c r="F1298" s="29"/>
      <c r="G1298" s="102"/>
      <c r="H1298" s="6"/>
      <c r="I1298" s="6"/>
      <c r="J1298" s="30"/>
      <c r="K1298" s="8"/>
      <c r="L1298" s="9"/>
      <c r="M1298" s="10"/>
      <c r="N1298" s="11"/>
      <c r="O1298" s="12"/>
      <c r="P1298" s="13"/>
      <c r="Q1298" s="13"/>
      <c r="R1298" s="14"/>
      <c r="S1298" s="13"/>
      <c r="T1298" s="13"/>
      <c r="U1298" s="13"/>
      <c r="V1298" s="6"/>
      <c r="W1298" s="15"/>
      <c r="X1298" s="15"/>
      <c r="Y1298" s="16"/>
      <c r="Z1298" s="17"/>
      <c r="AA1298" s="16"/>
      <c r="AB1298" s="24"/>
      <c r="AC1298" s="20"/>
      <c r="AD1298" s="21"/>
      <c r="AE1298" s="22"/>
      <c r="AF1298" s="23"/>
      <c r="AG1298" s="24"/>
      <c r="AH1298" s="1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  <c r="AW1298" s="25"/>
      <c r="AX1298" s="25"/>
      <c r="AY1298" s="25"/>
      <c r="AZ1298" s="25"/>
      <c r="BA1298" s="25"/>
      <c r="BB1298" s="25"/>
      <c r="BC1298" s="25"/>
      <c r="BD1298" s="25"/>
      <c r="BE1298" s="25"/>
      <c r="BF1298" s="25"/>
      <c r="BG1298" s="25"/>
      <c r="BH1298" s="25"/>
      <c r="BI1298" s="25"/>
      <c r="BJ1298" s="25"/>
      <c r="BK1298" s="25"/>
      <c r="BL1298" s="25"/>
      <c r="BM1298" s="25"/>
      <c r="BN1298" s="25"/>
      <c r="BO1298" s="25"/>
      <c r="BP1298" s="25"/>
    </row>
    <row r="1299" spans="5:68" ht="15" customHeight="1" x14ac:dyDescent="0.25">
      <c r="E1299" s="28"/>
      <c r="F1299" s="29"/>
      <c r="G1299" s="102"/>
      <c r="H1299" s="6"/>
      <c r="I1299" s="6"/>
      <c r="J1299" s="30"/>
      <c r="K1299" s="8"/>
      <c r="L1299" s="9"/>
      <c r="M1299" s="10"/>
      <c r="N1299" s="11"/>
      <c r="O1299" s="12"/>
      <c r="P1299" s="13"/>
      <c r="Q1299" s="13"/>
      <c r="R1299" s="14"/>
      <c r="S1299" s="13"/>
      <c r="T1299" s="13"/>
      <c r="U1299" s="13"/>
      <c r="V1299" s="6"/>
      <c r="W1299" s="15"/>
      <c r="X1299" s="15"/>
      <c r="Y1299" s="16"/>
      <c r="Z1299" s="17"/>
      <c r="AA1299" s="16"/>
      <c r="AB1299" s="24"/>
      <c r="AC1299" s="20"/>
      <c r="AD1299" s="21"/>
      <c r="AE1299" s="22"/>
      <c r="AF1299" s="23"/>
      <c r="AG1299" s="24"/>
      <c r="AH1299" s="1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  <c r="AW1299" s="25"/>
      <c r="AX1299" s="25"/>
      <c r="AY1299" s="25"/>
      <c r="AZ1299" s="25"/>
      <c r="BA1299" s="25"/>
      <c r="BB1299" s="25"/>
      <c r="BC1299" s="25"/>
      <c r="BD1299" s="25"/>
      <c r="BE1299" s="25"/>
      <c r="BF1299" s="25"/>
      <c r="BG1299" s="25"/>
      <c r="BH1299" s="25"/>
      <c r="BI1299" s="25"/>
      <c r="BJ1299" s="25"/>
      <c r="BK1299" s="25"/>
      <c r="BL1299" s="25"/>
      <c r="BM1299" s="25"/>
      <c r="BN1299" s="25"/>
      <c r="BO1299" s="25"/>
      <c r="BP1299" s="25"/>
    </row>
    <row r="1300" spans="5:68" ht="15" customHeight="1" x14ac:dyDescent="0.25">
      <c r="E1300" s="3"/>
      <c r="F1300" s="4"/>
      <c r="G1300" s="5"/>
      <c r="H1300" s="4"/>
      <c r="I1300" s="4"/>
      <c r="J1300" s="7"/>
      <c r="K1300" s="8"/>
      <c r="L1300" s="9"/>
      <c r="M1300" s="10"/>
      <c r="N1300" s="11"/>
      <c r="O1300" s="12"/>
      <c r="P1300" s="13"/>
      <c r="Q1300" s="13"/>
      <c r="R1300" s="14"/>
      <c r="S1300" s="13"/>
      <c r="T1300" s="13"/>
      <c r="U1300" s="13"/>
      <c r="V1300" s="6"/>
      <c r="W1300" s="15"/>
      <c r="X1300" s="15"/>
      <c r="Y1300" s="16"/>
      <c r="Z1300" s="17"/>
      <c r="AA1300" s="16"/>
      <c r="AB1300" s="24"/>
      <c r="AC1300" s="20"/>
      <c r="AD1300" s="21"/>
      <c r="AE1300" s="22"/>
      <c r="AF1300" s="23"/>
      <c r="AG1300" s="24"/>
      <c r="AH1300" s="1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  <c r="AW1300" s="25"/>
      <c r="AX1300" s="25"/>
      <c r="AY1300" s="25"/>
      <c r="AZ1300" s="25"/>
      <c r="BA1300" s="25"/>
      <c r="BB1300" s="25"/>
      <c r="BC1300" s="25"/>
      <c r="BD1300" s="25"/>
      <c r="BE1300" s="25"/>
      <c r="BF1300" s="25"/>
      <c r="BG1300" s="25"/>
      <c r="BH1300" s="25"/>
      <c r="BI1300" s="25"/>
      <c r="BJ1300" s="25"/>
      <c r="BK1300" s="25"/>
      <c r="BL1300" s="25"/>
      <c r="BM1300" s="25"/>
      <c r="BN1300" s="25"/>
      <c r="BO1300" s="25"/>
      <c r="BP1300" s="25"/>
    </row>
    <row r="1301" spans="5:68" ht="15" customHeight="1" x14ac:dyDescent="0.25">
      <c r="E1301" s="3"/>
      <c r="F1301" s="29"/>
      <c r="G1301" s="5"/>
      <c r="H1301" s="6"/>
      <c r="I1301" s="6"/>
      <c r="J1301" s="30"/>
      <c r="K1301" s="8"/>
      <c r="L1301" s="9"/>
      <c r="M1301" s="10"/>
      <c r="N1301" s="11"/>
      <c r="O1301" s="12"/>
      <c r="P1301" s="13"/>
      <c r="Q1301" s="13"/>
      <c r="R1301" s="14"/>
      <c r="S1301" s="13"/>
      <c r="T1301" s="13"/>
      <c r="U1301" s="13"/>
      <c r="V1301" s="6"/>
      <c r="W1301" s="15"/>
      <c r="X1301" s="15"/>
      <c r="Y1301" s="16"/>
      <c r="Z1301" s="17"/>
      <c r="AA1301" s="16"/>
      <c r="AB1301" s="24"/>
      <c r="AC1301" s="20"/>
      <c r="AD1301" s="21"/>
      <c r="AE1301" s="22"/>
      <c r="AF1301" s="23"/>
      <c r="AG1301" s="24"/>
      <c r="AH1301" s="1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  <c r="AT1301" s="25"/>
      <c r="AU1301" s="25"/>
      <c r="AV1301" s="25"/>
      <c r="AW1301" s="25"/>
      <c r="AX1301" s="25"/>
      <c r="AY1301" s="25"/>
      <c r="AZ1301" s="25"/>
      <c r="BA1301" s="25"/>
      <c r="BB1301" s="25"/>
      <c r="BC1301" s="25"/>
      <c r="BD1301" s="25"/>
      <c r="BE1301" s="25"/>
      <c r="BF1301" s="25"/>
      <c r="BG1301" s="25"/>
      <c r="BH1301" s="25"/>
      <c r="BI1301" s="25"/>
      <c r="BJ1301" s="25"/>
      <c r="BK1301" s="25"/>
      <c r="BL1301" s="25"/>
      <c r="BM1301" s="25"/>
      <c r="BN1301" s="25"/>
      <c r="BO1301" s="25"/>
      <c r="BP1301" s="25"/>
    </row>
    <row r="1302" spans="5:68" ht="15" customHeight="1" x14ac:dyDescent="0.25">
      <c r="E1302" s="28"/>
      <c r="F1302" s="29"/>
      <c r="G1302" s="5"/>
      <c r="H1302" s="6"/>
      <c r="I1302" s="6"/>
      <c r="J1302" s="30"/>
      <c r="K1302" s="8"/>
      <c r="L1302" s="9"/>
      <c r="M1302" s="10"/>
      <c r="N1302" s="11"/>
      <c r="O1302" s="12"/>
      <c r="P1302" s="13"/>
      <c r="Q1302" s="13"/>
      <c r="R1302" s="14"/>
      <c r="S1302" s="13"/>
      <c r="T1302" s="13"/>
      <c r="U1302" s="13"/>
      <c r="V1302" s="6"/>
      <c r="W1302" s="15"/>
      <c r="X1302" s="15"/>
      <c r="Y1302" s="16"/>
      <c r="Z1302" s="17"/>
      <c r="AA1302" s="16"/>
      <c r="AB1302" s="24"/>
      <c r="AC1302" s="20"/>
      <c r="AD1302" s="21"/>
      <c r="AE1302" s="22"/>
      <c r="AF1302" s="23"/>
      <c r="AG1302" s="24"/>
      <c r="AH1302" s="1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  <c r="AW1302" s="25"/>
      <c r="AX1302" s="25"/>
      <c r="AY1302" s="25"/>
      <c r="AZ1302" s="25"/>
      <c r="BA1302" s="25"/>
      <c r="BB1302" s="25"/>
      <c r="BC1302" s="25"/>
      <c r="BD1302" s="25"/>
      <c r="BE1302" s="25"/>
      <c r="BF1302" s="25"/>
      <c r="BG1302" s="25"/>
      <c r="BH1302" s="25"/>
      <c r="BI1302" s="25"/>
      <c r="BJ1302" s="25"/>
      <c r="BK1302" s="25"/>
      <c r="BL1302" s="25"/>
      <c r="BM1302" s="25"/>
      <c r="BN1302" s="25"/>
      <c r="BO1302" s="25"/>
      <c r="BP1302" s="25"/>
    </row>
    <row r="1303" spans="5:68" ht="15" customHeight="1" x14ac:dyDescent="0.25">
      <c r="E1303" s="28"/>
      <c r="F1303" s="29"/>
      <c r="G1303" s="5"/>
      <c r="H1303" s="6"/>
      <c r="I1303" s="6"/>
      <c r="J1303" s="30"/>
      <c r="K1303" s="8"/>
      <c r="L1303" s="9"/>
      <c r="M1303" s="10"/>
      <c r="N1303" s="11"/>
      <c r="O1303" s="12"/>
      <c r="P1303" s="13"/>
      <c r="Q1303" s="13"/>
      <c r="R1303" s="14"/>
      <c r="S1303" s="13"/>
      <c r="T1303" s="13"/>
      <c r="U1303" s="13"/>
      <c r="V1303" s="6"/>
      <c r="W1303" s="15"/>
      <c r="X1303" s="15"/>
      <c r="Y1303" s="16"/>
      <c r="Z1303" s="17"/>
      <c r="AA1303" s="16"/>
      <c r="AB1303" s="24"/>
      <c r="AC1303" s="20"/>
      <c r="AD1303" s="21"/>
      <c r="AE1303" s="22"/>
      <c r="AF1303" s="23"/>
      <c r="AG1303" s="24"/>
      <c r="AH1303" s="1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  <c r="AT1303" s="25"/>
      <c r="AU1303" s="25"/>
      <c r="AV1303" s="25"/>
      <c r="AW1303" s="25"/>
      <c r="AX1303" s="25"/>
      <c r="AY1303" s="25"/>
      <c r="AZ1303" s="25"/>
      <c r="BA1303" s="25"/>
      <c r="BB1303" s="25"/>
      <c r="BC1303" s="25"/>
      <c r="BD1303" s="25"/>
      <c r="BE1303" s="25"/>
      <c r="BF1303" s="25"/>
      <c r="BG1303" s="25"/>
      <c r="BH1303" s="25"/>
      <c r="BI1303" s="25"/>
      <c r="BJ1303" s="25"/>
      <c r="BK1303" s="25"/>
      <c r="BL1303" s="25"/>
      <c r="BM1303" s="25"/>
      <c r="BN1303" s="25"/>
      <c r="BO1303" s="25"/>
      <c r="BP1303" s="25"/>
    </row>
    <row r="1304" spans="5:68" ht="15" customHeight="1" x14ac:dyDescent="0.25">
      <c r="E1304" s="28"/>
      <c r="F1304" s="29"/>
      <c r="G1304" s="5"/>
      <c r="H1304" s="6"/>
      <c r="I1304" s="6"/>
      <c r="J1304" s="30"/>
      <c r="K1304" s="8"/>
      <c r="L1304" s="9"/>
      <c r="M1304" s="10"/>
      <c r="N1304" s="11"/>
      <c r="O1304" s="12"/>
      <c r="P1304" s="13"/>
      <c r="Q1304" s="13"/>
      <c r="R1304" s="14"/>
      <c r="S1304" s="13"/>
      <c r="T1304" s="13"/>
      <c r="U1304" s="13"/>
      <c r="V1304" s="6"/>
      <c r="W1304" s="15"/>
      <c r="X1304" s="15"/>
      <c r="Y1304" s="16"/>
      <c r="Z1304" s="17"/>
      <c r="AA1304" s="16"/>
      <c r="AB1304" s="24"/>
      <c r="AC1304" s="20"/>
      <c r="AD1304" s="21"/>
      <c r="AE1304" s="22"/>
      <c r="AF1304" s="23"/>
      <c r="AG1304" s="24"/>
      <c r="AH1304" s="1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25"/>
      <c r="AY1304" s="25"/>
      <c r="AZ1304" s="25"/>
      <c r="BA1304" s="25"/>
      <c r="BB1304" s="25"/>
      <c r="BC1304" s="25"/>
      <c r="BD1304" s="25"/>
      <c r="BE1304" s="25"/>
      <c r="BF1304" s="25"/>
      <c r="BG1304" s="25"/>
      <c r="BH1304" s="25"/>
      <c r="BI1304" s="25"/>
      <c r="BJ1304" s="25"/>
      <c r="BK1304" s="25"/>
      <c r="BL1304" s="25"/>
      <c r="BM1304" s="25"/>
      <c r="BN1304" s="25"/>
      <c r="BO1304" s="25"/>
      <c r="BP1304" s="25"/>
    </row>
    <row r="1305" spans="5:68" ht="15" customHeight="1" x14ac:dyDescent="0.25">
      <c r="E1305" s="28"/>
      <c r="F1305" s="29"/>
      <c r="G1305" s="5"/>
      <c r="H1305" s="6"/>
      <c r="I1305" s="6"/>
      <c r="J1305" s="30"/>
      <c r="K1305" s="8"/>
      <c r="L1305" s="9"/>
      <c r="M1305" s="10"/>
      <c r="N1305" s="11"/>
      <c r="O1305" s="12"/>
      <c r="P1305" s="13"/>
      <c r="Q1305" s="13"/>
      <c r="R1305" s="14"/>
      <c r="S1305" s="13"/>
      <c r="T1305" s="13"/>
      <c r="U1305" s="13"/>
      <c r="V1305" s="6"/>
      <c r="W1305" s="15"/>
      <c r="X1305" s="15"/>
      <c r="Y1305" s="16"/>
      <c r="Z1305" s="17"/>
      <c r="AA1305" s="16"/>
      <c r="AB1305" s="24"/>
      <c r="AC1305" s="20"/>
      <c r="AD1305" s="21"/>
      <c r="AE1305" s="22"/>
      <c r="AF1305" s="23"/>
      <c r="AG1305" s="24"/>
      <c r="AH1305" s="1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  <c r="AT1305" s="25"/>
      <c r="AU1305" s="25"/>
      <c r="AV1305" s="25"/>
      <c r="AW1305" s="25"/>
      <c r="AX1305" s="25"/>
      <c r="AY1305" s="25"/>
      <c r="AZ1305" s="25"/>
      <c r="BA1305" s="25"/>
      <c r="BB1305" s="25"/>
      <c r="BC1305" s="25"/>
      <c r="BD1305" s="25"/>
      <c r="BE1305" s="25"/>
      <c r="BF1305" s="25"/>
      <c r="BG1305" s="25"/>
      <c r="BH1305" s="25"/>
      <c r="BI1305" s="25"/>
      <c r="BJ1305" s="25"/>
      <c r="BK1305" s="25"/>
      <c r="BL1305" s="25"/>
      <c r="BM1305" s="25"/>
      <c r="BN1305" s="25"/>
      <c r="BO1305" s="25"/>
      <c r="BP1305" s="25"/>
    </row>
    <row r="1306" spans="5:68" ht="15" customHeight="1" x14ac:dyDescent="0.25">
      <c r="E1306" s="3"/>
      <c r="F1306" s="4"/>
      <c r="G1306" s="5"/>
      <c r="H1306" s="40"/>
      <c r="I1306" s="40"/>
      <c r="J1306" s="7"/>
      <c r="K1306" s="8"/>
      <c r="L1306" s="9"/>
      <c r="M1306" s="10"/>
      <c r="N1306" s="11"/>
      <c r="O1306" s="12"/>
      <c r="P1306" s="13"/>
      <c r="Q1306" s="13"/>
      <c r="R1306" s="14"/>
      <c r="S1306" s="13"/>
      <c r="T1306" s="13"/>
      <c r="U1306" s="13"/>
      <c r="V1306" s="6"/>
      <c r="W1306" s="15"/>
      <c r="X1306" s="15"/>
      <c r="Y1306" s="16"/>
      <c r="Z1306" s="17"/>
      <c r="AA1306" s="16"/>
      <c r="AB1306" s="24"/>
      <c r="AC1306" s="20"/>
      <c r="AD1306" s="21"/>
      <c r="AE1306" s="22"/>
      <c r="AF1306" s="23"/>
      <c r="AG1306" s="24"/>
      <c r="AH1306" s="1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  <c r="AW1306" s="25"/>
      <c r="AX1306" s="25"/>
      <c r="AY1306" s="25"/>
      <c r="AZ1306" s="25"/>
      <c r="BA1306" s="25"/>
      <c r="BB1306" s="25"/>
      <c r="BC1306" s="25"/>
      <c r="BD1306" s="25"/>
      <c r="BE1306" s="25"/>
      <c r="BF1306" s="25"/>
      <c r="BG1306" s="25"/>
      <c r="BH1306" s="25"/>
      <c r="BI1306" s="25"/>
      <c r="BJ1306" s="25"/>
      <c r="BK1306" s="25"/>
      <c r="BL1306" s="25"/>
      <c r="BM1306" s="25"/>
      <c r="BN1306" s="25"/>
      <c r="BO1306" s="25"/>
      <c r="BP1306" s="25"/>
    </row>
    <row r="1307" spans="5:68" ht="15" customHeight="1" x14ac:dyDescent="0.25">
      <c r="E1307" s="3"/>
      <c r="F1307" s="4"/>
      <c r="G1307" s="39"/>
      <c r="H1307" s="40"/>
      <c r="I1307" s="40"/>
      <c r="J1307" s="7"/>
      <c r="K1307" s="8"/>
      <c r="L1307" s="9"/>
      <c r="M1307" s="10"/>
      <c r="N1307" s="11"/>
      <c r="O1307" s="12"/>
      <c r="P1307" s="13"/>
      <c r="Q1307" s="13"/>
      <c r="R1307" s="14"/>
      <c r="S1307" s="13"/>
      <c r="T1307" s="13"/>
      <c r="U1307" s="32"/>
      <c r="V1307" s="6"/>
      <c r="W1307" s="15"/>
      <c r="X1307" s="15"/>
      <c r="Y1307" s="16"/>
      <c r="Z1307" s="17"/>
      <c r="AA1307" s="16"/>
      <c r="AB1307" s="24"/>
      <c r="AC1307" s="20"/>
      <c r="AD1307" s="21"/>
      <c r="AE1307" s="22"/>
      <c r="AF1307" s="23"/>
      <c r="AG1307" s="24"/>
      <c r="AH1307" s="1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  <c r="AT1307" s="25"/>
      <c r="AU1307" s="25"/>
      <c r="AV1307" s="25"/>
      <c r="AW1307" s="25"/>
      <c r="AX1307" s="25"/>
      <c r="AY1307" s="25"/>
      <c r="AZ1307" s="25"/>
      <c r="BA1307" s="25"/>
      <c r="BB1307" s="25"/>
      <c r="BC1307" s="25"/>
      <c r="BD1307" s="25"/>
      <c r="BE1307" s="25"/>
      <c r="BF1307" s="25"/>
      <c r="BG1307" s="25"/>
      <c r="BH1307" s="25"/>
      <c r="BI1307" s="25"/>
      <c r="BJ1307" s="25"/>
      <c r="BK1307" s="25"/>
      <c r="BL1307" s="25"/>
      <c r="BM1307" s="25"/>
      <c r="BN1307" s="25"/>
      <c r="BO1307" s="25"/>
      <c r="BP1307" s="25"/>
    </row>
    <row r="1308" spans="5:68" ht="15" customHeight="1" x14ac:dyDescent="0.25">
      <c r="E1308" s="3"/>
      <c r="F1308" s="4"/>
      <c r="G1308" s="5"/>
      <c r="H1308" s="40"/>
      <c r="I1308" s="40"/>
      <c r="J1308" s="7"/>
      <c r="K1308" s="8"/>
      <c r="L1308" s="9"/>
      <c r="M1308" s="10"/>
      <c r="N1308" s="11"/>
      <c r="O1308" s="12"/>
      <c r="P1308" s="13"/>
      <c r="Q1308" s="13"/>
      <c r="R1308" s="14"/>
      <c r="S1308" s="13"/>
      <c r="T1308" s="13"/>
      <c r="U1308" s="32"/>
      <c r="V1308" s="6"/>
      <c r="W1308" s="15"/>
      <c r="X1308" s="15"/>
      <c r="Y1308" s="16"/>
      <c r="Z1308" s="17"/>
      <c r="AA1308" s="16"/>
      <c r="AB1308" s="24"/>
      <c r="AC1308" s="20"/>
      <c r="AD1308" s="21"/>
      <c r="AE1308" s="22"/>
      <c r="AF1308" s="23"/>
      <c r="AG1308" s="24"/>
      <c r="AH1308" s="1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  <c r="AW1308" s="25"/>
      <c r="AX1308" s="25"/>
      <c r="AY1308" s="25"/>
      <c r="AZ1308" s="25"/>
      <c r="BA1308" s="25"/>
      <c r="BB1308" s="25"/>
      <c r="BC1308" s="25"/>
      <c r="BD1308" s="25"/>
      <c r="BE1308" s="25"/>
      <c r="BF1308" s="25"/>
      <c r="BG1308" s="25"/>
      <c r="BH1308" s="25"/>
      <c r="BI1308" s="25"/>
      <c r="BJ1308" s="25"/>
      <c r="BK1308" s="25"/>
      <c r="BL1308" s="25"/>
      <c r="BM1308" s="25"/>
      <c r="BN1308" s="25"/>
      <c r="BO1308" s="25"/>
      <c r="BP1308" s="25"/>
    </row>
    <row r="1309" spans="5:68" ht="15" customHeight="1" x14ac:dyDescent="0.25">
      <c r="E1309" s="3"/>
      <c r="F1309" s="4"/>
      <c r="G1309" s="5"/>
      <c r="H1309" s="40"/>
      <c r="I1309" s="40"/>
      <c r="J1309" s="7"/>
      <c r="K1309" s="8"/>
      <c r="L1309" s="9"/>
      <c r="M1309" s="10"/>
      <c r="N1309" s="11"/>
      <c r="O1309" s="12"/>
      <c r="P1309" s="13"/>
      <c r="Q1309" s="13"/>
      <c r="R1309" s="14"/>
      <c r="S1309" s="13"/>
      <c r="T1309" s="13"/>
      <c r="U1309" s="32"/>
      <c r="V1309" s="6"/>
      <c r="W1309" s="15"/>
      <c r="X1309" s="15"/>
      <c r="Y1309" s="16"/>
      <c r="Z1309" s="17"/>
      <c r="AA1309" s="16"/>
      <c r="AB1309" s="24"/>
      <c r="AC1309" s="20"/>
      <c r="AD1309" s="21"/>
      <c r="AE1309" s="22"/>
      <c r="AF1309" s="23"/>
      <c r="AG1309" s="24"/>
      <c r="AH1309" s="1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  <c r="AW1309" s="25"/>
      <c r="AX1309" s="25"/>
      <c r="AY1309" s="25"/>
      <c r="AZ1309" s="25"/>
      <c r="BA1309" s="25"/>
      <c r="BB1309" s="25"/>
      <c r="BC1309" s="25"/>
      <c r="BD1309" s="25"/>
      <c r="BE1309" s="25"/>
      <c r="BF1309" s="25"/>
      <c r="BG1309" s="25"/>
      <c r="BH1309" s="25"/>
      <c r="BI1309" s="25"/>
      <c r="BJ1309" s="25"/>
      <c r="BK1309" s="25"/>
      <c r="BL1309" s="25"/>
      <c r="BM1309" s="25"/>
      <c r="BN1309" s="25"/>
      <c r="BO1309" s="25"/>
      <c r="BP1309" s="25"/>
    </row>
    <row r="1310" spans="5:68" ht="15" customHeight="1" x14ac:dyDescent="0.25">
      <c r="E1310" s="3"/>
      <c r="F1310" s="4"/>
      <c r="G1310" s="5"/>
      <c r="H1310" s="40"/>
      <c r="I1310" s="40"/>
      <c r="J1310" s="7"/>
      <c r="K1310" s="8"/>
      <c r="L1310" s="9"/>
      <c r="M1310" s="10"/>
      <c r="N1310" s="11"/>
      <c r="O1310" s="12"/>
      <c r="P1310" s="13"/>
      <c r="Q1310" s="13"/>
      <c r="R1310" s="14"/>
      <c r="S1310" s="13"/>
      <c r="T1310" s="13"/>
      <c r="U1310" s="32"/>
      <c r="V1310" s="6"/>
      <c r="W1310" s="15"/>
      <c r="X1310" s="15"/>
      <c r="Y1310" s="16"/>
      <c r="Z1310" s="17"/>
      <c r="AA1310" s="16"/>
      <c r="AB1310" s="24"/>
      <c r="AC1310" s="20"/>
      <c r="AD1310" s="21"/>
      <c r="AE1310" s="22"/>
      <c r="AF1310" s="23"/>
      <c r="AG1310" s="24"/>
      <c r="AH1310" s="1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  <c r="AW1310" s="25"/>
      <c r="AX1310" s="25"/>
      <c r="AY1310" s="25"/>
      <c r="AZ1310" s="25"/>
      <c r="BA1310" s="25"/>
      <c r="BB1310" s="25"/>
      <c r="BC1310" s="25"/>
      <c r="BD1310" s="25"/>
      <c r="BE1310" s="25"/>
      <c r="BF1310" s="25"/>
      <c r="BG1310" s="25"/>
      <c r="BH1310" s="25"/>
      <c r="BI1310" s="25"/>
      <c r="BJ1310" s="25"/>
      <c r="BK1310" s="25"/>
      <c r="BL1310" s="25"/>
      <c r="BM1310" s="25"/>
      <c r="BN1310" s="25"/>
      <c r="BO1310" s="25"/>
      <c r="BP1310" s="25"/>
    </row>
    <row r="1311" spans="5:68" ht="15" customHeight="1" x14ac:dyDescent="0.25">
      <c r="E1311" s="3"/>
      <c r="F1311" s="4"/>
      <c r="G1311" s="5"/>
      <c r="H1311" s="40"/>
      <c r="I1311" s="40"/>
      <c r="J1311" s="7"/>
      <c r="K1311" s="8"/>
      <c r="L1311" s="9"/>
      <c r="M1311" s="10"/>
      <c r="N1311" s="11"/>
      <c r="O1311" s="12"/>
      <c r="P1311" s="13"/>
      <c r="Q1311" s="13"/>
      <c r="R1311" s="14"/>
      <c r="S1311" s="13"/>
      <c r="T1311" s="13"/>
      <c r="U1311" s="32"/>
      <c r="V1311" s="6"/>
      <c r="W1311" s="15"/>
      <c r="X1311" s="15"/>
      <c r="Y1311" s="16"/>
      <c r="Z1311" s="17"/>
      <c r="AA1311" s="16"/>
      <c r="AB1311" s="24"/>
      <c r="AC1311" s="20"/>
      <c r="AD1311" s="21"/>
      <c r="AE1311" s="22"/>
      <c r="AF1311" s="23"/>
      <c r="AG1311" s="24"/>
      <c r="AH1311" s="1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  <c r="AT1311" s="25"/>
      <c r="AU1311" s="25"/>
      <c r="AV1311" s="25"/>
      <c r="AW1311" s="25"/>
      <c r="AX1311" s="25"/>
      <c r="AY1311" s="25"/>
      <c r="AZ1311" s="25"/>
      <c r="BA1311" s="25"/>
      <c r="BB1311" s="25"/>
      <c r="BC1311" s="25"/>
      <c r="BD1311" s="25"/>
      <c r="BE1311" s="25"/>
      <c r="BF1311" s="25"/>
      <c r="BG1311" s="25"/>
      <c r="BH1311" s="25"/>
      <c r="BI1311" s="25"/>
      <c r="BJ1311" s="25"/>
      <c r="BK1311" s="25"/>
      <c r="BL1311" s="25"/>
      <c r="BM1311" s="25"/>
      <c r="BN1311" s="25"/>
      <c r="BO1311" s="25"/>
      <c r="BP1311" s="25"/>
    </row>
    <row r="1312" spans="5:68" ht="15" customHeight="1" x14ac:dyDescent="0.25">
      <c r="E1312" s="3"/>
      <c r="F1312" s="4"/>
      <c r="G1312" s="5"/>
      <c r="H1312" s="40"/>
      <c r="I1312" s="40"/>
      <c r="J1312" s="7"/>
      <c r="K1312" s="8"/>
      <c r="L1312" s="9"/>
      <c r="M1312" s="10"/>
      <c r="N1312" s="11"/>
      <c r="O1312" s="12"/>
      <c r="P1312" s="13"/>
      <c r="Q1312" s="13"/>
      <c r="R1312" s="14"/>
      <c r="S1312" s="13"/>
      <c r="T1312" s="13"/>
      <c r="U1312" s="32"/>
      <c r="V1312" s="6"/>
      <c r="W1312" s="15"/>
      <c r="X1312" s="15"/>
      <c r="Y1312" s="16"/>
      <c r="Z1312" s="17"/>
      <c r="AA1312" s="16"/>
      <c r="AB1312" s="24"/>
      <c r="AC1312" s="20"/>
      <c r="AD1312" s="21"/>
      <c r="AE1312" s="22"/>
      <c r="AF1312" s="23"/>
      <c r="AG1312" s="24"/>
      <c r="AH1312" s="1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  <c r="AW1312" s="25"/>
      <c r="AX1312" s="25"/>
      <c r="AY1312" s="25"/>
      <c r="AZ1312" s="25"/>
      <c r="BA1312" s="25"/>
      <c r="BB1312" s="25"/>
      <c r="BC1312" s="25"/>
      <c r="BD1312" s="25"/>
      <c r="BE1312" s="25"/>
      <c r="BF1312" s="25"/>
      <c r="BG1312" s="25"/>
      <c r="BH1312" s="25"/>
      <c r="BI1312" s="25"/>
      <c r="BJ1312" s="25"/>
      <c r="BK1312" s="25"/>
      <c r="BL1312" s="25"/>
      <c r="BM1312" s="25"/>
      <c r="BN1312" s="25"/>
      <c r="BO1312" s="25"/>
      <c r="BP1312" s="25"/>
    </row>
    <row r="1313" spans="5:68" ht="15" customHeight="1" x14ac:dyDescent="0.25">
      <c r="E1313" s="3"/>
      <c r="F1313" s="4"/>
      <c r="G1313" s="5"/>
      <c r="H1313" s="40"/>
      <c r="I1313" s="40"/>
      <c r="J1313" s="7"/>
      <c r="K1313" s="8"/>
      <c r="L1313" s="9"/>
      <c r="M1313" s="10"/>
      <c r="N1313" s="11"/>
      <c r="O1313" s="12"/>
      <c r="P1313" s="13"/>
      <c r="Q1313" s="13"/>
      <c r="R1313" s="14"/>
      <c r="S1313" s="13"/>
      <c r="T1313" s="13"/>
      <c r="U1313" s="32"/>
      <c r="V1313" s="6"/>
      <c r="W1313" s="15"/>
      <c r="X1313" s="15"/>
      <c r="Y1313" s="16"/>
      <c r="Z1313" s="17"/>
      <c r="AA1313" s="16"/>
      <c r="AB1313" s="24"/>
      <c r="AC1313" s="20"/>
      <c r="AD1313" s="21"/>
      <c r="AE1313" s="22"/>
      <c r="AF1313" s="23"/>
      <c r="AG1313" s="24"/>
      <c r="AH1313" s="1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  <c r="AT1313" s="25"/>
      <c r="AU1313" s="25"/>
      <c r="AV1313" s="25"/>
      <c r="AW1313" s="25"/>
      <c r="AX1313" s="25"/>
      <c r="AY1313" s="25"/>
      <c r="AZ1313" s="25"/>
      <c r="BA1313" s="25"/>
      <c r="BB1313" s="25"/>
      <c r="BC1313" s="25"/>
      <c r="BD1313" s="25"/>
      <c r="BE1313" s="25"/>
      <c r="BF1313" s="25"/>
      <c r="BG1313" s="25"/>
      <c r="BH1313" s="25"/>
      <c r="BI1313" s="25"/>
      <c r="BJ1313" s="25"/>
      <c r="BK1313" s="25"/>
      <c r="BL1313" s="25"/>
      <c r="BM1313" s="25"/>
      <c r="BN1313" s="25"/>
      <c r="BO1313" s="25"/>
      <c r="BP1313" s="25"/>
    </row>
    <row r="1314" spans="5:68" ht="15" customHeight="1" x14ac:dyDescent="0.25">
      <c r="E1314" s="3"/>
      <c r="F1314" s="4"/>
      <c r="G1314" s="5"/>
      <c r="H1314" s="40"/>
      <c r="I1314" s="40"/>
      <c r="J1314" s="7"/>
      <c r="K1314" s="8"/>
      <c r="L1314" s="9"/>
      <c r="M1314" s="10"/>
      <c r="N1314" s="11"/>
      <c r="O1314" s="12"/>
      <c r="P1314" s="13"/>
      <c r="Q1314" s="13"/>
      <c r="R1314" s="14"/>
      <c r="S1314" s="13"/>
      <c r="T1314" s="13"/>
      <c r="U1314" s="32"/>
      <c r="V1314" s="6"/>
      <c r="W1314" s="15"/>
      <c r="X1314" s="15"/>
      <c r="Y1314" s="16"/>
      <c r="Z1314" s="17"/>
      <c r="AA1314" s="16"/>
      <c r="AB1314" s="24"/>
      <c r="AC1314" s="20"/>
      <c r="AD1314" s="21"/>
      <c r="AE1314" s="22"/>
      <c r="AF1314" s="23"/>
      <c r="AG1314" s="24"/>
      <c r="AH1314" s="1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  <c r="AW1314" s="25"/>
      <c r="AX1314" s="25"/>
      <c r="AY1314" s="25"/>
      <c r="AZ1314" s="25"/>
      <c r="BA1314" s="25"/>
      <c r="BB1314" s="25"/>
      <c r="BC1314" s="25"/>
      <c r="BD1314" s="25"/>
      <c r="BE1314" s="25"/>
      <c r="BF1314" s="25"/>
      <c r="BG1314" s="25"/>
      <c r="BH1314" s="25"/>
      <c r="BI1314" s="25"/>
      <c r="BJ1314" s="25"/>
      <c r="BK1314" s="25"/>
      <c r="BL1314" s="25"/>
      <c r="BM1314" s="25"/>
      <c r="BN1314" s="25"/>
      <c r="BO1314" s="25"/>
      <c r="BP1314" s="25"/>
    </row>
    <row r="1315" spans="5:68" ht="15" customHeight="1" x14ac:dyDescent="0.25">
      <c r="E1315" s="3"/>
      <c r="F1315" s="4"/>
      <c r="G1315" s="5"/>
      <c r="H1315" s="40"/>
      <c r="I1315" s="40"/>
      <c r="J1315" s="7"/>
      <c r="K1315" s="8"/>
      <c r="L1315" s="9"/>
      <c r="M1315" s="10"/>
      <c r="N1315" s="11"/>
      <c r="O1315" s="12"/>
      <c r="P1315" s="13"/>
      <c r="Q1315" s="13"/>
      <c r="R1315" s="14"/>
      <c r="S1315" s="13"/>
      <c r="T1315" s="13"/>
      <c r="U1315" s="32"/>
      <c r="V1315" s="6"/>
      <c r="W1315" s="15"/>
      <c r="X1315" s="15"/>
      <c r="Y1315" s="16"/>
      <c r="Z1315" s="17"/>
      <c r="AA1315" s="16"/>
      <c r="AB1315" s="24"/>
      <c r="AC1315" s="20"/>
      <c r="AD1315" s="21"/>
      <c r="AE1315" s="22"/>
      <c r="AF1315" s="23"/>
      <c r="AG1315" s="24"/>
      <c r="AH1315" s="1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  <c r="AT1315" s="25"/>
      <c r="AU1315" s="25"/>
      <c r="AV1315" s="25"/>
      <c r="AW1315" s="25"/>
      <c r="AX1315" s="25"/>
      <c r="AY1315" s="25"/>
      <c r="AZ1315" s="25"/>
      <c r="BA1315" s="25"/>
      <c r="BB1315" s="25"/>
      <c r="BC1315" s="25"/>
      <c r="BD1315" s="25"/>
      <c r="BE1315" s="25"/>
      <c r="BF1315" s="25"/>
      <c r="BG1315" s="25"/>
      <c r="BH1315" s="25"/>
      <c r="BI1315" s="25"/>
      <c r="BJ1315" s="25"/>
      <c r="BK1315" s="25"/>
      <c r="BL1315" s="25"/>
      <c r="BM1315" s="25"/>
      <c r="BN1315" s="25"/>
      <c r="BO1315" s="25"/>
      <c r="BP1315" s="25"/>
    </row>
    <row r="1316" spans="5:68" ht="15" customHeight="1" x14ac:dyDescent="0.25">
      <c r="E1316" s="3"/>
      <c r="F1316" s="4"/>
      <c r="G1316" s="5"/>
      <c r="H1316" s="40"/>
      <c r="I1316" s="40"/>
      <c r="J1316" s="7"/>
      <c r="K1316" s="8"/>
      <c r="L1316" s="9"/>
      <c r="M1316" s="10"/>
      <c r="N1316" s="11"/>
      <c r="O1316" s="12"/>
      <c r="P1316" s="13"/>
      <c r="Q1316" s="13"/>
      <c r="R1316" s="14"/>
      <c r="S1316" s="13"/>
      <c r="T1316" s="13"/>
      <c r="U1316" s="32"/>
      <c r="V1316" s="6"/>
      <c r="W1316" s="15"/>
      <c r="X1316" s="15"/>
      <c r="Y1316" s="16"/>
      <c r="Z1316" s="17"/>
      <c r="AA1316" s="16"/>
      <c r="AB1316" s="24"/>
      <c r="AC1316" s="20"/>
      <c r="AD1316" s="21"/>
      <c r="AE1316" s="22"/>
      <c r="AF1316" s="23"/>
      <c r="AG1316" s="24"/>
      <c r="AH1316" s="1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  <c r="AZ1316" s="25"/>
      <c r="BA1316" s="25"/>
      <c r="BB1316" s="25"/>
      <c r="BC1316" s="25"/>
      <c r="BD1316" s="25"/>
      <c r="BE1316" s="25"/>
      <c r="BF1316" s="25"/>
      <c r="BG1316" s="25"/>
      <c r="BH1316" s="25"/>
      <c r="BI1316" s="25"/>
      <c r="BJ1316" s="25"/>
      <c r="BK1316" s="25"/>
      <c r="BL1316" s="25"/>
      <c r="BM1316" s="25"/>
      <c r="BN1316" s="25"/>
      <c r="BO1316" s="25"/>
      <c r="BP1316" s="25"/>
    </row>
    <row r="1317" spans="5:68" ht="15" customHeight="1" x14ac:dyDescent="0.25">
      <c r="E1317" s="3"/>
      <c r="F1317" s="4"/>
      <c r="G1317" s="5"/>
      <c r="H1317" s="40"/>
      <c r="I1317" s="40"/>
      <c r="J1317" s="7"/>
      <c r="K1317" s="8"/>
      <c r="L1317" s="9"/>
      <c r="M1317" s="10"/>
      <c r="N1317" s="11"/>
      <c r="O1317" s="12"/>
      <c r="P1317" s="13"/>
      <c r="Q1317" s="13"/>
      <c r="R1317" s="14"/>
      <c r="S1317" s="13"/>
      <c r="T1317" s="13"/>
      <c r="U1317" s="32"/>
      <c r="V1317" s="6"/>
      <c r="W1317" s="15"/>
      <c r="X1317" s="15"/>
      <c r="Y1317" s="16"/>
      <c r="Z1317" s="17"/>
      <c r="AA1317" s="16"/>
      <c r="AB1317" s="24"/>
      <c r="AC1317" s="20"/>
      <c r="AD1317" s="21"/>
      <c r="AE1317" s="22"/>
      <c r="AF1317" s="23"/>
      <c r="AG1317" s="24"/>
      <c r="AH1317" s="1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  <c r="AW1317" s="25"/>
      <c r="AX1317" s="25"/>
      <c r="AY1317" s="25"/>
      <c r="AZ1317" s="25"/>
      <c r="BA1317" s="25"/>
      <c r="BB1317" s="25"/>
      <c r="BC1317" s="25"/>
      <c r="BD1317" s="25"/>
      <c r="BE1317" s="25"/>
      <c r="BF1317" s="25"/>
      <c r="BG1317" s="25"/>
      <c r="BH1317" s="25"/>
      <c r="BI1317" s="25"/>
      <c r="BJ1317" s="25"/>
      <c r="BK1317" s="25"/>
      <c r="BL1317" s="25"/>
      <c r="BM1317" s="25"/>
      <c r="BN1317" s="25"/>
      <c r="BO1317" s="25"/>
      <c r="BP1317" s="25"/>
    </row>
    <row r="1318" spans="5:68" ht="15" customHeight="1" x14ac:dyDescent="0.25">
      <c r="E1318" s="3"/>
      <c r="F1318" s="4"/>
      <c r="G1318" s="5"/>
      <c r="H1318" s="40"/>
      <c r="I1318" s="40"/>
      <c r="J1318" s="7"/>
      <c r="K1318" s="8"/>
      <c r="L1318" s="9"/>
      <c r="M1318" s="10"/>
      <c r="N1318" s="11"/>
      <c r="O1318" s="12"/>
      <c r="P1318" s="13"/>
      <c r="Q1318" s="13"/>
      <c r="R1318" s="14"/>
      <c r="S1318" s="13"/>
      <c r="T1318" s="13"/>
      <c r="U1318" s="32"/>
      <c r="V1318" s="6"/>
      <c r="W1318" s="15"/>
      <c r="X1318" s="15"/>
      <c r="Y1318" s="16"/>
      <c r="Z1318" s="17"/>
      <c r="AA1318" s="16"/>
      <c r="AB1318" s="24"/>
      <c r="AC1318" s="20"/>
      <c r="AD1318" s="21"/>
      <c r="AE1318" s="22"/>
      <c r="AF1318" s="23"/>
      <c r="AG1318" s="24"/>
      <c r="AH1318" s="1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  <c r="AZ1318" s="25"/>
      <c r="BA1318" s="25"/>
      <c r="BB1318" s="25"/>
      <c r="BC1318" s="25"/>
      <c r="BD1318" s="25"/>
      <c r="BE1318" s="25"/>
      <c r="BF1318" s="25"/>
      <c r="BG1318" s="25"/>
      <c r="BH1318" s="25"/>
      <c r="BI1318" s="25"/>
      <c r="BJ1318" s="25"/>
      <c r="BK1318" s="25"/>
      <c r="BL1318" s="25"/>
      <c r="BM1318" s="25"/>
      <c r="BN1318" s="25"/>
      <c r="BO1318" s="25"/>
      <c r="BP1318" s="25"/>
    </row>
    <row r="1319" spans="5:68" ht="15" customHeight="1" x14ac:dyDescent="0.25">
      <c r="E1319" s="3"/>
      <c r="F1319" s="4"/>
      <c r="G1319" s="39"/>
      <c r="H1319" s="40"/>
      <c r="I1319" s="40"/>
      <c r="J1319" s="7"/>
      <c r="K1319" s="8"/>
      <c r="L1319" s="9"/>
      <c r="M1319" s="10"/>
      <c r="N1319" s="11"/>
      <c r="O1319" s="12"/>
      <c r="P1319" s="13"/>
      <c r="Q1319" s="13"/>
      <c r="R1319" s="14"/>
      <c r="S1319" s="13"/>
      <c r="T1319" s="13"/>
      <c r="U1319" s="32"/>
      <c r="V1319" s="6"/>
      <c r="W1319" s="15"/>
      <c r="X1319" s="15"/>
      <c r="Y1319" s="16"/>
      <c r="Z1319" s="17"/>
      <c r="AA1319" s="16"/>
      <c r="AB1319" s="24"/>
      <c r="AC1319" s="20"/>
      <c r="AD1319" s="21"/>
      <c r="AE1319" s="22"/>
      <c r="AF1319" s="23"/>
      <c r="AG1319" s="24"/>
      <c r="AH1319" s="1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  <c r="AT1319" s="25"/>
      <c r="AU1319" s="25"/>
      <c r="AV1319" s="25"/>
      <c r="AW1319" s="25"/>
      <c r="AX1319" s="25"/>
      <c r="AY1319" s="25"/>
      <c r="AZ1319" s="25"/>
      <c r="BA1319" s="25"/>
      <c r="BB1319" s="25"/>
      <c r="BC1319" s="25"/>
      <c r="BD1319" s="25"/>
      <c r="BE1319" s="25"/>
      <c r="BF1319" s="25"/>
      <c r="BG1319" s="25"/>
      <c r="BH1319" s="25"/>
      <c r="BI1319" s="25"/>
      <c r="BJ1319" s="25"/>
      <c r="BK1319" s="25"/>
      <c r="BL1319" s="25"/>
      <c r="BM1319" s="25"/>
      <c r="BN1319" s="25"/>
      <c r="BO1319" s="25"/>
      <c r="BP1319" s="25"/>
    </row>
    <row r="1320" spans="5:68" ht="15" customHeight="1" x14ac:dyDescent="0.25">
      <c r="E1320" s="3"/>
      <c r="F1320" s="4"/>
      <c r="G1320" s="39"/>
      <c r="H1320" s="40"/>
      <c r="I1320" s="40"/>
      <c r="J1320" s="7"/>
      <c r="K1320" s="8"/>
      <c r="L1320" s="9"/>
      <c r="M1320" s="10"/>
      <c r="N1320" s="11"/>
      <c r="O1320" s="12"/>
      <c r="P1320" s="13"/>
      <c r="Q1320" s="13"/>
      <c r="R1320" s="14"/>
      <c r="S1320" s="13"/>
      <c r="T1320" s="13"/>
      <c r="U1320" s="32"/>
      <c r="V1320" s="6"/>
      <c r="W1320" s="15"/>
      <c r="X1320" s="15"/>
      <c r="Y1320" s="16"/>
      <c r="Z1320" s="17"/>
      <c r="AA1320" s="16"/>
      <c r="AB1320" s="24"/>
      <c r="AC1320" s="20"/>
      <c r="AD1320" s="21"/>
      <c r="AE1320" s="22"/>
      <c r="AF1320" s="23"/>
      <c r="AG1320" s="24"/>
      <c r="AH1320" s="1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  <c r="AZ1320" s="25"/>
      <c r="BA1320" s="25"/>
      <c r="BB1320" s="25"/>
      <c r="BC1320" s="25"/>
      <c r="BD1320" s="25"/>
      <c r="BE1320" s="25"/>
      <c r="BF1320" s="25"/>
      <c r="BG1320" s="25"/>
      <c r="BH1320" s="25"/>
      <c r="BI1320" s="25"/>
      <c r="BJ1320" s="25"/>
      <c r="BK1320" s="25"/>
      <c r="BL1320" s="25"/>
      <c r="BM1320" s="25"/>
      <c r="BN1320" s="25"/>
      <c r="BO1320" s="25"/>
      <c r="BP1320" s="25"/>
    </row>
    <row r="1321" spans="5:68" ht="15" customHeight="1" x14ac:dyDescent="0.25">
      <c r="E1321" s="3"/>
      <c r="F1321" s="4"/>
      <c r="G1321" s="39"/>
      <c r="H1321" s="40"/>
      <c r="I1321" s="40"/>
      <c r="J1321" s="7"/>
      <c r="K1321" s="8"/>
      <c r="L1321" s="9"/>
      <c r="M1321" s="10"/>
      <c r="N1321" s="11"/>
      <c r="O1321" s="12"/>
      <c r="P1321" s="13"/>
      <c r="Q1321" s="13"/>
      <c r="R1321" s="14"/>
      <c r="S1321" s="13"/>
      <c r="T1321" s="13"/>
      <c r="U1321" s="32"/>
      <c r="V1321" s="6"/>
      <c r="W1321" s="15"/>
      <c r="X1321" s="15"/>
      <c r="Y1321" s="16"/>
      <c r="Z1321" s="17"/>
      <c r="AA1321" s="16"/>
      <c r="AB1321" s="24"/>
      <c r="AC1321" s="20"/>
      <c r="AD1321" s="21"/>
      <c r="AE1321" s="22"/>
      <c r="AF1321" s="23"/>
      <c r="AG1321" s="24"/>
      <c r="AH1321" s="1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  <c r="AT1321" s="25"/>
      <c r="AU1321" s="25"/>
      <c r="AV1321" s="25"/>
      <c r="AW1321" s="25"/>
      <c r="AX1321" s="25"/>
      <c r="AY1321" s="25"/>
      <c r="AZ1321" s="25"/>
      <c r="BA1321" s="25"/>
      <c r="BB1321" s="25"/>
      <c r="BC1321" s="25"/>
      <c r="BD1321" s="25"/>
      <c r="BE1321" s="25"/>
      <c r="BF1321" s="25"/>
      <c r="BG1321" s="25"/>
      <c r="BH1321" s="25"/>
      <c r="BI1321" s="25"/>
      <c r="BJ1321" s="25"/>
      <c r="BK1321" s="25"/>
      <c r="BL1321" s="25"/>
      <c r="BM1321" s="25"/>
      <c r="BN1321" s="25"/>
      <c r="BO1321" s="25"/>
      <c r="BP1321" s="25"/>
    </row>
    <row r="1322" spans="5:68" ht="15" customHeight="1" x14ac:dyDescent="0.25">
      <c r="E1322" s="3"/>
      <c r="F1322" s="29"/>
      <c r="G1322" s="5"/>
      <c r="H1322" s="6"/>
      <c r="I1322" s="6"/>
      <c r="J1322" s="30"/>
      <c r="K1322" s="8"/>
      <c r="L1322" s="9"/>
      <c r="M1322" s="10"/>
      <c r="N1322" s="11"/>
      <c r="O1322" s="12"/>
      <c r="P1322" s="13"/>
      <c r="Q1322" s="13"/>
      <c r="R1322" s="14"/>
      <c r="S1322" s="13"/>
      <c r="T1322" s="13"/>
      <c r="U1322" s="32"/>
      <c r="V1322" s="6"/>
      <c r="W1322" s="15"/>
      <c r="X1322" s="15"/>
      <c r="Y1322" s="16"/>
      <c r="Z1322" s="17"/>
      <c r="AA1322" s="16"/>
      <c r="AB1322" s="24"/>
      <c r="AC1322" s="20"/>
      <c r="AD1322" s="21"/>
      <c r="AE1322" s="22"/>
      <c r="AF1322" s="23"/>
      <c r="AG1322" s="24"/>
      <c r="AH1322" s="1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  <c r="AZ1322" s="25"/>
      <c r="BA1322" s="25"/>
      <c r="BB1322" s="25"/>
      <c r="BC1322" s="25"/>
      <c r="BD1322" s="25"/>
      <c r="BE1322" s="25"/>
      <c r="BF1322" s="25"/>
      <c r="BG1322" s="25"/>
      <c r="BH1322" s="25"/>
      <c r="BI1322" s="25"/>
      <c r="BJ1322" s="25"/>
      <c r="BK1322" s="25"/>
      <c r="BL1322" s="25"/>
      <c r="BM1322" s="25"/>
      <c r="BN1322" s="25"/>
      <c r="BO1322" s="25"/>
      <c r="BP1322" s="25"/>
    </row>
    <row r="1323" spans="5:68" ht="15" customHeight="1" x14ac:dyDescent="0.25">
      <c r="E1323" s="3"/>
      <c r="F1323" s="4"/>
      <c r="G1323" s="5"/>
      <c r="H1323" s="40"/>
      <c r="I1323" s="40"/>
      <c r="J1323" s="7"/>
      <c r="K1323" s="8"/>
      <c r="L1323" s="9"/>
      <c r="M1323" s="10"/>
      <c r="N1323" s="11"/>
      <c r="O1323" s="12"/>
      <c r="P1323" s="134"/>
      <c r="Q1323" s="134"/>
      <c r="R1323" s="135"/>
      <c r="S1323" s="134"/>
      <c r="T1323" s="134"/>
      <c r="U1323" s="32"/>
      <c r="V1323" s="6"/>
      <c r="W1323" s="15"/>
      <c r="X1323" s="15"/>
      <c r="Y1323" s="16"/>
      <c r="Z1323" s="17"/>
      <c r="AA1323" s="16"/>
      <c r="AB1323" s="24"/>
      <c r="AC1323" s="20"/>
      <c r="AD1323" s="21"/>
      <c r="AE1323" s="22"/>
      <c r="AF1323" s="23"/>
      <c r="AG1323" s="24"/>
      <c r="AH1323" s="1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  <c r="AW1323" s="25"/>
      <c r="AX1323" s="25"/>
      <c r="AY1323" s="25"/>
      <c r="AZ1323" s="25"/>
      <c r="BA1323" s="25"/>
      <c r="BB1323" s="25"/>
      <c r="BC1323" s="25"/>
      <c r="BD1323" s="25"/>
      <c r="BE1323" s="25"/>
      <c r="BF1323" s="25"/>
      <c r="BG1323" s="25"/>
      <c r="BH1323" s="25"/>
      <c r="BI1323" s="25"/>
      <c r="BJ1323" s="25"/>
      <c r="BK1323" s="25"/>
      <c r="BL1323" s="25"/>
      <c r="BM1323" s="25"/>
      <c r="BN1323" s="25"/>
      <c r="BO1323" s="25"/>
      <c r="BP1323" s="25"/>
    </row>
    <row r="1324" spans="5:68" ht="15" customHeight="1" x14ac:dyDescent="0.25">
      <c r="E1324" s="28"/>
      <c r="F1324" s="29"/>
      <c r="G1324" s="39"/>
      <c r="H1324" s="6"/>
      <c r="I1324" s="6"/>
      <c r="J1324" s="30"/>
      <c r="K1324" s="8"/>
      <c r="L1324" s="9"/>
      <c r="M1324" s="10"/>
      <c r="N1324" s="11"/>
      <c r="O1324" s="12"/>
      <c r="P1324" s="13"/>
      <c r="Q1324" s="13"/>
      <c r="R1324" s="14"/>
      <c r="S1324" s="13"/>
      <c r="T1324" s="13"/>
      <c r="U1324" s="32"/>
      <c r="V1324" s="6"/>
      <c r="W1324" s="15"/>
      <c r="X1324" s="15"/>
      <c r="Y1324" s="16"/>
      <c r="Z1324" s="17"/>
      <c r="AA1324" s="16"/>
      <c r="AB1324" s="24"/>
      <c r="AC1324" s="20"/>
      <c r="AD1324" s="21"/>
      <c r="AE1324" s="22"/>
      <c r="AF1324" s="23"/>
      <c r="AG1324" s="24"/>
      <c r="AH1324" s="1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  <c r="AW1324" s="25"/>
      <c r="AX1324" s="25"/>
      <c r="AY1324" s="25"/>
      <c r="AZ1324" s="25"/>
      <c r="BA1324" s="25"/>
      <c r="BB1324" s="25"/>
      <c r="BC1324" s="25"/>
      <c r="BD1324" s="25"/>
      <c r="BE1324" s="25"/>
      <c r="BF1324" s="25"/>
      <c r="BG1324" s="25"/>
      <c r="BH1324" s="25"/>
      <c r="BI1324" s="25"/>
      <c r="BJ1324" s="25"/>
      <c r="BK1324" s="25"/>
      <c r="BL1324" s="25"/>
      <c r="BM1324" s="25"/>
      <c r="BN1324" s="25"/>
      <c r="BO1324" s="25"/>
      <c r="BP1324" s="25"/>
    </row>
    <row r="1325" spans="5:68" ht="15" customHeight="1" x14ac:dyDescent="0.25">
      <c r="E1325" s="3"/>
      <c r="F1325" s="4"/>
      <c r="G1325" s="39"/>
      <c r="H1325" s="40"/>
      <c r="I1325" s="40"/>
      <c r="J1325" s="7"/>
      <c r="K1325" s="8"/>
      <c r="L1325" s="9"/>
      <c r="M1325" s="10"/>
      <c r="N1325" s="11"/>
      <c r="O1325" s="12"/>
      <c r="P1325" s="32"/>
      <c r="Q1325" s="81"/>
      <c r="R1325" s="82"/>
      <c r="S1325" s="80"/>
      <c r="T1325" s="32"/>
      <c r="U1325" s="32"/>
      <c r="V1325" s="74"/>
      <c r="W1325" s="15"/>
      <c r="X1325" s="15"/>
      <c r="Y1325" s="16"/>
      <c r="Z1325" s="17"/>
      <c r="AA1325" s="16"/>
      <c r="AB1325" s="99"/>
      <c r="AC1325" s="20"/>
      <c r="AD1325" s="21"/>
      <c r="AE1325" s="22"/>
      <c r="AF1325" s="23"/>
      <c r="AG1325" s="24"/>
      <c r="AH1325" s="1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  <c r="AW1325" s="25"/>
      <c r="AX1325" s="25"/>
      <c r="AY1325" s="25"/>
      <c r="AZ1325" s="25"/>
      <c r="BA1325" s="25"/>
      <c r="BB1325" s="25"/>
      <c r="BC1325" s="25"/>
      <c r="BD1325" s="25"/>
      <c r="BE1325" s="25"/>
      <c r="BF1325" s="25"/>
      <c r="BG1325" s="25"/>
      <c r="BH1325" s="25"/>
      <c r="BI1325" s="25"/>
      <c r="BJ1325" s="25"/>
      <c r="BK1325" s="25"/>
      <c r="BL1325" s="25"/>
      <c r="BM1325" s="25"/>
      <c r="BN1325" s="25"/>
      <c r="BO1325" s="25"/>
      <c r="BP1325" s="25"/>
    </row>
    <row r="1326" spans="5:68" ht="15" customHeight="1" x14ac:dyDescent="0.25">
      <c r="E1326" s="3"/>
      <c r="F1326" s="4"/>
      <c r="G1326" s="39"/>
      <c r="H1326" s="40"/>
      <c r="I1326" s="40"/>
      <c r="J1326" s="7"/>
      <c r="K1326" s="8"/>
      <c r="L1326" s="9"/>
      <c r="M1326" s="10"/>
      <c r="N1326" s="11"/>
      <c r="O1326" s="12"/>
      <c r="P1326" s="32"/>
      <c r="Q1326" s="81"/>
      <c r="R1326" s="82"/>
      <c r="S1326" s="80"/>
      <c r="T1326" s="32"/>
      <c r="U1326" s="32"/>
      <c r="V1326" s="74"/>
      <c r="W1326" s="15"/>
      <c r="X1326" s="15"/>
      <c r="Y1326" s="16"/>
      <c r="Z1326" s="17"/>
      <c r="AA1326" s="16"/>
      <c r="AB1326" s="99"/>
      <c r="AC1326" s="20"/>
      <c r="AD1326" s="21"/>
      <c r="AE1326" s="22"/>
      <c r="AF1326" s="23"/>
      <c r="AG1326" s="24"/>
      <c r="AH1326" s="1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25"/>
      <c r="AY1326" s="25"/>
      <c r="AZ1326" s="25"/>
      <c r="BA1326" s="25"/>
      <c r="BB1326" s="25"/>
      <c r="BC1326" s="25"/>
      <c r="BD1326" s="25"/>
      <c r="BE1326" s="25"/>
      <c r="BF1326" s="25"/>
      <c r="BG1326" s="25"/>
      <c r="BH1326" s="25"/>
      <c r="BI1326" s="25"/>
      <c r="BJ1326" s="25"/>
      <c r="BK1326" s="25"/>
      <c r="BL1326" s="25"/>
      <c r="BM1326" s="25"/>
      <c r="BN1326" s="25"/>
      <c r="BO1326" s="25"/>
      <c r="BP1326" s="25"/>
    </row>
    <row r="1327" spans="5:68" ht="15" customHeight="1" x14ac:dyDescent="0.25">
      <c r="E1327" s="3"/>
      <c r="F1327" s="4"/>
      <c r="G1327" s="39"/>
      <c r="H1327" s="40"/>
      <c r="I1327" s="40"/>
      <c r="J1327" s="7"/>
      <c r="K1327" s="8"/>
      <c r="L1327" s="9"/>
      <c r="M1327" s="10"/>
      <c r="N1327" s="11"/>
      <c r="O1327" s="12"/>
      <c r="P1327" s="32"/>
      <c r="Q1327" s="81"/>
      <c r="R1327" s="82"/>
      <c r="S1327" s="80"/>
      <c r="T1327" s="32"/>
      <c r="U1327" s="32"/>
      <c r="V1327" s="74"/>
      <c r="W1327" s="15"/>
      <c r="X1327" s="15"/>
      <c r="Y1327" s="16"/>
      <c r="Z1327" s="17"/>
      <c r="AA1327" s="16"/>
      <c r="AB1327" s="99"/>
      <c r="AC1327" s="20"/>
      <c r="AD1327" s="21"/>
      <c r="AE1327" s="22"/>
      <c r="AF1327" s="23"/>
      <c r="AG1327" s="24"/>
      <c r="AH1327" s="1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  <c r="AT1327" s="25"/>
      <c r="AU1327" s="25"/>
      <c r="AV1327" s="25"/>
      <c r="AW1327" s="25"/>
      <c r="AX1327" s="25"/>
      <c r="AY1327" s="25"/>
      <c r="AZ1327" s="25"/>
      <c r="BA1327" s="25"/>
      <c r="BB1327" s="25"/>
      <c r="BC1327" s="25"/>
      <c r="BD1327" s="25"/>
      <c r="BE1327" s="25"/>
      <c r="BF1327" s="25"/>
      <c r="BG1327" s="25"/>
      <c r="BH1327" s="25"/>
      <c r="BI1327" s="25"/>
      <c r="BJ1327" s="25"/>
      <c r="BK1327" s="25"/>
      <c r="BL1327" s="25"/>
      <c r="BM1327" s="25"/>
      <c r="BN1327" s="25"/>
      <c r="BO1327" s="25"/>
      <c r="BP1327" s="25"/>
    </row>
    <row r="1328" spans="5:68" ht="15" customHeight="1" x14ac:dyDescent="0.25">
      <c r="E1328" s="3"/>
      <c r="F1328" s="4"/>
      <c r="G1328" s="39"/>
      <c r="H1328" s="40"/>
      <c r="I1328" s="40"/>
      <c r="J1328" s="7"/>
      <c r="K1328" s="8"/>
      <c r="L1328" s="9"/>
      <c r="M1328" s="10"/>
      <c r="N1328" s="11"/>
      <c r="O1328" s="12"/>
      <c r="P1328" s="32"/>
      <c r="Q1328" s="81"/>
      <c r="R1328" s="82"/>
      <c r="S1328" s="80"/>
      <c r="T1328" s="32"/>
      <c r="U1328" s="32"/>
      <c r="V1328" s="74"/>
      <c r="W1328" s="15"/>
      <c r="X1328" s="15"/>
      <c r="Y1328" s="16"/>
      <c r="Z1328" s="17"/>
      <c r="AA1328" s="16"/>
      <c r="AB1328" s="99"/>
      <c r="AC1328" s="20"/>
      <c r="AD1328" s="21"/>
      <c r="AE1328" s="22"/>
      <c r="AF1328" s="23"/>
      <c r="AG1328" s="24"/>
      <c r="AH1328" s="1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  <c r="AT1328" s="25"/>
      <c r="AU1328" s="25"/>
      <c r="AV1328" s="25"/>
      <c r="AW1328" s="25"/>
      <c r="AX1328" s="25"/>
      <c r="AY1328" s="25"/>
      <c r="AZ1328" s="25"/>
      <c r="BA1328" s="25"/>
      <c r="BB1328" s="25"/>
      <c r="BC1328" s="25"/>
      <c r="BD1328" s="25"/>
      <c r="BE1328" s="25"/>
      <c r="BF1328" s="25"/>
      <c r="BG1328" s="25"/>
      <c r="BH1328" s="25"/>
      <c r="BI1328" s="25"/>
      <c r="BJ1328" s="25"/>
      <c r="BK1328" s="25"/>
      <c r="BL1328" s="25"/>
      <c r="BM1328" s="25"/>
      <c r="BN1328" s="25"/>
      <c r="BO1328" s="25"/>
      <c r="BP1328" s="25"/>
    </row>
    <row r="1329" spans="5:68" ht="15" customHeight="1" x14ac:dyDescent="0.25">
      <c r="E1329" s="3"/>
      <c r="F1329" s="4"/>
      <c r="G1329" s="39"/>
      <c r="H1329" s="40"/>
      <c r="I1329" s="40"/>
      <c r="J1329" s="7"/>
      <c r="K1329" s="8"/>
      <c r="L1329" s="9"/>
      <c r="M1329" s="10"/>
      <c r="N1329" s="11"/>
      <c r="O1329" s="12"/>
      <c r="P1329" s="32"/>
      <c r="Q1329" s="81"/>
      <c r="R1329" s="82"/>
      <c r="S1329" s="80"/>
      <c r="T1329" s="32"/>
      <c r="U1329" s="32"/>
      <c r="V1329" s="74"/>
      <c r="W1329" s="15"/>
      <c r="X1329" s="15"/>
      <c r="Y1329" s="16"/>
      <c r="Z1329" s="17"/>
      <c r="AA1329" s="16"/>
      <c r="AB1329" s="99"/>
      <c r="AC1329" s="20"/>
      <c r="AD1329" s="21"/>
      <c r="AE1329" s="22"/>
      <c r="AF1329" s="23"/>
      <c r="AG1329" s="24"/>
      <c r="AH1329" s="1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  <c r="AT1329" s="25"/>
      <c r="AU1329" s="25"/>
      <c r="AV1329" s="25"/>
      <c r="AW1329" s="25"/>
      <c r="AX1329" s="25"/>
      <c r="AY1329" s="25"/>
      <c r="AZ1329" s="25"/>
      <c r="BA1329" s="25"/>
      <c r="BB1329" s="25"/>
      <c r="BC1329" s="25"/>
      <c r="BD1329" s="25"/>
      <c r="BE1329" s="25"/>
      <c r="BF1329" s="25"/>
      <c r="BG1329" s="25"/>
      <c r="BH1329" s="25"/>
      <c r="BI1329" s="25"/>
      <c r="BJ1329" s="25"/>
      <c r="BK1329" s="25"/>
      <c r="BL1329" s="25"/>
      <c r="BM1329" s="25"/>
      <c r="BN1329" s="25"/>
      <c r="BO1329" s="25"/>
      <c r="BP1329" s="25"/>
    </row>
    <row r="1330" spans="5:68" ht="15" customHeight="1" x14ac:dyDescent="0.25">
      <c r="E1330" s="3"/>
      <c r="F1330" s="4"/>
      <c r="G1330" s="39"/>
      <c r="H1330" s="40"/>
      <c r="I1330" s="40"/>
      <c r="J1330" s="7"/>
      <c r="K1330" s="8"/>
      <c r="L1330" s="9"/>
      <c r="M1330" s="10"/>
      <c r="N1330" s="11"/>
      <c r="O1330" s="12"/>
      <c r="P1330" s="32"/>
      <c r="Q1330" s="81"/>
      <c r="R1330" s="82"/>
      <c r="S1330" s="80"/>
      <c r="T1330" s="32"/>
      <c r="U1330" s="32"/>
      <c r="V1330" s="74"/>
      <c r="W1330" s="15"/>
      <c r="X1330" s="15"/>
      <c r="Y1330" s="16"/>
      <c r="Z1330" s="17"/>
      <c r="AA1330" s="16"/>
      <c r="AB1330" s="99"/>
      <c r="AC1330" s="20"/>
      <c r="AD1330" s="21"/>
      <c r="AE1330" s="22"/>
      <c r="AF1330" s="23"/>
      <c r="AG1330" s="24"/>
      <c r="AH1330" s="1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  <c r="AT1330" s="25"/>
      <c r="AU1330" s="25"/>
      <c r="AV1330" s="25"/>
      <c r="AW1330" s="25"/>
      <c r="AX1330" s="25"/>
      <c r="AY1330" s="25"/>
      <c r="AZ1330" s="25"/>
      <c r="BA1330" s="25"/>
      <c r="BB1330" s="25"/>
      <c r="BC1330" s="25"/>
      <c r="BD1330" s="25"/>
      <c r="BE1330" s="25"/>
      <c r="BF1330" s="25"/>
      <c r="BG1330" s="25"/>
      <c r="BH1330" s="25"/>
      <c r="BI1330" s="25"/>
      <c r="BJ1330" s="25"/>
      <c r="BK1330" s="25"/>
      <c r="BL1330" s="25"/>
      <c r="BM1330" s="25"/>
      <c r="BN1330" s="25"/>
      <c r="BO1330" s="25"/>
      <c r="BP1330" s="25"/>
    </row>
    <row r="1331" spans="5:68" ht="15" customHeight="1" x14ac:dyDescent="0.25">
      <c r="E1331" s="3"/>
      <c r="F1331" s="4"/>
      <c r="G1331" s="39"/>
      <c r="H1331" s="40"/>
      <c r="I1331" s="40"/>
      <c r="J1331" s="7"/>
      <c r="K1331" s="8"/>
      <c r="L1331" s="9"/>
      <c r="M1331" s="10"/>
      <c r="N1331" s="11"/>
      <c r="O1331" s="12"/>
      <c r="P1331" s="32"/>
      <c r="Q1331" s="81"/>
      <c r="R1331" s="82"/>
      <c r="S1331" s="80"/>
      <c r="T1331" s="32"/>
      <c r="U1331" s="32"/>
      <c r="V1331" s="74"/>
      <c r="W1331" s="15"/>
      <c r="X1331" s="15"/>
      <c r="Y1331" s="16"/>
      <c r="Z1331" s="17"/>
      <c r="AA1331" s="16"/>
      <c r="AB1331" s="99"/>
      <c r="AC1331" s="20"/>
      <c r="AD1331" s="21"/>
      <c r="AE1331" s="22"/>
      <c r="AF1331" s="23"/>
      <c r="AG1331" s="24"/>
      <c r="AH1331" s="1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  <c r="AW1331" s="25"/>
      <c r="AX1331" s="25"/>
      <c r="AY1331" s="25"/>
      <c r="AZ1331" s="25"/>
      <c r="BA1331" s="25"/>
      <c r="BB1331" s="25"/>
      <c r="BC1331" s="25"/>
      <c r="BD1331" s="25"/>
      <c r="BE1331" s="25"/>
      <c r="BF1331" s="25"/>
      <c r="BG1331" s="25"/>
      <c r="BH1331" s="25"/>
      <c r="BI1331" s="25"/>
      <c r="BJ1331" s="25"/>
      <c r="BK1331" s="25"/>
      <c r="BL1331" s="25"/>
      <c r="BM1331" s="25"/>
      <c r="BN1331" s="25"/>
      <c r="BO1331" s="25"/>
      <c r="BP1331" s="25"/>
    </row>
    <row r="1332" spans="5:68" ht="15" customHeight="1" x14ac:dyDescent="0.25">
      <c r="E1332" s="3"/>
      <c r="F1332" s="4"/>
      <c r="G1332" s="39"/>
      <c r="H1332" s="40"/>
      <c r="I1332" s="40"/>
      <c r="J1332" s="7"/>
      <c r="K1332" s="8"/>
      <c r="L1332" s="9"/>
      <c r="M1332" s="10"/>
      <c r="N1332" s="11"/>
      <c r="O1332" s="12"/>
      <c r="P1332" s="32"/>
      <c r="Q1332" s="80"/>
      <c r="R1332" s="82"/>
      <c r="S1332" s="32"/>
      <c r="T1332" s="32"/>
      <c r="U1332" s="32"/>
      <c r="V1332" s="74"/>
      <c r="W1332" s="15"/>
      <c r="X1332" s="15"/>
      <c r="Y1332" s="16"/>
      <c r="Z1332" s="17"/>
      <c r="AA1332" s="16"/>
      <c r="AB1332" s="99"/>
      <c r="AC1332" s="20"/>
      <c r="AD1332" s="21"/>
      <c r="AE1332" s="22"/>
      <c r="AF1332" s="23"/>
      <c r="AG1332" s="24"/>
      <c r="AH1332" s="15"/>
      <c r="AI1332" s="76"/>
      <c r="AJ1332" s="76"/>
      <c r="AK1332" s="76"/>
      <c r="AL1332" s="76"/>
      <c r="AM1332" s="76"/>
      <c r="AN1332" s="76"/>
      <c r="AO1332" s="76"/>
      <c r="AP1332" s="77"/>
      <c r="AQ1332" s="77"/>
      <c r="AR1332" s="77"/>
      <c r="AS1332" s="77"/>
      <c r="AT1332" s="77"/>
      <c r="AU1332" s="77"/>
      <c r="AV1332" s="77"/>
      <c r="AW1332" s="77"/>
      <c r="AX1332" s="76"/>
      <c r="AY1332" s="76"/>
      <c r="AZ1332" s="76"/>
      <c r="BA1332" s="76"/>
      <c r="BB1332" s="76"/>
      <c r="BC1332" s="76"/>
      <c r="BD1332" s="77"/>
      <c r="BE1332" s="77"/>
      <c r="BF1332" s="77"/>
      <c r="BG1332" s="77"/>
      <c r="BH1332" s="77"/>
      <c r="BI1332" s="77"/>
      <c r="BJ1332" s="77"/>
      <c r="BK1332" s="77"/>
      <c r="BL1332" s="77"/>
      <c r="BM1332" s="77"/>
      <c r="BN1332" s="77"/>
      <c r="BO1332" s="77"/>
      <c r="BP1332" s="76"/>
    </row>
    <row r="1333" spans="5:68" ht="15" customHeight="1" x14ac:dyDescent="0.25">
      <c r="E1333" s="3"/>
      <c r="F1333" s="4"/>
      <c r="G1333" s="39"/>
      <c r="H1333" s="40"/>
      <c r="I1333" s="40"/>
      <c r="J1333" s="7"/>
      <c r="K1333" s="8"/>
      <c r="L1333" s="9"/>
      <c r="M1333" s="10"/>
      <c r="N1333" s="11"/>
      <c r="O1333" s="12"/>
      <c r="P1333" s="32"/>
      <c r="Q1333" s="80"/>
      <c r="R1333" s="82"/>
      <c r="S1333" s="32"/>
      <c r="T1333" s="32"/>
      <c r="U1333" s="32"/>
      <c r="V1333" s="74"/>
      <c r="W1333" s="15"/>
      <c r="X1333" s="15"/>
      <c r="Y1333" s="16"/>
      <c r="Z1333" s="17"/>
      <c r="AA1333" s="16"/>
      <c r="AB1333" s="99"/>
      <c r="AC1333" s="20"/>
      <c r="AD1333" s="21"/>
      <c r="AE1333" s="22"/>
      <c r="AF1333" s="23"/>
      <c r="AG1333" s="24"/>
      <c r="AH1333" s="15"/>
      <c r="AI1333" s="76"/>
      <c r="AJ1333" s="77"/>
      <c r="AK1333" s="77"/>
      <c r="AL1333" s="77"/>
      <c r="AM1333" s="77"/>
      <c r="AN1333" s="77"/>
      <c r="AO1333" s="77"/>
      <c r="AP1333" s="77"/>
      <c r="AQ1333" s="77"/>
      <c r="AR1333" s="77"/>
      <c r="AS1333" s="77"/>
      <c r="AT1333" s="77"/>
      <c r="AU1333" s="77"/>
      <c r="AV1333" s="77"/>
      <c r="AW1333" s="77"/>
      <c r="AX1333" s="77"/>
      <c r="AY1333" s="77"/>
      <c r="AZ1333" s="77"/>
      <c r="BA1333" s="77"/>
      <c r="BB1333" s="77"/>
      <c r="BC1333" s="77"/>
      <c r="BD1333" s="77"/>
      <c r="BE1333" s="77"/>
      <c r="BF1333" s="77"/>
      <c r="BG1333" s="77"/>
      <c r="BH1333" s="77"/>
      <c r="BI1333" s="77"/>
      <c r="BJ1333" s="77"/>
      <c r="BK1333" s="77"/>
      <c r="BL1333" s="77"/>
      <c r="BM1333" s="77"/>
      <c r="BN1333" s="77"/>
      <c r="BO1333" s="77"/>
      <c r="BP1333" s="77"/>
    </row>
    <row r="1334" spans="5:68" ht="15" customHeight="1" x14ac:dyDescent="0.25">
      <c r="E1334" s="96"/>
      <c r="F1334" s="4"/>
      <c r="G1334" s="39"/>
      <c r="H1334" s="40"/>
      <c r="I1334" s="40"/>
      <c r="J1334" s="7"/>
      <c r="K1334" s="8"/>
      <c r="L1334" s="9"/>
      <c r="M1334" s="10"/>
      <c r="N1334" s="11"/>
      <c r="O1334" s="12"/>
      <c r="P1334" s="32"/>
      <c r="Q1334" s="81"/>
      <c r="R1334" s="82"/>
      <c r="S1334" s="80"/>
      <c r="T1334" s="32"/>
      <c r="U1334" s="32"/>
      <c r="V1334" s="74"/>
      <c r="W1334" s="15"/>
      <c r="X1334" s="15"/>
      <c r="Y1334" s="16"/>
      <c r="Z1334" s="17"/>
      <c r="AA1334" s="16"/>
      <c r="AB1334" s="99"/>
      <c r="AC1334" s="20"/>
      <c r="AD1334" s="21"/>
      <c r="AE1334" s="22"/>
      <c r="AF1334" s="23"/>
      <c r="AG1334" s="24"/>
      <c r="AH1334" s="15"/>
      <c r="AI1334" s="76"/>
      <c r="AJ1334" s="77"/>
      <c r="AK1334" s="77"/>
      <c r="AL1334" s="77"/>
      <c r="AM1334" s="77"/>
      <c r="AN1334" s="77"/>
      <c r="AO1334" s="77"/>
      <c r="AP1334" s="77"/>
      <c r="AQ1334" s="77"/>
      <c r="AR1334" s="77"/>
      <c r="AS1334" s="77"/>
      <c r="AT1334" s="77"/>
      <c r="AU1334" s="77"/>
      <c r="AV1334" s="77"/>
      <c r="AW1334" s="77"/>
      <c r="AX1334" s="77"/>
      <c r="AY1334" s="77"/>
      <c r="AZ1334" s="77"/>
      <c r="BA1334" s="77"/>
      <c r="BB1334" s="77"/>
      <c r="BC1334" s="77"/>
      <c r="BD1334" s="77"/>
      <c r="BE1334" s="77"/>
      <c r="BF1334" s="77"/>
      <c r="BG1334" s="77"/>
      <c r="BH1334" s="77"/>
      <c r="BI1334" s="77"/>
      <c r="BJ1334" s="77"/>
      <c r="BK1334" s="77"/>
      <c r="BL1334" s="77"/>
      <c r="BM1334" s="77"/>
      <c r="BN1334" s="77"/>
      <c r="BO1334" s="77"/>
      <c r="BP1334" s="77"/>
    </row>
    <row r="1335" spans="5:68" ht="15" customHeight="1" x14ac:dyDescent="0.25">
      <c r="E1335" s="96"/>
      <c r="F1335" s="4"/>
      <c r="G1335" s="39"/>
      <c r="H1335" s="40"/>
      <c r="I1335" s="40"/>
      <c r="J1335" s="7"/>
      <c r="K1335" s="8"/>
      <c r="L1335" s="9"/>
      <c r="M1335" s="10"/>
      <c r="N1335" s="11"/>
      <c r="O1335" s="12"/>
      <c r="P1335" s="32"/>
      <c r="Q1335" s="81"/>
      <c r="R1335" s="82"/>
      <c r="S1335" s="80"/>
      <c r="T1335" s="32"/>
      <c r="U1335" s="32"/>
      <c r="V1335" s="74"/>
      <c r="W1335" s="15"/>
      <c r="X1335" s="15"/>
      <c r="Y1335" s="16"/>
      <c r="Z1335" s="17"/>
      <c r="AA1335" s="16"/>
      <c r="AB1335" s="99"/>
      <c r="AC1335" s="20"/>
      <c r="AD1335" s="21"/>
      <c r="AE1335" s="22"/>
      <c r="AF1335" s="23"/>
      <c r="AG1335" s="24"/>
      <c r="AH1335" s="15"/>
      <c r="AI1335" s="76"/>
      <c r="AJ1335" s="77"/>
      <c r="AK1335" s="77"/>
      <c r="AL1335" s="77"/>
      <c r="AM1335" s="77"/>
      <c r="AN1335" s="77"/>
      <c r="AO1335" s="77"/>
      <c r="AP1335" s="77"/>
      <c r="AQ1335" s="77"/>
      <c r="AR1335" s="77"/>
      <c r="AS1335" s="77"/>
      <c r="AT1335" s="77"/>
      <c r="AU1335" s="77"/>
      <c r="AV1335" s="77"/>
      <c r="AW1335" s="77"/>
      <c r="AX1335" s="77"/>
      <c r="AY1335" s="77"/>
      <c r="AZ1335" s="77"/>
      <c r="BA1335" s="77"/>
      <c r="BB1335" s="77"/>
      <c r="BC1335" s="77"/>
      <c r="BD1335" s="77"/>
      <c r="BE1335" s="77"/>
      <c r="BF1335" s="77"/>
      <c r="BG1335" s="77"/>
      <c r="BH1335" s="77"/>
      <c r="BI1335" s="77"/>
      <c r="BJ1335" s="77"/>
      <c r="BK1335" s="77"/>
      <c r="BL1335" s="77"/>
      <c r="BM1335" s="77"/>
      <c r="BN1335" s="77"/>
      <c r="BO1335" s="77"/>
      <c r="BP1335" s="77"/>
    </row>
    <row r="1336" spans="5:68" ht="15" customHeight="1" x14ac:dyDescent="0.25">
      <c r="E1336" s="3"/>
      <c r="F1336" s="4"/>
      <c r="G1336" s="39"/>
      <c r="H1336" s="40"/>
      <c r="I1336" s="40"/>
      <c r="J1336" s="7"/>
      <c r="K1336" s="8"/>
      <c r="L1336" s="9"/>
      <c r="M1336" s="10"/>
      <c r="N1336" s="11"/>
      <c r="O1336" s="12"/>
      <c r="P1336" s="32"/>
      <c r="Q1336" s="81"/>
      <c r="R1336" s="82"/>
      <c r="S1336" s="80"/>
      <c r="T1336" s="32"/>
      <c r="U1336" s="32"/>
      <c r="V1336" s="74"/>
      <c r="W1336" s="15"/>
      <c r="X1336" s="15"/>
      <c r="Y1336" s="16"/>
      <c r="Z1336" s="17"/>
      <c r="AA1336" s="16"/>
      <c r="AB1336" s="99"/>
      <c r="AC1336" s="20"/>
      <c r="AD1336" s="21"/>
      <c r="AE1336" s="22"/>
      <c r="AF1336" s="23"/>
      <c r="AG1336" s="24"/>
      <c r="AH1336" s="15"/>
      <c r="AI1336" s="76"/>
      <c r="AJ1336" s="76"/>
      <c r="AK1336" s="76"/>
      <c r="AL1336" s="76"/>
      <c r="AM1336" s="76"/>
      <c r="AN1336" s="77"/>
      <c r="AO1336" s="77"/>
      <c r="AP1336" s="77"/>
      <c r="AQ1336" s="77"/>
      <c r="AR1336" s="77"/>
      <c r="AS1336" s="77"/>
      <c r="AT1336" s="77"/>
      <c r="AU1336" s="77"/>
      <c r="AV1336" s="77"/>
      <c r="AW1336" s="77"/>
      <c r="AX1336" s="77"/>
      <c r="AY1336" s="77"/>
      <c r="AZ1336" s="77"/>
      <c r="BA1336" s="77"/>
      <c r="BB1336" s="77"/>
      <c r="BC1336" s="77"/>
      <c r="BD1336" s="77"/>
      <c r="BE1336" s="77"/>
      <c r="BF1336" s="77"/>
      <c r="BG1336" s="77"/>
      <c r="BH1336" s="77"/>
      <c r="BI1336" s="77"/>
      <c r="BJ1336" s="77"/>
      <c r="BK1336" s="77"/>
      <c r="BL1336" s="77"/>
      <c r="BM1336" s="77"/>
      <c r="BN1336" s="77"/>
      <c r="BO1336" s="77"/>
      <c r="BP1336" s="77"/>
    </row>
    <row r="1337" spans="5:68" ht="15" customHeight="1" x14ac:dyDescent="0.25">
      <c r="E1337" s="3"/>
      <c r="F1337" s="4"/>
      <c r="G1337" s="39"/>
      <c r="H1337" s="40"/>
      <c r="I1337" s="40"/>
      <c r="J1337" s="7"/>
      <c r="K1337" s="8"/>
      <c r="L1337" s="9"/>
      <c r="M1337" s="10"/>
      <c r="N1337" s="11"/>
      <c r="O1337" s="12"/>
      <c r="P1337" s="32"/>
      <c r="Q1337" s="81"/>
      <c r="R1337" s="82"/>
      <c r="S1337" s="80"/>
      <c r="T1337" s="32"/>
      <c r="U1337" s="32"/>
      <c r="V1337" s="74"/>
      <c r="W1337" s="15"/>
      <c r="X1337" s="15"/>
      <c r="Y1337" s="16"/>
      <c r="Z1337" s="17"/>
      <c r="AA1337" s="16"/>
      <c r="AB1337" s="99"/>
      <c r="AC1337" s="20"/>
      <c r="AD1337" s="21"/>
      <c r="AE1337" s="22"/>
      <c r="AF1337" s="23"/>
      <c r="AG1337" s="24"/>
      <c r="AH1337" s="15"/>
      <c r="AI1337" s="76"/>
      <c r="AJ1337" s="77"/>
      <c r="AK1337" s="77"/>
      <c r="AL1337" s="77"/>
      <c r="AM1337" s="77"/>
      <c r="AN1337" s="77"/>
      <c r="AO1337" s="77"/>
      <c r="AP1337" s="77"/>
      <c r="AQ1337" s="77"/>
      <c r="AR1337" s="77"/>
      <c r="AS1337" s="77"/>
      <c r="AT1337" s="77"/>
      <c r="AU1337" s="77"/>
      <c r="AV1337" s="77"/>
      <c r="AW1337" s="77"/>
      <c r="AX1337" s="77"/>
      <c r="AY1337" s="77"/>
      <c r="AZ1337" s="77"/>
      <c r="BA1337" s="77"/>
      <c r="BB1337" s="77"/>
      <c r="BC1337" s="77"/>
      <c r="BD1337" s="77"/>
      <c r="BE1337" s="77"/>
      <c r="BF1337" s="77"/>
      <c r="BG1337" s="77"/>
      <c r="BH1337" s="77"/>
      <c r="BI1337" s="77"/>
      <c r="BJ1337" s="77"/>
      <c r="BK1337" s="77"/>
      <c r="BL1337" s="77"/>
      <c r="BM1337" s="77"/>
      <c r="BN1337" s="77"/>
      <c r="BO1337" s="77"/>
      <c r="BP1337" s="77"/>
    </row>
    <row r="1338" spans="5:68" ht="15" customHeight="1" x14ac:dyDescent="0.25">
      <c r="E1338" s="3"/>
      <c r="F1338" s="4"/>
      <c r="G1338" s="39"/>
      <c r="H1338" s="40"/>
      <c r="I1338" s="40"/>
      <c r="J1338" s="7"/>
      <c r="K1338" s="8"/>
      <c r="L1338" s="9"/>
      <c r="M1338" s="10"/>
      <c r="N1338" s="11"/>
      <c r="O1338" s="12"/>
      <c r="P1338" s="32"/>
      <c r="Q1338" s="81"/>
      <c r="R1338" s="82"/>
      <c r="S1338" s="80"/>
      <c r="T1338" s="32"/>
      <c r="U1338" s="32"/>
      <c r="V1338" s="74"/>
      <c r="W1338" s="15"/>
      <c r="X1338" s="15"/>
      <c r="Y1338" s="16"/>
      <c r="Z1338" s="17"/>
      <c r="AA1338" s="16"/>
      <c r="AB1338" s="99"/>
      <c r="AC1338" s="20"/>
      <c r="AD1338" s="21"/>
      <c r="AE1338" s="22"/>
      <c r="AF1338" s="23"/>
      <c r="AG1338" s="24"/>
      <c r="AH1338" s="15"/>
      <c r="AI1338" s="76"/>
      <c r="AJ1338" s="76"/>
      <c r="AK1338" s="76"/>
      <c r="AL1338" s="76"/>
      <c r="AM1338" s="76"/>
      <c r="AN1338" s="76"/>
      <c r="AO1338" s="76"/>
      <c r="AP1338" s="76"/>
      <c r="AQ1338" s="76"/>
      <c r="AR1338" s="76"/>
      <c r="AS1338" s="76"/>
      <c r="AT1338" s="76"/>
      <c r="AU1338" s="76"/>
      <c r="AV1338" s="76"/>
      <c r="AW1338" s="76"/>
      <c r="AX1338" s="76"/>
      <c r="AY1338" s="76"/>
      <c r="AZ1338" s="76"/>
      <c r="BA1338" s="76"/>
      <c r="BB1338" s="76"/>
      <c r="BC1338" s="76"/>
      <c r="BD1338" s="76"/>
      <c r="BE1338" s="76"/>
      <c r="BF1338" s="77"/>
      <c r="BG1338" s="77"/>
      <c r="BH1338" s="77"/>
      <c r="BI1338" s="77"/>
      <c r="BJ1338" s="77"/>
      <c r="BK1338" s="77"/>
      <c r="BL1338" s="77"/>
      <c r="BM1338" s="77"/>
      <c r="BN1338" s="77"/>
      <c r="BO1338" s="77"/>
      <c r="BP1338" s="77"/>
    </row>
    <row r="1339" spans="5:68" ht="15" customHeight="1" x14ac:dyDescent="0.25">
      <c r="E1339" s="3"/>
      <c r="F1339" s="4"/>
      <c r="G1339" s="5"/>
      <c r="H1339" s="40"/>
      <c r="I1339" s="40"/>
      <c r="J1339" s="7"/>
      <c r="K1339" s="8"/>
      <c r="L1339" s="9"/>
      <c r="M1339" s="10"/>
      <c r="N1339" s="11"/>
      <c r="O1339" s="12"/>
      <c r="P1339" s="13"/>
      <c r="Q1339" s="81"/>
      <c r="R1339" s="79"/>
      <c r="S1339" s="13"/>
      <c r="T1339" s="13"/>
      <c r="U1339" s="13"/>
      <c r="V1339" s="31"/>
      <c r="W1339" s="15"/>
      <c r="X1339" s="15"/>
      <c r="Y1339" s="16"/>
      <c r="Z1339" s="17"/>
      <c r="AA1339" s="16"/>
      <c r="AB1339" s="99"/>
      <c r="AC1339" s="20"/>
      <c r="AD1339" s="21"/>
      <c r="AE1339" s="22"/>
      <c r="AF1339" s="23"/>
      <c r="AG1339" s="24"/>
      <c r="AH1339" s="1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  <c r="AT1339" s="25"/>
      <c r="AU1339" s="25"/>
      <c r="AV1339" s="25"/>
      <c r="AW1339" s="25"/>
      <c r="AX1339" s="25"/>
      <c r="AY1339" s="25"/>
      <c r="AZ1339" s="25"/>
      <c r="BA1339" s="25"/>
      <c r="BB1339" s="25"/>
      <c r="BC1339" s="25"/>
      <c r="BD1339" s="25"/>
      <c r="BE1339" s="25"/>
      <c r="BF1339" s="25"/>
      <c r="BG1339" s="25"/>
      <c r="BH1339" s="25"/>
      <c r="BI1339" s="25"/>
      <c r="BJ1339" s="25"/>
      <c r="BK1339" s="25"/>
      <c r="BL1339" s="25"/>
      <c r="BM1339" s="25"/>
      <c r="BN1339" s="25"/>
      <c r="BO1339" s="25"/>
      <c r="BP1339" s="25"/>
    </row>
    <row r="1340" spans="5:68" ht="15" customHeight="1" x14ac:dyDescent="0.25">
      <c r="E1340" s="3"/>
      <c r="F1340" s="4"/>
      <c r="G1340" s="5"/>
      <c r="H1340" s="40"/>
      <c r="I1340" s="40"/>
      <c r="J1340" s="7"/>
      <c r="K1340" s="8"/>
      <c r="L1340" s="9"/>
      <c r="M1340" s="10"/>
      <c r="N1340" s="11"/>
      <c r="O1340" s="12"/>
      <c r="P1340" s="13"/>
      <c r="Q1340" s="81"/>
      <c r="R1340" s="79"/>
      <c r="S1340" s="13"/>
      <c r="T1340" s="13"/>
      <c r="U1340" s="13"/>
      <c r="V1340" s="31"/>
      <c r="W1340" s="15"/>
      <c r="X1340" s="15"/>
      <c r="Y1340" s="16"/>
      <c r="Z1340" s="17"/>
      <c r="AA1340" s="16"/>
      <c r="AB1340" s="99"/>
      <c r="AC1340" s="20"/>
      <c r="AD1340" s="21"/>
      <c r="AE1340" s="22"/>
      <c r="AF1340" s="23"/>
      <c r="AG1340" s="24"/>
      <c r="AH1340" s="1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  <c r="AT1340" s="25"/>
      <c r="AU1340" s="25"/>
      <c r="AV1340" s="25"/>
      <c r="AW1340" s="25"/>
      <c r="AX1340" s="25"/>
      <c r="AY1340" s="25"/>
      <c r="AZ1340" s="25"/>
      <c r="BA1340" s="25"/>
      <c r="BB1340" s="25"/>
      <c r="BC1340" s="25"/>
      <c r="BD1340" s="25"/>
      <c r="BE1340" s="25"/>
      <c r="BF1340" s="25"/>
      <c r="BG1340" s="25"/>
      <c r="BH1340" s="25"/>
      <c r="BI1340" s="25"/>
      <c r="BJ1340" s="25"/>
      <c r="BK1340" s="25"/>
      <c r="BL1340" s="25"/>
      <c r="BM1340" s="25"/>
      <c r="BN1340" s="25"/>
      <c r="BO1340" s="25"/>
      <c r="BP1340" s="25"/>
    </row>
    <row r="1341" spans="5:68" ht="15" customHeight="1" x14ac:dyDescent="0.25">
      <c r="E1341" s="3"/>
      <c r="F1341" s="4"/>
      <c r="G1341" s="5"/>
      <c r="H1341" s="40"/>
      <c r="I1341" s="40"/>
      <c r="J1341" s="7"/>
      <c r="K1341" s="8"/>
      <c r="L1341" s="9"/>
      <c r="M1341" s="10"/>
      <c r="N1341" s="11"/>
      <c r="O1341" s="12"/>
      <c r="P1341" s="13"/>
      <c r="Q1341" s="81"/>
      <c r="R1341" s="79"/>
      <c r="S1341" s="13"/>
      <c r="T1341" s="13"/>
      <c r="U1341" s="13"/>
      <c r="V1341" s="31"/>
      <c r="W1341" s="15"/>
      <c r="X1341" s="15"/>
      <c r="Y1341" s="16"/>
      <c r="Z1341" s="17"/>
      <c r="AA1341" s="16"/>
      <c r="AB1341" s="99"/>
      <c r="AC1341" s="20"/>
      <c r="AD1341" s="21"/>
      <c r="AE1341" s="22"/>
      <c r="AF1341" s="23"/>
      <c r="AG1341" s="24"/>
      <c r="AH1341" s="1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  <c r="AT1341" s="25"/>
      <c r="AU1341" s="25"/>
      <c r="AV1341" s="25"/>
      <c r="AW1341" s="25"/>
      <c r="AX1341" s="25"/>
      <c r="AY1341" s="25"/>
      <c r="AZ1341" s="25"/>
      <c r="BA1341" s="25"/>
      <c r="BB1341" s="25"/>
      <c r="BC1341" s="25"/>
      <c r="BD1341" s="25"/>
      <c r="BE1341" s="25"/>
      <c r="BF1341" s="25"/>
      <c r="BG1341" s="25"/>
      <c r="BH1341" s="25"/>
      <c r="BI1341" s="25"/>
      <c r="BJ1341" s="25"/>
      <c r="BK1341" s="25"/>
      <c r="BL1341" s="25"/>
      <c r="BM1341" s="25"/>
      <c r="BN1341" s="25"/>
      <c r="BO1341" s="25"/>
      <c r="BP1341" s="25"/>
    </row>
    <row r="1342" spans="5:68" ht="15" customHeight="1" x14ac:dyDescent="0.25">
      <c r="E1342" s="3"/>
      <c r="F1342" s="4"/>
      <c r="G1342" s="5"/>
      <c r="H1342" s="40"/>
      <c r="I1342" s="40"/>
      <c r="J1342" s="7"/>
      <c r="K1342" s="8"/>
      <c r="L1342" s="9"/>
      <c r="M1342" s="10"/>
      <c r="N1342" s="11"/>
      <c r="O1342" s="12"/>
      <c r="P1342" s="13"/>
      <c r="Q1342" s="81"/>
      <c r="R1342" s="79"/>
      <c r="S1342" s="13"/>
      <c r="T1342" s="13"/>
      <c r="U1342" s="13"/>
      <c r="V1342" s="31"/>
      <c r="W1342" s="15"/>
      <c r="X1342" s="15"/>
      <c r="Y1342" s="16"/>
      <c r="Z1342" s="17"/>
      <c r="AA1342" s="16"/>
      <c r="AB1342" s="99"/>
      <c r="AC1342" s="20"/>
      <c r="AD1342" s="21"/>
      <c r="AE1342" s="22"/>
      <c r="AF1342" s="23"/>
      <c r="AG1342" s="24"/>
      <c r="AH1342" s="1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  <c r="AW1342" s="25"/>
      <c r="AX1342" s="25"/>
      <c r="AY1342" s="25"/>
      <c r="AZ1342" s="25"/>
      <c r="BA1342" s="25"/>
      <c r="BB1342" s="25"/>
      <c r="BC1342" s="25"/>
      <c r="BD1342" s="25"/>
      <c r="BE1342" s="25"/>
      <c r="BF1342" s="25"/>
      <c r="BG1342" s="25"/>
      <c r="BH1342" s="25"/>
      <c r="BI1342" s="25"/>
      <c r="BJ1342" s="25"/>
      <c r="BK1342" s="25"/>
      <c r="BL1342" s="25"/>
      <c r="BM1342" s="25"/>
      <c r="BN1342" s="25"/>
      <c r="BO1342" s="25"/>
      <c r="BP1342" s="25"/>
    </row>
    <row r="1343" spans="5:68" ht="15" customHeight="1" x14ac:dyDescent="0.25">
      <c r="E1343" s="3"/>
      <c r="F1343" s="4"/>
      <c r="G1343" s="5"/>
      <c r="H1343" s="40"/>
      <c r="I1343" s="40"/>
      <c r="J1343" s="7"/>
      <c r="K1343" s="8"/>
      <c r="L1343" s="9"/>
      <c r="M1343" s="10"/>
      <c r="N1343" s="11"/>
      <c r="O1343" s="12"/>
      <c r="P1343" s="13"/>
      <c r="Q1343" s="81"/>
      <c r="R1343" s="79"/>
      <c r="S1343" s="13"/>
      <c r="T1343" s="13"/>
      <c r="U1343" s="13"/>
      <c r="V1343" s="31"/>
      <c r="W1343" s="15"/>
      <c r="X1343" s="15"/>
      <c r="Y1343" s="16"/>
      <c r="Z1343" s="17"/>
      <c r="AA1343" s="16"/>
      <c r="AB1343" s="99"/>
      <c r="AC1343" s="20"/>
      <c r="AD1343" s="21"/>
      <c r="AE1343" s="22"/>
      <c r="AF1343" s="23"/>
      <c r="AG1343" s="24"/>
      <c r="AH1343" s="1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  <c r="AW1343" s="25"/>
      <c r="AX1343" s="25"/>
      <c r="AY1343" s="25"/>
      <c r="AZ1343" s="25"/>
      <c r="BA1343" s="25"/>
      <c r="BB1343" s="25"/>
      <c r="BC1343" s="25"/>
      <c r="BD1343" s="25"/>
      <c r="BE1343" s="25"/>
      <c r="BF1343" s="25"/>
      <c r="BG1343" s="25"/>
      <c r="BH1343" s="25"/>
      <c r="BI1343" s="25"/>
      <c r="BJ1343" s="25"/>
      <c r="BK1343" s="25"/>
      <c r="BL1343" s="25"/>
      <c r="BM1343" s="25"/>
      <c r="BN1343" s="25"/>
      <c r="BO1343" s="25"/>
      <c r="BP1343" s="25"/>
    </row>
    <row r="1344" spans="5:68" ht="15" customHeight="1" x14ac:dyDescent="0.25">
      <c r="E1344" s="3"/>
      <c r="F1344" s="4"/>
      <c r="G1344" s="5"/>
      <c r="H1344" s="40"/>
      <c r="I1344" s="40"/>
      <c r="J1344" s="7"/>
      <c r="K1344" s="8"/>
      <c r="L1344" s="9"/>
      <c r="M1344" s="10"/>
      <c r="N1344" s="11"/>
      <c r="O1344" s="12"/>
      <c r="P1344" s="13"/>
      <c r="Q1344" s="81"/>
      <c r="R1344" s="79"/>
      <c r="S1344" s="13"/>
      <c r="T1344" s="13"/>
      <c r="U1344" s="13"/>
      <c r="V1344" s="31"/>
      <c r="W1344" s="15"/>
      <c r="X1344" s="15"/>
      <c r="Y1344" s="16"/>
      <c r="Z1344" s="17"/>
      <c r="AA1344" s="16"/>
      <c r="AB1344" s="99"/>
      <c r="AC1344" s="20"/>
      <c r="AD1344" s="21"/>
      <c r="AE1344" s="22"/>
      <c r="AF1344" s="23"/>
      <c r="AG1344" s="24"/>
      <c r="AH1344" s="1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  <c r="AT1344" s="25"/>
      <c r="AU1344" s="25"/>
      <c r="AV1344" s="25"/>
      <c r="AW1344" s="25"/>
      <c r="AX1344" s="25"/>
      <c r="AY1344" s="25"/>
      <c r="AZ1344" s="25"/>
      <c r="BA1344" s="25"/>
      <c r="BB1344" s="25"/>
      <c r="BC1344" s="25"/>
      <c r="BD1344" s="25"/>
      <c r="BE1344" s="25"/>
      <c r="BF1344" s="25"/>
      <c r="BG1344" s="25"/>
      <c r="BH1344" s="25"/>
      <c r="BI1344" s="25"/>
      <c r="BJ1344" s="25"/>
      <c r="BK1344" s="25"/>
      <c r="BL1344" s="25"/>
      <c r="BM1344" s="25"/>
      <c r="BN1344" s="25"/>
      <c r="BO1344" s="25"/>
      <c r="BP1344" s="25"/>
    </row>
    <row r="1345" spans="5:68" ht="15" customHeight="1" x14ac:dyDescent="0.25">
      <c r="E1345" s="3"/>
      <c r="F1345" s="4"/>
      <c r="G1345" s="5"/>
      <c r="H1345" s="40"/>
      <c r="I1345" s="40"/>
      <c r="J1345" s="7"/>
      <c r="K1345" s="8"/>
      <c r="L1345" s="9"/>
      <c r="M1345" s="10"/>
      <c r="N1345" s="11"/>
      <c r="O1345" s="12"/>
      <c r="P1345" s="13"/>
      <c r="Q1345" s="81"/>
      <c r="R1345" s="79"/>
      <c r="S1345" s="13"/>
      <c r="T1345" s="13"/>
      <c r="U1345" s="13"/>
      <c r="V1345" s="31"/>
      <c r="W1345" s="15"/>
      <c r="X1345" s="15"/>
      <c r="Y1345" s="16"/>
      <c r="Z1345" s="17"/>
      <c r="AA1345" s="16"/>
      <c r="AB1345" s="99"/>
      <c r="AC1345" s="20"/>
      <c r="AD1345" s="21"/>
      <c r="AE1345" s="22"/>
      <c r="AF1345" s="23"/>
      <c r="AG1345" s="24"/>
      <c r="AH1345" s="1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  <c r="AT1345" s="25"/>
      <c r="AU1345" s="25"/>
      <c r="AV1345" s="25"/>
      <c r="AW1345" s="25"/>
      <c r="AX1345" s="25"/>
      <c r="AY1345" s="25"/>
      <c r="AZ1345" s="25"/>
      <c r="BA1345" s="25"/>
      <c r="BB1345" s="25"/>
      <c r="BC1345" s="25"/>
      <c r="BD1345" s="25"/>
      <c r="BE1345" s="25"/>
      <c r="BF1345" s="25"/>
      <c r="BG1345" s="25"/>
      <c r="BH1345" s="25"/>
      <c r="BI1345" s="25"/>
      <c r="BJ1345" s="25"/>
      <c r="BK1345" s="25"/>
      <c r="BL1345" s="25"/>
      <c r="BM1345" s="25"/>
      <c r="BN1345" s="25"/>
      <c r="BO1345" s="25"/>
      <c r="BP1345" s="25"/>
    </row>
    <row r="1346" spans="5:68" ht="15" customHeight="1" x14ac:dyDescent="0.25">
      <c r="E1346" s="3"/>
      <c r="F1346" s="4"/>
      <c r="G1346" s="5"/>
      <c r="H1346" s="40"/>
      <c r="I1346" s="40"/>
      <c r="J1346" s="7"/>
      <c r="K1346" s="8"/>
      <c r="L1346" s="9"/>
      <c r="M1346" s="10"/>
      <c r="N1346" s="11"/>
      <c r="O1346" s="12"/>
      <c r="P1346" s="13"/>
      <c r="Q1346" s="81"/>
      <c r="R1346" s="79"/>
      <c r="S1346" s="13"/>
      <c r="T1346" s="13"/>
      <c r="U1346" s="13"/>
      <c r="V1346" s="31"/>
      <c r="W1346" s="15"/>
      <c r="X1346" s="15"/>
      <c r="Y1346" s="16"/>
      <c r="Z1346" s="17"/>
      <c r="AA1346" s="16"/>
      <c r="AB1346" s="99"/>
      <c r="AC1346" s="20"/>
      <c r="AD1346" s="21"/>
      <c r="AE1346" s="22"/>
      <c r="AF1346" s="23"/>
      <c r="AG1346" s="24"/>
      <c r="AH1346" s="1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  <c r="AT1346" s="25"/>
      <c r="AU1346" s="25"/>
      <c r="AV1346" s="25"/>
      <c r="AW1346" s="25"/>
      <c r="AX1346" s="25"/>
      <c r="AY1346" s="25"/>
      <c r="AZ1346" s="25"/>
      <c r="BA1346" s="25"/>
      <c r="BB1346" s="25"/>
      <c r="BC1346" s="25"/>
      <c r="BD1346" s="25"/>
      <c r="BE1346" s="25"/>
      <c r="BF1346" s="25"/>
      <c r="BG1346" s="25"/>
      <c r="BH1346" s="25"/>
      <c r="BI1346" s="25"/>
      <c r="BJ1346" s="25"/>
      <c r="BK1346" s="25"/>
      <c r="BL1346" s="25"/>
      <c r="BM1346" s="25"/>
      <c r="BN1346" s="25"/>
      <c r="BO1346" s="25"/>
      <c r="BP1346" s="25"/>
    </row>
    <row r="1347" spans="5:68" ht="15" customHeight="1" x14ac:dyDescent="0.25">
      <c r="E1347" s="3"/>
      <c r="F1347" s="4"/>
      <c r="G1347" s="5"/>
      <c r="H1347" s="40"/>
      <c r="I1347" s="40"/>
      <c r="J1347" s="7"/>
      <c r="K1347" s="8"/>
      <c r="L1347" s="9"/>
      <c r="M1347" s="10"/>
      <c r="N1347" s="11"/>
      <c r="O1347" s="12"/>
      <c r="P1347" s="13"/>
      <c r="Q1347" s="81"/>
      <c r="R1347" s="79"/>
      <c r="S1347" s="13"/>
      <c r="T1347" s="13"/>
      <c r="U1347" s="13"/>
      <c r="V1347" s="31"/>
      <c r="W1347" s="15"/>
      <c r="X1347" s="15"/>
      <c r="Y1347" s="16"/>
      <c r="Z1347" s="17"/>
      <c r="AA1347" s="16"/>
      <c r="AB1347" s="99"/>
      <c r="AC1347" s="20"/>
      <c r="AD1347" s="21"/>
      <c r="AE1347" s="22"/>
      <c r="AF1347" s="23"/>
      <c r="AG1347" s="24"/>
      <c r="AH1347" s="1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  <c r="AT1347" s="25"/>
      <c r="AU1347" s="25"/>
      <c r="AV1347" s="25"/>
      <c r="AW1347" s="25"/>
      <c r="AX1347" s="25"/>
      <c r="AY1347" s="25"/>
      <c r="AZ1347" s="25"/>
      <c r="BA1347" s="25"/>
      <c r="BB1347" s="25"/>
      <c r="BC1347" s="25"/>
      <c r="BD1347" s="25"/>
      <c r="BE1347" s="25"/>
      <c r="BF1347" s="25"/>
      <c r="BG1347" s="25"/>
      <c r="BH1347" s="25"/>
      <c r="BI1347" s="25"/>
      <c r="BJ1347" s="25"/>
      <c r="BK1347" s="25"/>
      <c r="BL1347" s="25"/>
      <c r="BM1347" s="25"/>
      <c r="BN1347" s="25"/>
      <c r="BO1347" s="25"/>
      <c r="BP1347" s="25"/>
    </row>
    <row r="1348" spans="5:68" ht="15" customHeight="1" x14ac:dyDescent="0.25">
      <c r="E1348" s="3"/>
      <c r="F1348" s="4"/>
      <c r="G1348" s="5"/>
      <c r="H1348" s="40"/>
      <c r="I1348" s="40"/>
      <c r="J1348" s="7"/>
      <c r="K1348" s="8"/>
      <c r="L1348" s="9"/>
      <c r="M1348" s="10"/>
      <c r="N1348" s="11"/>
      <c r="O1348" s="12"/>
      <c r="P1348" s="13"/>
      <c r="Q1348" s="81"/>
      <c r="R1348" s="79"/>
      <c r="S1348" s="13"/>
      <c r="T1348" s="13"/>
      <c r="U1348" s="13"/>
      <c r="V1348" s="31"/>
      <c r="W1348" s="15"/>
      <c r="X1348" s="15"/>
      <c r="Y1348" s="16"/>
      <c r="Z1348" s="17"/>
      <c r="AA1348" s="16"/>
      <c r="AB1348" s="99"/>
      <c r="AC1348" s="20"/>
      <c r="AD1348" s="21"/>
      <c r="AE1348" s="22"/>
      <c r="AF1348" s="23"/>
      <c r="AG1348" s="24"/>
      <c r="AH1348" s="1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  <c r="AW1348" s="25"/>
      <c r="AX1348" s="25"/>
      <c r="AY1348" s="25"/>
      <c r="AZ1348" s="25"/>
      <c r="BA1348" s="25"/>
      <c r="BB1348" s="25"/>
      <c r="BC1348" s="25"/>
      <c r="BD1348" s="25"/>
      <c r="BE1348" s="25"/>
      <c r="BF1348" s="25"/>
      <c r="BG1348" s="25"/>
      <c r="BH1348" s="25"/>
      <c r="BI1348" s="25"/>
      <c r="BJ1348" s="25"/>
      <c r="BK1348" s="25"/>
      <c r="BL1348" s="25"/>
      <c r="BM1348" s="25"/>
      <c r="BN1348" s="25"/>
      <c r="BO1348" s="25"/>
      <c r="BP1348" s="25"/>
    </row>
    <row r="1349" spans="5:68" ht="15" customHeight="1" x14ac:dyDescent="0.25">
      <c r="E1349" s="3"/>
      <c r="F1349" s="4"/>
      <c r="G1349" s="5"/>
      <c r="H1349" s="40"/>
      <c r="I1349" s="40"/>
      <c r="J1349" s="7"/>
      <c r="K1349" s="8"/>
      <c r="L1349" s="9"/>
      <c r="M1349" s="10"/>
      <c r="N1349" s="11"/>
      <c r="O1349" s="12"/>
      <c r="P1349" s="13"/>
      <c r="Q1349" s="81"/>
      <c r="R1349" s="79"/>
      <c r="S1349" s="13"/>
      <c r="T1349" s="13"/>
      <c r="U1349" s="13"/>
      <c r="V1349" s="31"/>
      <c r="W1349" s="15"/>
      <c r="X1349" s="15"/>
      <c r="Y1349" s="16"/>
      <c r="Z1349" s="17"/>
      <c r="AA1349" s="16"/>
      <c r="AB1349" s="99"/>
      <c r="AC1349" s="20"/>
      <c r="AD1349" s="21"/>
      <c r="AE1349" s="22"/>
      <c r="AF1349" s="23"/>
      <c r="AG1349" s="24"/>
      <c r="AH1349" s="1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  <c r="AT1349" s="25"/>
      <c r="AU1349" s="25"/>
      <c r="AV1349" s="25"/>
      <c r="AW1349" s="25"/>
      <c r="AX1349" s="25"/>
      <c r="AY1349" s="25"/>
      <c r="AZ1349" s="25"/>
      <c r="BA1349" s="25"/>
      <c r="BB1349" s="25"/>
      <c r="BC1349" s="25"/>
      <c r="BD1349" s="25"/>
      <c r="BE1349" s="25"/>
      <c r="BF1349" s="25"/>
      <c r="BG1349" s="25"/>
      <c r="BH1349" s="25"/>
      <c r="BI1349" s="25"/>
      <c r="BJ1349" s="25"/>
      <c r="BK1349" s="25"/>
      <c r="BL1349" s="25"/>
      <c r="BM1349" s="25"/>
      <c r="BN1349" s="25"/>
      <c r="BO1349" s="25"/>
      <c r="BP1349" s="25"/>
    </row>
    <row r="1350" spans="5:68" ht="15" customHeight="1" x14ac:dyDescent="0.25">
      <c r="E1350" s="3"/>
      <c r="F1350" s="4"/>
      <c r="G1350" s="5"/>
      <c r="H1350" s="40"/>
      <c r="I1350" s="40"/>
      <c r="J1350" s="7"/>
      <c r="K1350" s="8"/>
      <c r="L1350" s="9"/>
      <c r="M1350" s="10"/>
      <c r="N1350" s="11"/>
      <c r="O1350" s="12"/>
      <c r="P1350" s="13"/>
      <c r="Q1350" s="81"/>
      <c r="R1350" s="79"/>
      <c r="S1350" s="13"/>
      <c r="T1350" s="13"/>
      <c r="U1350" s="13"/>
      <c r="V1350" s="31"/>
      <c r="W1350" s="15"/>
      <c r="X1350" s="15"/>
      <c r="Y1350" s="16"/>
      <c r="Z1350" s="17"/>
      <c r="AA1350" s="16"/>
      <c r="AB1350" s="99"/>
      <c r="AC1350" s="20"/>
      <c r="AD1350" s="21"/>
      <c r="AE1350" s="22"/>
      <c r="AF1350" s="23"/>
      <c r="AG1350" s="24"/>
      <c r="AH1350" s="1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  <c r="AT1350" s="25"/>
      <c r="AU1350" s="25"/>
      <c r="AV1350" s="25"/>
      <c r="AW1350" s="25"/>
      <c r="AX1350" s="25"/>
      <c r="AY1350" s="25"/>
      <c r="AZ1350" s="25"/>
      <c r="BA1350" s="25"/>
      <c r="BB1350" s="25"/>
      <c r="BC1350" s="25"/>
      <c r="BD1350" s="25"/>
      <c r="BE1350" s="25"/>
      <c r="BF1350" s="25"/>
      <c r="BG1350" s="25"/>
      <c r="BH1350" s="25"/>
      <c r="BI1350" s="25"/>
      <c r="BJ1350" s="25"/>
      <c r="BK1350" s="25"/>
      <c r="BL1350" s="25"/>
      <c r="BM1350" s="25"/>
      <c r="BN1350" s="25"/>
      <c r="BO1350" s="25"/>
      <c r="BP1350" s="25"/>
    </row>
    <row r="1351" spans="5:68" ht="15" customHeight="1" x14ac:dyDescent="0.25">
      <c r="E1351" s="3"/>
      <c r="F1351" s="4"/>
      <c r="G1351" s="5"/>
      <c r="H1351" s="40"/>
      <c r="I1351" s="40"/>
      <c r="J1351" s="7"/>
      <c r="K1351" s="8"/>
      <c r="L1351" s="9"/>
      <c r="M1351" s="10"/>
      <c r="N1351" s="11"/>
      <c r="O1351" s="12"/>
      <c r="P1351" s="13"/>
      <c r="Q1351" s="81"/>
      <c r="R1351" s="79"/>
      <c r="S1351" s="13"/>
      <c r="T1351" s="13"/>
      <c r="U1351" s="13"/>
      <c r="V1351" s="31"/>
      <c r="W1351" s="15"/>
      <c r="X1351" s="15"/>
      <c r="Y1351" s="16"/>
      <c r="Z1351" s="17"/>
      <c r="AA1351" s="16"/>
      <c r="AB1351" s="99"/>
      <c r="AC1351" s="20"/>
      <c r="AD1351" s="21"/>
      <c r="AE1351" s="22"/>
      <c r="AF1351" s="23"/>
      <c r="AG1351" s="24"/>
      <c r="AH1351" s="1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  <c r="AT1351" s="25"/>
      <c r="AU1351" s="25"/>
      <c r="AV1351" s="25"/>
      <c r="AW1351" s="25"/>
      <c r="AX1351" s="25"/>
      <c r="AY1351" s="25"/>
      <c r="AZ1351" s="25"/>
      <c r="BA1351" s="25"/>
      <c r="BB1351" s="25"/>
      <c r="BC1351" s="25"/>
      <c r="BD1351" s="25"/>
      <c r="BE1351" s="25"/>
      <c r="BF1351" s="25"/>
      <c r="BG1351" s="25"/>
      <c r="BH1351" s="25"/>
      <c r="BI1351" s="25"/>
      <c r="BJ1351" s="25"/>
      <c r="BK1351" s="25"/>
      <c r="BL1351" s="25"/>
      <c r="BM1351" s="25"/>
      <c r="BN1351" s="25"/>
      <c r="BO1351" s="25"/>
      <c r="BP1351" s="25"/>
    </row>
    <row r="1352" spans="5:68" ht="15" customHeight="1" x14ac:dyDescent="0.25">
      <c r="E1352" s="3"/>
      <c r="F1352" s="4"/>
      <c r="G1352" s="5"/>
      <c r="H1352" s="40"/>
      <c r="I1352" s="40"/>
      <c r="J1352" s="7"/>
      <c r="K1352" s="8"/>
      <c r="L1352" s="9"/>
      <c r="M1352" s="10"/>
      <c r="N1352" s="11"/>
      <c r="O1352" s="12"/>
      <c r="P1352" s="13"/>
      <c r="Q1352" s="81"/>
      <c r="R1352" s="79"/>
      <c r="S1352" s="13"/>
      <c r="T1352" s="13"/>
      <c r="U1352" s="13"/>
      <c r="V1352" s="31"/>
      <c r="W1352" s="15"/>
      <c r="X1352" s="15"/>
      <c r="Y1352" s="16"/>
      <c r="Z1352" s="17"/>
      <c r="AA1352" s="16"/>
      <c r="AB1352" s="99"/>
      <c r="AC1352" s="20"/>
      <c r="AD1352" s="21"/>
      <c r="AE1352" s="22"/>
      <c r="AF1352" s="23"/>
      <c r="AG1352" s="24"/>
      <c r="AH1352" s="1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25"/>
      <c r="AY1352" s="25"/>
      <c r="AZ1352" s="25"/>
      <c r="BA1352" s="25"/>
      <c r="BB1352" s="25"/>
      <c r="BC1352" s="25"/>
      <c r="BD1352" s="25"/>
      <c r="BE1352" s="25"/>
      <c r="BF1352" s="25"/>
      <c r="BG1352" s="25"/>
      <c r="BH1352" s="25"/>
      <c r="BI1352" s="25"/>
      <c r="BJ1352" s="25"/>
      <c r="BK1352" s="25"/>
      <c r="BL1352" s="25"/>
      <c r="BM1352" s="25"/>
      <c r="BN1352" s="25"/>
      <c r="BO1352" s="25"/>
      <c r="BP1352" s="25"/>
    </row>
    <row r="1353" spans="5:68" ht="15" customHeight="1" x14ac:dyDescent="0.25">
      <c r="E1353" s="3"/>
      <c r="F1353" s="4"/>
      <c r="G1353" s="5"/>
      <c r="H1353" s="40"/>
      <c r="I1353" s="40"/>
      <c r="J1353" s="7"/>
      <c r="K1353" s="8"/>
      <c r="L1353" s="9"/>
      <c r="M1353" s="10"/>
      <c r="N1353" s="11"/>
      <c r="O1353" s="12"/>
      <c r="P1353" s="13"/>
      <c r="Q1353" s="81"/>
      <c r="R1353" s="79"/>
      <c r="S1353" s="13"/>
      <c r="T1353" s="13"/>
      <c r="U1353" s="13"/>
      <c r="V1353" s="31"/>
      <c r="W1353" s="15"/>
      <c r="X1353" s="15"/>
      <c r="Y1353" s="16"/>
      <c r="Z1353" s="17"/>
      <c r="AA1353" s="16"/>
      <c r="AB1353" s="99"/>
      <c r="AC1353" s="20"/>
      <c r="AD1353" s="21"/>
      <c r="AE1353" s="22"/>
      <c r="AF1353" s="23"/>
      <c r="AG1353" s="24"/>
      <c r="AH1353" s="1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  <c r="AW1353" s="25"/>
      <c r="AX1353" s="25"/>
      <c r="AY1353" s="25"/>
      <c r="AZ1353" s="25"/>
      <c r="BA1353" s="25"/>
      <c r="BB1353" s="25"/>
      <c r="BC1353" s="25"/>
      <c r="BD1353" s="25"/>
      <c r="BE1353" s="25"/>
      <c r="BF1353" s="25"/>
      <c r="BG1353" s="25"/>
      <c r="BH1353" s="25"/>
      <c r="BI1353" s="25"/>
      <c r="BJ1353" s="25"/>
      <c r="BK1353" s="25"/>
      <c r="BL1353" s="25"/>
      <c r="BM1353" s="25"/>
      <c r="BN1353" s="25"/>
      <c r="BO1353" s="25"/>
      <c r="BP1353" s="25"/>
    </row>
    <row r="1354" spans="5:68" ht="15" customHeight="1" x14ac:dyDescent="0.25">
      <c r="E1354" s="3"/>
      <c r="F1354" s="4"/>
      <c r="G1354" s="5"/>
      <c r="H1354" s="40"/>
      <c r="I1354" s="40"/>
      <c r="J1354" s="7"/>
      <c r="K1354" s="8"/>
      <c r="L1354" s="9"/>
      <c r="M1354" s="10"/>
      <c r="N1354" s="11"/>
      <c r="O1354" s="12"/>
      <c r="P1354" s="13"/>
      <c r="Q1354" s="81"/>
      <c r="R1354" s="79"/>
      <c r="S1354" s="13"/>
      <c r="T1354" s="13"/>
      <c r="U1354" s="13"/>
      <c r="V1354" s="31"/>
      <c r="W1354" s="15"/>
      <c r="X1354" s="15"/>
      <c r="Y1354" s="16"/>
      <c r="Z1354" s="17"/>
      <c r="AA1354" s="16"/>
      <c r="AB1354" s="99"/>
      <c r="AC1354" s="20"/>
      <c r="AD1354" s="21"/>
      <c r="AE1354" s="22"/>
      <c r="AF1354" s="23"/>
      <c r="AG1354" s="24"/>
      <c r="AH1354" s="1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  <c r="AW1354" s="25"/>
      <c r="AX1354" s="25"/>
      <c r="AY1354" s="25"/>
      <c r="AZ1354" s="25"/>
      <c r="BA1354" s="25"/>
      <c r="BB1354" s="25"/>
      <c r="BC1354" s="25"/>
      <c r="BD1354" s="25"/>
      <c r="BE1354" s="25"/>
      <c r="BF1354" s="25"/>
      <c r="BG1354" s="25"/>
      <c r="BH1354" s="25"/>
      <c r="BI1354" s="25"/>
      <c r="BJ1354" s="25"/>
      <c r="BK1354" s="25"/>
      <c r="BL1354" s="25"/>
      <c r="BM1354" s="25"/>
      <c r="BN1354" s="25"/>
      <c r="BO1354" s="25"/>
      <c r="BP1354" s="25"/>
    </row>
    <row r="1355" spans="5:68" ht="15" customHeight="1" x14ac:dyDescent="0.25">
      <c r="E1355" s="3"/>
      <c r="F1355" s="4"/>
      <c r="G1355" s="5"/>
      <c r="H1355" s="40"/>
      <c r="I1355" s="40"/>
      <c r="J1355" s="7"/>
      <c r="K1355" s="8"/>
      <c r="L1355" s="9"/>
      <c r="M1355" s="10"/>
      <c r="N1355" s="11"/>
      <c r="O1355" s="12"/>
      <c r="P1355" s="13"/>
      <c r="Q1355" s="81"/>
      <c r="R1355" s="79"/>
      <c r="S1355" s="13"/>
      <c r="T1355" s="13"/>
      <c r="U1355" s="13"/>
      <c r="V1355" s="31"/>
      <c r="W1355" s="15"/>
      <c r="X1355" s="15"/>
      <c r="Y1355" s="16"/>
      <c r="Z1355" s="17"/>
      <c r="AA1355" s="16"/>
      <c r="AB1355" s="99"/>
      <c r="AC1355" s="20"/>
      <c r="AD1355" s="21"/>
      <c r="AE1355" s="22"/>
      <c r="AF1355" s="23"/>
      <c r="AG1355" s="24"/>
      <c r="AH1355" s="1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  <c r="AW1355" s="25"/>
      <c r="AX1355" s="25"/>
      <c r="AY1355" s="25"/>
      <c r="AZ1355" s="25"/>
      <c r="BA1355" s="25"/>
      <c r="BB1355" s="25"/>
      <c r="BC1355" s="25"/>
      <c r="BD1355" s="25"/>
      <c r="BE1355" s="25"/>
      <c r="BF1355" s="25"/>
      <c r="BG1355" s="25"/>
      <c r="BH1355" s="25"/>
      <c r="BI1355" s="25"/>
      <c r="BJ1355" s="25"/>
      <c r="BK1355" s="25"/>
      <c r="BL1355" s="25"/>
      <c r="BM1355" s="25"/>
      <c r="BN1355" s="25"/>
      <c r="BO1355" s="25"/>
      <c r="BP1355" s="25"/>
    </row>
    <row r="1356" spans="5:68" ht="15" customHeight="1" x14ac:dyDescent="0.25">
      <c r="E1356" s="3"/>
      <c r="F1356" s="4"/>
      <c r="G1356" s="39"/>
      <c r="H1356" s="40"/>
      <c r="I1356" s="40"/>
      <c r="J1356" s="7"/>
      <c r="K1356" s="8"/>
      <c r="L1356" s="9"/>
      <c r="M1356" s="10"/>
      <c r="N1356" s="11"/>
      <c r="O1356" s="12"/>
      <c r="P1356" s="32"/>
      <c r="Q1356" s="80"/>
      <c r="R1356" s="79"/>
      <c r="S1356" s="80"/>
      <c r="T1356" s="32"/>
      <c r="U1356" s="32"/>
      <c r="V1356" s="74"/>
      <c r="W1356" s="15"/>
      <c r="X1356" s="15"/>
      <c r="Y1356" s="16"/>
      <c r="Z1356" s="17"/>
      <c r="AA1356" s="16"/>
      <c r="AB1356" s="99"/>
      <c r="AC1356" s="20"/>
      <c r="AD1356" s="21"/>
      <c r="AE1356" s="22"/>
      <c r="AF1356" s="23"/>
      <c r="AG1356" s="24"/>
      <c r="AH1356" s="1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  <c r="AW1356" s="25"/>
      <c r="AX1356" s="25"/>
      <c r="AY1356" s="25"/>
      <c r="AZ1356" s="25"/>
      <c r="BA1356" s="25"/>
      <c r="BB1356" s="25"/>
      <c r="BC1356" s="25"/>
      <c r="BD1356" s="25"/>
      <c r="BE1356" s="25"/>
      <c r="BF1356" s="25"/>
      <c r="BG1356" s="25"/>
      <c r="BH1356" s="25"/>
      <c r="BI1356" s="25"/>
      <c r="BJ1356" s="25"/>
      <c r="BK1356" s="25"/>
      <c r="BL1356" s="25"/>
      <c r="BM1356" s="25"/>
      <c r="BN1356" s="25"/>
      <c r="BO1356" s="25"/>
      <c r="BP1356" s="25"/>
    </row>
    <row r="1357" spans="5:68" ht="15" customHeight="1" x14ac:dyDescent="0.25">
      <c r="E1357" s="100"/>
      <c r="F1357" s="101"/>
      <c r="G1357" s="5"/>
      <c r="H1357" s="6"/>
      <c r="I1357" s="6"/>
      <c r="J1357" s="115"/>
      <c r="K1357" s="8"/>
      <c r="L1357" s="9"/>
      <c r="M1357" s="10"/>
      <c r="N1357" s="11"/>
      <c r="O1357" s="12"/>
      <c r="P1357" s="13"/>
      <c r="Q1357" s="13"/>
      <c r="R1357" s="14"/>
      <c r="S1357" s="13"/>
      <c r="T1357" s="13"/>
      <c r="U1357" s="13"/>
      <c r="V1357" s="31"/>
      <c r="W1357" s="105"/>
      <c r="X1357" s="105"/>
      <c r="Y1357" s="10"/>
      <c r="Z1357" s="8"/>
      <c r="AA1357" s="10"/>
      <c r="AB1357" s="106"/>
      <c r="AC1357" s="107"/>
      <c r="AD1357" s="108"/>
      <c r="AE1357" s="109"/>
      <c r="AF1357" s="110"/>
      <c r="AG1357" s="24"/>
      <c r="AH1357" s="1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25"/>
      <c r="AY1357" s="25"/>
      <c r="AZ1357" s="25"/>
      <c r="BA1357" s="25"/>
      <c r="BB1357" s="25"/>
      <c r="BC1357" s="25"/>
      <c r="BD1357" s="25"/>
      <c r="BE1357" s="25"/>
      <c r="BF1357" s="25"/>
      <c r="BG1357" s="25"/>
      <c r="BH1357" s="25"/>
      <c r="BI1357" s="25"/>
      <c r="BJ1357" s="25"/>
      <c r="BK1357" s="25"/>
      <c r="BL1357" s="25"/>
      <c r="BM1357" s="25"/>
      <c r="BN1357" s="25"/>
      <c r="BO1357" s="25"/>
      <c r="BP1357" s="25"/>
    </row>
    <row r="1358" spans="5:68" ht="15" customHeight="1" x14ac:dyDescent="0.25">
      <c r="E1358" s="100"/>
      <c r="F1358" s="101"/>
      <c r="G1358" s="5"/>
      <c r="H1358" s="6"/>
      <c r="I1358" s="6"/>
      <c r="J1358" s="115"/>
      <c r="K1358" s="8"/>
      <c r="L1358" s="9"/>
      <c r="M1358" s="10"/>
      <c r="N1358" s="11"/>
      <c r="O1358" s="12"/>
      <c r="P1358" s="13"/>
      <c r="Q1358" s="13"/>
      <c r="R1358" s="14"/>
      <c r="S1358" s="13"/>
      <c r="T1358" s="13"/>
      <c r="U1358" s="13"/>
      <c r="V1358" s="31"/>
      <c r="W1358" s="105"/>
      <c r="X1358" s="105"/>
      <c r="Y1358" s="10"/>
      <c r="Z1358" s="8"/>
      <c r="AA1358" s="10"/>
      <c r="AB1358" s="106"/>
      <c r="AC1358" s="107"/>
      <c r="AD1358" s="108"/>
      <c r="AE1358" s="109"/>
      <c r="AF1358" s="110"/>
      <c r="AG1358" s="24"/>
      <c r="AH1358" s="1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25"/>
      <c r="AY1358" s="25"/>
      <c r="AZ1358" s="25"/>
      <c r="BA1358" s="25"/>
      <c r="BB1358" s="25"/>
      <c r="BC1358" s="25"/>
      <c r="BD1358" s="25"/>
      <c r="BE1358" s="25"/>
      <c r="BF1358" s="25"/>
      <c r="BG1358" s="25"/>
      <c r="BH1358" s="25"/>
      <c r="BI1358" s="25"/>
      <c r="BJ1358" s="25"/>
      <c r="BK1358" s="25"/>
      <c r="BL1358" s="25"/>
      <c r="BM1358" s="25"/>
      <c r="BN1358" s="25"/>
      <c r="BO1358" s="25"/>
      <c r="BP1358" s="25"/>
    </row>
    <row r="1359" spans="5:68" ht="15" customHeight="1" x14ac:dyDescent="0.25">
      <c r="E1359" s="100"/>
      <c r="F1359" s="101"/>
      <c r="G1359" s="5"/>
      <c r="H1359" s="6"/>
      <c r="I1359" s="6"/>
      <c r="J1359" s="115"/>
      <c r="K1359" s="8"/>
      <c r="L1359" s="9"/>
      <c r="M1359" s="10"/>
      <c r="N1359" s="11"/>
      <c r="O1359" s="12"/>
      <c r="P1359" s="13"/>
      <c r="Q1359" s="13"/>
      <c r="R1359" s="14"/>
      <c r="S1359" s="13"/>
      <c r="T1359" s="13"/>
      <c r="U1359" s="13"/>
      <c r="V1359" s="31"/>
      <c r="W1359" s="105"/>
      <c r="X1359" s="105"/>
      <c r="Y1359" s="10"/>
      <c r="Z1359" s="8"/>
      <c r="AA1359" s="10"/>
      <c r="AB1359" s="106"/>
      <c r="AC1359" s="107"/>
      <c r="AD1359" s="108"/>
      <c r="AE1359" s="109"/>
      <c r="AF1359" s="110"/>
      <c r="AG1359" s="24"/>
      <c r="AH1359" s="1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  <c r="AW1359" s="25"/>
      <c r="AX1359" s="25"/>
      <c r="AY1359" s="25"/>
      <c r="AZ1359" s="25"/>
      <c r="BA1359" s="25"/>
      <c r="BB1359" s="25"/>
      <c r="BC1359" s="25"/>
      <c r="BD1359" s="25"/>
      <c r="BE1359" s="25"/>
      <c r="BF1359" s="25"/>
      <c r="BG1359" s="25"/>
      <c r="BH1359" s="25"/>
      <c r="BI1359" s="25"/>
      <c r="BJ1359" s="25"/>
      <c r="BK1359" s="25"/>
      <c r="BL1359" s="25"/>
      <c r="BM1359" s="25"/>
      <c r="BN1359" s="25"/>
      <c r="BO1359" s="25"/>
      <c r="BP1359" s="25"/>
    </row>
    <row r="1360" spans="5:68" ht="15" customHeight="1" x14ac:dyDescent="0.25">
      <c r="E1360" s="100"/>
      <c r="F1360" s="101"/>
      <c r="G1360" s="5"/>
      <c r="H1360" s="6"/>
      <c r="I1360" s="6"/>
      <c r="J1360" s="115"/>
      <c r="K1360" s="8"/>
      <c r="L1360" s="9"/>
      <c r="M1360" s="10"/>
      <c r="N1360" s="11"/>
      <c r="O1360" s="12"/>
      <c r="P1360" s="13"/>
      <c r="Q1360" s="13"/>
      <c r="R1360" s="14"/>
      <c r="S1360" s="13"/>
      <c r="T1360" s="13"/>
      <c r="U1360" s="13"/>
      <c r="V1360" s="31"/>
      <c r="W1360" s="105"/>
      <c r="X1360" s="105"/>
      <c r="Y1360" s="10"/>
      <c r="Z1360" s="8"/>
      <c r="AA1360" s="10"/>
      <c r="AB1360" s="106"/>
      <c r="AC1360" s="107"/>
      <c r="AD1360" s="108"/>
      <c r="AE1360" s="109"/>
      <c r="AF1360" s="110"/>
      <c r="AG1360" s="24"/>
      <c r="AH1360" s="1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  <c r="AW1360" s="25"/>
      <c r="AX1360" s="25"/>
      <c r="AY1360" s="25"/>
      <c r="AZ1360" s="25"/>
      <c r="BA1360" s="25"/>
      <c r="BB1360" s="25"/>
      <c r="BC1360" s="25"/>
      <c r="BD1360" s="25"/>
      <c r="BE1360" s="25"/>
      <c r="BF1360" s="25"/>
      <c r="BG1360" s="25"/>
      <c r="BH1360" s="25"/>
      <c r="BI1360" s="25"/>
      <c r="BJ1360" s="25"/>
      <c r="BK1360" s="25"/>
      <c r="BL1360" s="25"/>
      <c r="BM1360" s="25"/>
      <c r="BN1360" s="25"/>
      <c r="BO1360" s="25"/>
      <c r="BP1360" s="25"/>
    </row>
    <row r="1361" spans="5:68" ht="15" customHeight="1" x14ac:dyDescent="0.25">
      <c r="E1361" s="28"/>
      <c r="F1361" s="29"/>
      <c r="G1361" s="102"/>
      <c r="H1361" s="6"/>
      <c r="I1361" s="6"/>
      <c r="J1361" s="30"/>
      <c r="K1361" s="8"/>
      <c r="L1361" s="9"/>
      <c r="M1361" s="10"/>
      <c r="N1361" s="11"/>
      <c r="O1361" s="12"/>
      <c r="P1361" s="13"/>
      <c r="Q1361" s="13"/>
      <c r="R1361" s="14"/>
      <c r="S1361" s="13"/>
      <c r="T1361" s="13"/>
      <c r="U1361" s="13"/>
      <c r="V1361" s="31"/>
      <c r="W1361" s="15"/>
      <c r="X1361" s="15"/>
      <c r="Y1361" s="16"/>
      <c r="Z1361" s="17"/>
      <c r="AA1361" s="16"/>
      <c r="AB1361" s="24"/>
      <c r="AC1361" s="20"/>
      <c r="AD1361" s="21"/>
      <c r="AE1361" s="22"/>
      <c r="AF1361" s="23"/>
      <c r="AG1361" s="24"/>
      <c r="AH1361" s="1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  <c r="AW1361" s="25"/>
      <c r="AX1361" s="25"/>
      <c r="AY1361" s="25"/>
      <c r="AZ1361" s="25"/>
      <c r="BA1361" s="25"/>
      <c r="BB1361" s="25"/>
      <c r="BC1361" s="25"/>
      <c r="BD1361" s="25"/>
      <c r="BE1361" s="25"/>
      <c r="BF1361" s="25"/>
      <c r="BG1361" s="25"/>
      <c r="BH1361" s="25"/>
      <c r="BI1361" s="25"/>
      <c r="BJ1361" s="25"/>
      <c r="BK1361" s="25"/>
      <c r="BL1361" s="25"/>
      <c r="BM1361" s="25"/>
      <c r="BN1361" s="25"/>
      <c r="BO1361" s="25"/>
      <c r="BP1361" s="25"/>
    </row>
    <row r="1362" spans="5:68" ht="15" customHeight="1" x14ac:dyDescent="0.25">
      <c r="E1362" s="28"/>
      <c r="F1362" s="29"/>
      <c r="G1362" s="102"/>
      <c r="H1362" s="6"/>
      <c r="I1362" s="6"/>
      <c r="J1362" s="30"/>
      <c r="K1362" s="8"/>
      <c r="L1362" s="9"/>
      <c r="M1362" s="10"/>
      <c r="N1362" s="11"/>
      <c r="O1362" s="12"/>
      <c r="P1362" s="13"/>
      <c r="Q1362" s="13"/>
      <c r="R1362" s="14"/>
      <c r="S1362" s="13"/>
      <c r="T1362" s="13"/>
      <c r="U1362" s="104"/>
      <c r="V1362" s="31"/>
      <c r="W1362" s="15"/>
      <c r="X1362" s="15"/>
      <c r="Y1362" s="16"/>
      <c r="Z1362" s="17"/>
      <c r="AA1362" s="16"/>
      <c r="AB1362" s="24"/>
      <c r="AC1362" s="20"/>
      <c r="AD1362" s="21"/>
      <c r="AE1362" s="22"/>
      <c r="AF1362" s="23"/>
      <c r="AG1362" s="24"/>
      <c r="AH1362" s="1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  <c r="AT1362" s="25"/>
      <c r="AU1362" s="25"/>
      <c r="AV1362" s="25"/>
      <c r="AW1362" s="25"/>
      <c r="AX1362" s="25"/>
      <c r="AY1362" s="25"/>
      <c r="AZ1362" s="25"/>
      <c r="BA1362" s="25"/>
      <c r="BB1362" s="25"/>
      <c r="BC1362" s="25"/>
      <c r="BD1362" s="25"/>
      <c r="BE1362" s="25"/>
      <c r="BF1362" s="25"/>
      <c r="BG1362" s="25"/>
      <c r="BH1362" s="25"/>
      <c r="BI1362" s="25"/>
      <c r="BJ1362" s="25"/>
      <c r="BK1362" s="25"/>
      <c r="BL1362" s="25"/>
      <c r="BM1362" s="25"/>
      <c r="BN1362" s="25"/>
      <c r="BO1362" s="25"/>
      <c r="BP1362" s="25"/>
    </row>
    <row r="1363" spans="5:68" ht="15" customHeight="1" x14ac:dyDescent="0.25">
      <c r="E1363" s="28"/>
      <c r="F1363" s="29"/>
      <c r="G1363" s="102"/>
      <c r="H1363" s="6"/>
      <c r="I1363" s="6"/>
      <c r="J1363" s="30"/>
      <c r="K1363" s="8"/>
      <c r="L1363" s="9"/>
      <c r="M1363" s="10"/>
      <c r="N1363" s="11"/>
      <c r="O1363" s="12"/>
      <c r="P1363" s="13"/>
      <c r="Q1363" s="13"/>
      <c r="R1363" s="14"/>
      <c r="S1363" s="13"/>
      <c r="T1363" s="13"/>
      <c r="U1363" s="104"/>
      <c r="V1363" s="31"/>
      <c r="W1363" s="15"/>
      <c r="X1363" s="15"/>
      <c r="Y1363" s="16"/>
      <c r="Z1363" s="17"/>
      <c r="AA1363" s="16"/>
      <c r="AB1363" s="24"/>
      <c r="AC1363" s="20"/>
      <c r="AD1363" s="21"/>
      <c r="AE1363" s="22"/>
      <c r="AF1363" s="23"/>
      <c r="AG1363" s="24"/>
      <c r="AH1363" s="1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  <c r="AT1363" s="25"/>
      <c r="AU1363" s="25"/>
      <c r="AV1363" s="25"/>
      <c r="AW1363" s="25"/>
      <c r="AX1363" s="25"/>
      <c r="AY1363" s="25"/>
      <c r="AZ1363" s="25"/>
      <c r="BA1363" s="25"/>
      <c r="BB1363" s="25"/>
      <c r="BC1363" s="25"/>
      <c r="BD1363" s="25"/>
      <c r="BE1363" s="25"/>
      <c r="BF1363" s="25"/>
      <c r="BG1363" s="25"/>
      <c r="BH1363" s="25"/>
      <c r="BI1363" s="25"/>
      <c r="BJ1363" s="25"/>
      <c r="BK1363" s="25"/>
      <c r="BL1363" s="25"/>
      <c r="BM1363" s="25"/>
      <c r="BN1363" s="25"/>
      <c r="BO1363" s="25"/>
      <c r="BP1363" s="25"/>
    </row>
    <row r="1364" spans="5:68" ht="15" customHeight="1" x14ac:dyDescent="0.25">
      <c r="E1364" s="28"/>
      <c r="F1364" s="29"/>
      <c r="G1364" s="102"/>
      <c r="H1364" s="6"/>
      <c r="I1364" s="6"/>
      <c r="J1364" s="30"/>
      <c r="K1364" s="8"/>
      <c r="L1364" s="9"/>
      <c r="M1364" s="10"/>
      <c r="N1364" s="11"/>
      <c r="O1364" s="12"/>
      <c r="P1364" s="13"/>
      <c r="Q1364" s="13"/>
      <c r="R1364" s="14"/>
      <c r="S1364" s="13"/>
      <c r="T1364" s="13"/>
      <c r="U1364" s="104"/>
      <c r="V1364" s="31"/>
      <c r="W1364" s="15"/>
      <c r="X1364" s="15"/>
      <c r="Y1364" s="16"/>
      <c r="Z1364" s="17"/>
      <c r="AA1364" s="16"/>
      <c r="AB1364" s="24"/>
      <c r="AC1364" s="20"/>
      <c r="AD1364" s="21"/>
      <c r="AE1364" s="22"/>
      <c r="AF1364" s="23"/>
      <c r="AG1364" s="24"/>
      <c r="AH1364" s="1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  <c r="AT1364" s="25"/>
      <c r="AU1364" s="25"/>
      <c r="AV1364" s="25"/>
      <c r="AW1364" s="25"/>
      <c r="AX1364" s="25"/>
      <c r="AY1364" s="25"/>
      <c r="AZ1364" s="25"/>
      <c r="BA1364" s="25"/>
      <c r="BB1364" s="25"/>
      <c r="BC1364" s="25"/>
      <c r="BD1364" s="25"/>
      <c r="BE1364" s="25"/>
      <c r="BF1364" s="25"/>
      <c r="BG1364" s="25"/>
      <c r="BH1364" s="25"/>
      <c r="BI1364" s="25"/>
      <c r="BJ1364" s="25"/>
      <c r="BK1364" s="25"/>
      <c r="BL1364" s="25"/>
      <c r="BM1364" s="25"/>
      <c r="BN1364" s="25"/>
      <c r="BO1364" s="25"/>
      <c r="BP1364" s="25"/>
    </row>
    <row r="1365" spans="5:68" ht="15" customHeight="1" x14ac:dyDescent="0.25">
      <c r="E1365" s="28"/>
      <c r="F1365" s="29"/>
      <c r="G1365" s="102"/>
      <c r="H1365" s="6"/>
      <c r="I1365" s="6"/>
      <c r="J1365" s="30"/>
      <c r="K1365" s="8"/>
      <c r="L1365" s="9"/>
      <c r="M1365" s="10"/>
      <c r="N1365" s="11"/>
      <c r="O1365" s="12"/>
      <c r="P1365" s="13"/>
      <c r="Q1365" s="13"/>
      <c r="R1365" s="14"/>
      <c r="S1365" s="13"/>
      <c r="T1365" s="13"/>
      <c r="U1365" s="104"/>
      <c r="V1365" s="31"/>
      <c r="W1365" s="15"/>
      <c r="X1365" s="15"/>
      <c r="Y1365" s="16"/>
      <c r="Z1365" s="17"/>
      <c r="AA1365" s="16"/>
      <c r="AB1365" s="24"/>
      <c r="AC1365" s="20"/>
      <c r="AD1365" s="21"/>
      <c r="AE1365" s="22"/>
      <c r="AF1365" s="23"/>
      <c r="AG1365" s="24"/>
      <c r="AH1365" s="1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  <c r="AT1365" s="25"/>
      <c r="AU1365" s="25"/>
      <c r="AV1365" s="25"/>
      <c r="AW1365" s="25"/>
      <c r="AX1365" s="25"/>
      <c r="AY1365" s="25"/>
      <c r="AZ1365" s="25"/>
      <c r="BA1365" s="25"/>
      <c r="BB1365" s="25"/>
      <c r="BC1365" s="25"/>
      <c r="BD1365" s="25"/>
      <c r="BE1365" s="25"/>
      <c r="BF1365" s="25"/>
      <c r="BG1365" s="25"/>
      <c r="BH1365" s="25"/>
      <c r="BI1365" s="25"/>
      <c r="BJ1365" s="25"/>
      <c r="BK1365" s="25"/>
      <c r="BL1365" s="25"/>
      <c r="BM1365" s="25"/>
      <c r="BN1365" s="25"/>
      <c r="BO1365" s="25"/>
      <c r="BP1365" s="25"/>
    </row>
    <row r="1366" spans="5:68" ht="15" customHeight="1" x14ac:dyDescent="0.25">
      <c r="E1366" s="28"/>
      <c r="F1366" s="29"/>
      <c r="G1366" s="5"/>
      <c r="H1366" s="6"/>
      <c r="I1366" s="6"/>
      <c r="J1366" s="30"/>
      <c r="K1366" s="8"/>
      <c r="L1366" s="9"/>
      <c r="M1366" s="10"/>
      <c r="N1366" s="11"/>
      <c r="O1366" s="12"/>
      <c r="P1366" s="13"/>
      <c r="Q1366" s="13"/>
      <c r="R1366" s="14"/>
      <c r="S1366" s="13"/>
      <c r="T1366" s="13"/>
      <c r="U1366" s="13"/>
      <c r="V1366" s="31"/>
      <c r="W1366" s="15"/>
      <c r="X1366" s="15"/>
      <c r="Y1366" s="16"/>
      <c r="Z1366" s="17"/>
      <c r="AA1366" s="16"/>
      <c r="AB1366" s="24"/>
      <c r="AC1366" s="20"/>
      <c r="AD1366" s="21"/>
      <c r="AE1366" s="22"/>
      <c r="AF1366" s="23"/>
      <c r="AG1366" s="24"/>
      <c r="AH1366" s="1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  <c r="AT1366" s="25"/>
      <c r="AU1366" s="25"/>
      <c r="AV1366" s="25"/>
      <c r="AW1366" s="25"/>
      <c r="AX1366" s="25"/>
      <c r="AY1366" s="25"/>
      <c r="AZ1366" s="25"/>
      <c r="BA1366" s="25"/>
      <c r="BB1366" s="25"/>
      <c r="BC1366" s="25"/>
      <c r="BD1366" s="25"/>
      <c r="BE1366" s="25"/>
      <c r="BF1366" s="25"/>
      <c r="BG1366" s="25"/>
      <c r="BH1366" s="25"/>
      <c r="BI1366" s="25"/>
      <c r="BJ1366" s="25"/>
      <c r="BK1366" s="25"/>
      <c r="BL1366" s="25"/>
      <c r="BM1366" s="25"/>
      <c r="BN1366" s="25"/>
      <c r="BO1366" s="25"/>
      <c r="BP1366" s="25"/>
    </row>
    <row r="1367" spans="5:68" ht="15" customHeight="1" x14ac:dyDescent="0.25">
      <c r="E1367" s="28"/>
      <c r="F1367" s="29"/>
      <c r="G1367" s="5"/>
      <c r="H1367" s="6"/>
      <c r="I1367" s="6"/>
      <c r="J1367" s="30"/>
      <c r="K1367" s="8"/>
      <c r="L1367" s="9"/>
      <c r="M1367" s="10"/>
      <c r="N1367" s="11"/>
      <c r="O1367" s="12"/>
      <c r="P1367" s="13"/>
      <c r="Q1367" s="13"/>
      <c r="R1367" s="14"/>
      <c r="S1367" s="13"/>
      <c r="T1367" s="13"/>
      <c r="U1367" s="13"/>
      <c r="V1367" s="31"/>
      <c r="W1367" s="15"/>
      <c r="X1367" s="15"/>
      <c r="Y1367" s="16"/>
      <c r="Z1367" s="17"/>
      <c r="AA1367" s="16"/>
      <c r="AB1367" s="24"/>
      <c r="AC1367" s="20"/>
      <c r="AD1367" s="21"/>
      <c r="AE1367" s="22"/>
      <c r="AF1367" s="23"/>
      <c r="AG1367" s="24"/>
      <c r="AH1367" s="1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  <c r="AT1367" s="25"/>
      <c r="AU1367" s="25"/>
      <c r="AV1367" s="25"/>
      <c r="AW1367" s="25"/>
      <c r="AX1367" s="25"/>
      <c r="AY1367" s="25"/>
      <c r="AZ1367" s="25"/>
      <c r="BA1367" s="25"/>
      <c r="BB1367" s="25"/>
      <c r="BC1367" s="25"/>
      <c r="BD1367" s="25"/>
      <c r="BE1367" s="25"/>
      <c r="BF1367" s="25"/>
      <c r="BG1367" s="25"/>
      <c r="BH1367" s="25"/>
      <c r="BI1367" s="25"/>
      <c r="BJ1367" s="25"/>
      <c r="BK1367" s="25"/>
      <c r="BL1367" s="25"/>
      <c r="BM1367" s="25"/>
      <c r="BN1367" s="25"/>
      <c r="BO1367" s="25"/>
      <c r="BP1367" s="25"/>
    </row>
    <row r="1368" spans="5:68" ht="15" customHeight="1" x14ac:dyDescent="0.25">
      <c r="E1368" s="28"/>
      <c r="F1368" s="29"/>
      <c r="G1368" s="5"/>
      <c r="H1368" s="6"/>
      <c r="I1368" s="6"/>
      <c r="J1368" s="30"/>
      <c r="K1368" s="8"/>
      <c r="L1368" s="9"/>
      <c r="M1368" s="10"/>
      <c r="N1368" s="11"/>
      <c r="O1368" s="12"/>
      <c r="P1368" s="13"/>
      <c r="Q1368" s="13"/>
      <c r="R1368" s="14"/>
      <c r="S1368" s="13"/>
      <c r="T1368" s="13"/>
      <c r="U1368" s="13"/>
      <c r="V1368" s="31"/>
      <c r="W1368" s="15"/>
      <c r="X1368" s="15"/>
      <c r="Y1368" s="16"/>
      <c r="Z1368" s="17"/>
      <c r="AA1368" s="16"/>
      <c r="AB1368" s="24"/>
      <c r="AC1368" s="20"/>
      <c r="AD1368" s="21"/>
      <c r="AE1368" s="22"/>
      <c r="AF1368" s="23"/>
      <c r="AG1368" s="24"/>
      <c r="AH1368" s="1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  <c r="AW1368" s="25"/>
      <c r="AX1368" s="25"/>
      <c r="AY1368" s="25"/>
      <c r="AZ1368" s="25"/>
      <c r="BA1368" s="25"/>
      <c r="BB1368" s="25"/>
      <c r="BC1368" s="25"/>
      <c r="BD1368" s="25"/>
      <c r="BE1368" s="25"/>
      <c r="BF1368" s="25"/>
      <c r="BG1368" s="25"/>
      <c r="BH1368" s="25"/>
      <c r="BI1368" s="25"/>
      <c r="BJ1368" s="25"/>
      <c r="BK1368" s="25"/>
      <c r="BL1368" s="25"/>
      <c r="BM1368" s="25"/>
      <c r="BN1368" s="25"/>
      <c r="BO1368" s="25"/>
      <c r="BP1368" s="25"/>
    </row>
    <row r="1369" spans="5:68" ht="15" customHeight="1" x14ac:dyDescent="0.25">
      <c r="E1369" s="28"/>
      <c r="F1369" s="29"/>
      <c r="G1369" s="5"/>
      <c r="H1369" s="6"/>
      <c r="I1369" s="6"/>
      <c r="J1369" s="30"/>
      <c r="K1369" s="8"/>
      <c r="L1369" s="9"/>
      <c r="M1369" s="10"/>
      <c r="N1369" s="11"/>
      <c r="O1369" s="12"/>
      <c r="P1369" s="13"/>
      <c r="Q1369" s="13"/>
      <c r="R1369" s="14"/>
      <c r="S1369" s="13"/>
      <c r="T1369" s="13"/>
      <c r="U1369" s="13"/>
      <c r="V1369" s="31"/>
      <c r="W1369" s="15"/>
      <c r="X1369" s="15"/>
      <c r="Y1369" s="16"/>
      <c r="Z1369" s="17"/>
      <c r="AA1369" s="16"/>
      <c r="AB1369" s="24"/>
      <c r="AC1369" s="20"/>
      <c r="AD1369" s="21"/>
      <c r="AE1369" s="22"/>
      <c r="AF1369" s="23"/>
      <c r="AG1369" s="24"/>
      <c r="AH1369" s="1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  <c r="AT1369" s="25"/>
      <c r="AU1369" s="25"/>
      <c r="AV1369" s="25"/>
      <c r="AW1369" s="25"/>
      <c r="AX1369" s="25"/>
      <c r="AY1369" s="25"/>
      <c r="AZ1369" s="25"/>
      <c r="BA1369" s="25"/>
      <c r="BB1369" s="25"/>
      <c r="BC1369" s="25"/>
      <c r="BD1369" s="25"/>
      <c r="BE1369" s="25"/>
      <c r="BF1369" s="25"/>
      <c r="BG1369" s="25"/>
      <c r="BH1369" s="25"/>
      <c r="BI1369" s="25"/>
      <c r="BJ1369" s="25"/>
      <c r="BK1369" s="25"/>
      <c r="BL1369" s="25"/>
      <c r="BM1369" s="25"/>
      <c r="BN1369" s="25"/>
      <c r="BO1369" s="25"/>
      <c r="BP1369" s="25"/>
    </row>
    <row r="1370" spans="5:68" ht="15" customHeight="1" x14ac:dyDescent="0.25">
      <c r="E1370" s="28"/>
      <c r="F1370" s="29"/>
      <c r="G1370" s="5"/>
      <c r="H1370" s="6"/>
      <c r="I1370" s="6"/>
      <c r="J1370" s="30"/>
      <c r="K1370" s="8"/>
      <c r="L1370" s="9"/>
      <c r="M1370" s="10"/>
      <c r="N1370" s="11"/>
      <c r="O1370" s="12"/>
      <c r="P1370" s="13"/>
      <c r="Q1370" s="13"/>
      <c r="R1370" s="14"/>
      <c r="S1370" s="13"/>
      <c r="T1370" s="13"/>
      <c r="U1370" s="13"/>
      <c r="V1370" s="31"/>
      <c r="W1370" s="15"/>
      <c r="X1370" s="15"/>
      <c r="Y1370" s="16"/>
      <c r="Z1370" s="17"/>
      <c r="AA1370" s="16"/>
      <c r="AB1370" s="24"/>
      <c r="AC1370" s="20"/>
      <c r="AD1370" s="21"/>
      <c r="AE1370" s="22"/>
      <c r="AF1370" s="23"/>
      <c r="AG1370" s="24"/>
      <c r="AH1370" s="1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  <c r="AT1370" s="25"/>
      <c r="AU1370" s="25"/>
      <c r="AV1370" s="25"/>
      <c r="AW1370" s="25"/>
      <c r="AX1370" s="25"/>
      <c r="AY1370" s="25"/>
      <c r="AZ1370" s="25"/>
      <c r="BA1370" s="25"/>
      <c r="BB1370" s="25"/>
      <c r="BC1370" s="25"/>
      <c r="BD1370" s="25"/>
      <c r="BE1370" s="25"/>
      <c r="BF1370" s="25"/>
      <c r="BG1370" s="25"/>
      <c r="BH1370" s="25"/>
      <c r="BI1370" s="25"/>
      <c r="BJ1370" s="25"/>
      <c r="BK1370" s="25"/>
      <c r="BL1370" s="25"/>
      <c r="BM1370" s="25"/>
      <c r="BN1370" s="25"/>
      <c r="BO1370" s="25"/>
      <c r="BP1370" s="25"/>
    </row>
    <row r="1371" spans="5:68" ht="15" customHeight="1" x14ac:dyDescent="0.25">
      <c r="E1371" s="28"/>
      <c r="F1371" s="29"/>
      <c r="G1371" s="5"/>
      <c r="H1371" s="6"/>
      <c r="I1371" s="6"/>
      <c r="J1371" s="30"/>
      <c r="K1371" s="8"/>
      <c r="L1371" s="9"/>
      <c r="M1371" s="10"/>
      <c r="N1371" s="11"/>
      <c r="O1371" s="12"/>
      <c r="P1371" s="13"/>
      <c r="Q1371" s="13"/>
      <c r="R1371" s="14"/>
      <c r="S1371" s="13"/>
      <c r="T1371" s="13"/>
      <c r="U1371" s="13"/>
      <c r="V1371" s="31"/>
      <c r="W1371" s="15"/>
      <c r="X1371" s="15"/>
      <c r="Y1371" s="16"/>
      <c r="Z1371" s="17"/>
      <c r="AA1371" s="16"/>
      <c r="AB1371" s="24"/>
      <c r="AC1371" s="20"/>
      <c r="AD1371" s="21"/>
      <c r="AE1371" s="22"/>
      <c r="AF1371" s="23"/>
      <c r="AG1371" s="24"/>
      <c r="AH1371" s="1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  <c r="AT1371" s="25"/>
      <c r="AU1371" s="25"/>
      <c r="AV1371" s="25"/>
      <c r="AW1371" s="25"/>
      <c r="AX1371" s="25"/>
      <c r="AY1371" s="25"/>
      <c r="AZ1371" s="25"/>
      <c r="BA1371" s="25"/>
      <c r="BB1371" s="25"/>
      <c r="BC1371" s="25"/>
      <c r="BD1371" s="25"/>
      <c r="BE1371" s="25"/>
      <c r="BF1371" s="25"/>
      <c r="BG1371" s="25"/>
      <c r="BH1371" s="25"/>
      <c r="BI1371" s="25"/>
      <c r="BJ1371" s="25"/>
      <c r="BK1371" s="25"/>
      <c r="BL1371" s="25"/>
      <c r="BM1371" s="25"/>
      <c r="BN1371" s="25"/>
      <c r="BO1371" s="25"/>
      <c r="BP1371" s="25"/>
    </row>
    <row r="1372" spans="5:68" ht="15" customHeight="1" x14ac:dyDescent="0.25">
      <c r="E1372" s="3"/>
      <c r="F1372" s="4"/>
      <c r="G1372" s="5"/>
      <c r="H1372" s="6"/>
      <c r="I1372" s="6"/>
      <c r="J1372" s="7"/>
      <c r="K1372" s="8"/>
      <c r="L1372" s="9"/>
      <c r="M1372" s="10"/>
      <c r="N1372" s="11"/>
      <c r="O1372" s="12"/>
      <c r="P1372" s="13"/>
      <c r="Q1372" s="13"/>
      <c r="R1372" s="14"/>
      <c r="S1372" s="13"/>
      <c r="T1372" s="13"/>
      <c r="U1372" s="13"/>
      <c r="V1372" s="31"/>
      <c r="W1372" s="15"/>
      <c r="X1372" s="15"/>
      <c r="Y1372" s="16"/>
      <c r="Z1372" s="17"/>
      <c r="AA1372" s="16"/>
      <c r="AB1372" s="24"/>
      <c r="AC1372" s="20"/>
      <c r="AD1372" s="21"/>
      <c r="AE1372" s="22"/>
      <c r="AF1372" s="23"/>
      <c r="AG1372" s="24"/>
      <c r="AH1372" s="1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  <c r="AT1372" s="25"/>
      <c r="AU1372" s="25"/>
      <c r="AV1372" s="25"/>
      <c r="AW1372" s="25"/>
      <c r="AX1372" s="25"/>
      <c r="AY1372" s="25"/>
      <c r="AZ1372" s="25"/>
      <c r="BA1372" s="25"/>
      <c r="BB1372" s="25"/>
      <c r="BC1372" s="25"/>
      <c r="BD1372" s="25"/>
      <c r="BE1372" s="25"/>
      <c r="BF1372" s="25"/>
      <c r="BG1372" s="25"/>
      <c r="BH1372" s="25"/>
      <c r="BI1372" s="25"/>
      <c r="BJ1372" s="25"/>
      <c r="BK1372" s="25"/>
      <c r="BL1372" s="25"/>
      <c r="BM1372" s="25"/>
      <c r="BN1372" s="25"/>
      <c r="BO1372" s="25"/>
      <c r="BP1372" s="25"/>
    </row>
    <row r="1373" spans="5:68" ht="15" customHeight="1" x14ac:dyDescent="0.25">
      <c r="E1373" s="3"/>
      <c r="F1373" s="4"/>
      <c r="G1373" s="39"/>
      <c r="H1373" s="40"/>
      <c r="I1373" s="40"/>
      <c r="J1373" s="7"/>
      <c r="K1373" s="8"/>
      <c r="L1373" s="9"/>
      <c r="M1373" s="10"/>
      <c r="N1373" s="11"/>
      <c r="O1373" s="12"/>
      <c r="P1373" s="13"/>
      <c r="Q1373" s="13"/>
      <c r="R1373" s="14"/>
      <c r="S1373" s="13"/>
      <c r="T1373" s="13"/>
      <c r="U1373" s="32"/>
      <c r="V1373" s="31"/>
      <c r="W1373" s="15"/>
      <c r="X1373" s="15"/>
      <c r="Y1373" s="16"/>
      <c r="Z1373" s="17"/>
      <c r="AA1373" s="16"/>
      <c r="AB1373" s="24"/>
      <c r="AC1373" s="20"/>
      <c r="AD1373" s="21"/>
      <c r="AE1373" s="22"/>
      <c r="AF1373" s="23"/>
      <c r="AG1373" s="24"/>
      <c r="AH1373" s="1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  <c r="AT1373" s="25"/>
      <c r="AU1373" s="25"/>
      <c r="AV1373" s="25"/>
      <c r="AW1373" s="25"/>
      <c r="AX1373" s="25"/>
      <c r="AY1373" s="25"/>
      <c r="AZ1373" s="25"/>
      <c r="BA1373" s="25"/>
      <c r="BB1373" s="25"/>
      <c r="BC1373" s="25"/>
      <c r="BD1373" s="25"/>
      <c r="BE1373" s="25"/>
      <c r="BF1373" s="25"/>
      <c r="BG1373" s="25"/>
      <c r="BH1373" s="25"/>
      <c r="BI1373" s="25"/>
      <c r="BJ1373" s="25"/>
      <c r="BK1373" s="25"/>
      <c r="BL1373" s="25"/>
      <c r="BM1373" s="25"/>
      <c r="BN1373" s="25"/>
      <c r="BO1373" s="25"/>
      <c r="BP1373" s="25"/>
    </row>
    <row r="1374" spans="5:68" ht="15" customHeight="1" x14ac:dyDescent="0.25">
      <c r="E1374" s="3"/>
      <c r="F1374" s="4"/>
      <c r="G1374" s="39"/>
      <c r="H1374" s="40"/>
      <c r="I1374" s="40"/>
      <c r="J1374" s="7"/>
      <c r="K1374" s="8"/>
      <c r="L1374" s="9"/>
      <c r="M1374" s="10"/>
      <c r="N1374" s="11"/>
      <c r="O1374" s="12"/>
      <c r="P1374" s="13"/>
      <c r="Q1374" s="13"/>
      <c r="R1374" s="14"/>
      <c r="S1374" s="13"/>
      <c r="T1374" s="13"/>
      <c r="U1374" s="32"/>
      <c r="V1374" s="31"/>
      <c r="W1374" s="15"/>
      <c r="X1374" s="15"/>
      <c r="Y1374" s="16"/>
      <c r="Z1374" s="17"/>
      <c r="AA1374" s="16"/>
      <c r="AB1374" s="24"/>
      <c r="AC1374" s="20"/>
      <c r="AD1374" s="21"/>
      <c r="AE1374" s="22"/>
      <c r="AF1374" s="23"/>
      <c r="AG1374" s="24"/>
      <c r="AH1374" s="1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  <c r="AT1374" s="25"/>
      <c r="AU1374" s="25"/>
      <c r="AV1374" s="25"/>
      <c r="AW1374" s="25"/>
      <c r="AX1374" s="25"/>
      <c r="AY1374" s="25"/>
      <c r="AZ1374" s="25"/>
      <c r="BA1374" s="25"/>
      <c r="BB1374" s="25"/>
      <c r="BC1374" s="25"/>
      <c r="BD1374" s="25"/>
      <c r="BE1374" s="25"/>
      <c r="BF1374" s="25"/>
      <c r="BG1374" s="25"/>
      <c r="BH1374" s="25"/>
      <c r="BI1374" s="25"/>
      <c r="BJ1374" s="25"/>
      <c r="BK1374" s="25"/>
      <c r="BL1374" s="25"/>
      <c r="BM1374" s="25"/>
      <c r="BN1374" s="25"/>
      <c r="BO1374" s="25"/>
      <c r="BP1374" s="25"/>
    </row>
    <row r="1375" spans="5:68" ht="15" customHeight="1" x14ac:dyDescent="0.25">
      <c r="E1375" s="3"/>
      <c r="F1375" s="4"/>
      <c r="G1375" s="5"/>
      <c r="H1375" s="40"/>
      <c r="I1375" s="40"/>
      <c r="J1375" s="7"/>
      <c r="K1375" s="8"/>
      <c r="L1375" s="9"/>
      <c r="M1375" s="10"/>
      <c r="N1375" s="11"/>
      <c r="O1375" s="12"/>
      <c r="P1375" s="13"/>
      <c r="Q1375" s="13"/>
      <c r="R1375" s="14"/>
      <c r="S1375" s="13"/>
      <c r="T1375" s="13"/>
      <c r="U1375" s="32"/>
      <c r="V1375" s="31"/>
      <c r="W1375" s="15"/>
      <c r="X1375" s="15"/>
      <c r="Y1375" s="16"/>
      <c r="Z1375" s="17"/>
      <c r="AA1375" s="16"/>
      <c r="AB1375" s="24"/>
      <c r="AC1375" s="20"/>
      <c r="AD1375" s="21"/>
      <c r="AE1375" s="22"/>
      <c r="AF1375" s="23"/>
      <c r="AG1375" s="24"/>
      <c r="AH1375" s="1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  <c r="AT1375" s="25"/>
      <c r="AU1375" s="25"/>
      <c r="AV1375" s="25"/>
      <c r="AW1375" s="25"/>
      <c r="AX1375" s="25"/>
      <c r="AY1375" s="25"/>
      <c r="AZ1375" s="25"/>
      <c r="BA1375" s="25"/>
      <c r="BB1375" s="25"/>
      <c r="BC1375" s="25"/>
      <c r="BD1375" s="25"/>
      <c r="BE1375" s="25"/>
      <c r="BF1375" s="25"/>
      <c r="BG1375" s="25"/>
      <c r="BH1375" s="25"/>
      <c r="BI1375" s="25"/>
      <c r="BJ1375" s="25"/>
      <c r="BK1375" s="25"/>
      <c r="BL1375" s="25"/>
      <c r="BM1375" s="25"/>
      <c r="BN1375" s="25"/>
      <c r="BO1375" s="25"/>
      <c r="BP1375" s="25"/>
    </row>
    <row r="1376" spans="5:68" ht="15" customHeight="1" x14ac:dyDescent="0.25">
      <c r="E1376" s="3"/>
      <c r="F1376" s="4"/>
      <c r="G1376" s="5"/>
      <c r="H1376" s="40"/>
      <c r="I1376" s="40"/>
      <c r="J1376" s="7"/>
      <c r="K1376" s="8"/>
      <c r="L1376" s="9"/>
      <c r="M1376" s="10"/>
      <c r="N1376" s="11"/>
      <c r="O1376" s="12"/>
      <c r="P1376" s="13"/>
      <c r="Q1376" s="13"/>
      <c r="R1376" s="14"/>
      <c r="S1376" s="13"/>
      <c r="T1376" s="13"/>
      <c r="U1376" s="32"/>
      <c r="V1376" s="31"/>
      <c r="W1376" s="15"/>
      <c r="X1376" s="15"/>
      <c r="Y1376" s="16"/>
      <c r="Z1376" s="17"/>
      <c r="AA1376" s="16"/>
      <c r="AB1376" s="24"/>
      <c r="AC1376" s="20"/>
      <c r="AD1376" s="21"/>
      <c r="AE1376" s="22"/>
      <c r="AF1376" s="23"/>
      <c r="AG1376" s="24"/>
      <c r="AH1376" s="1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  <c r="AT1376" s="25"/>
      <c r="AU1376" s="25"/>
      <c r="AV1376" s="25"/>
      <c r="AW1376" s="25"/>
      <c r="AX1376" s="25"/>
      <c r="AY1376" s="25"/>
      <c r="AZ1376" s="25"/>
      <c r="BA1376" s="25"/>
      <c r="BB1376" s="25"/>
      <c r="BC1376" s="25"/>
      <c r="BD1376" s="25"/>
      <c r="BE1376" s="25"/>
      <c r="BF1376" s="25"/>
      <c r="BG1376" s="25"/>
      <c r="BH1376" s="25"/>
      <c r="BI1376" s="25"/>
      <c r="BJ1376" s="25"/>
      <c r="BK1376" s="25"/>
      <c r="BL1376" s="25"/>
      <c r="BM1376" s="25"/>
      <c r="BN1376" s="25"/>
      <c r="BO1376" s="25"/>
      <c r="BP1376" s="25"/>
    </row>
    <row r="1377" spans="5:68" ht="15" customHeight="1" x14ac:dyDescent="0.25">
      <c r="E1377" s="3"/>
      <c r="F1377" s="4"/>
      <c r="G1377" s="5"/>
      <c r="H1377" s="40"/>
      <c r="I1377" s="40"/>
      <c r="J1377" s="7"/>
      <c r="K1377" s="8"/>
      <c r="L1377" s="9"/>
      <c r="M1377" s="10"/>
      <c r="N1377" s="11"/>
      <c r="O1377" s="12"/>
      <c r="P1377" s="13"/>
      <c r="Q1377" s="13"/>
      <c r="R1377" s="14"/>
      <c r="S1377" s="13"/>
      <c r="T1377" s="13"/>
      <c r="U1377" s="32"/>
      <c r="V1377" s="31"/>
      <c r="W1377" s="15"/>
      <c r="X1377" s="15"/>
      <c r="Y1377" s="16"/>
      <c r="Z1377" s="17"/>
      <c r="AA1377" s="16"/>
      <c r="AB1377" s="24"/>
      <c r="AC1377" s="20"/>
      <c r="AD1377" s="21"/>
      <c r="AE1377" s="22"/>
      <c r="AF1377" s="23"/>
      <c r="AG1377" s="24"/>
      <c r="AH1377" s="1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  <c r="AW1377" s="25"/>
      <c r="AX1377" s="25"/>
      <c r="AY1377" s="25"/>
      <c r="AZ1377" s="25"/>
      <c r="BA1377" s="25"/>
      <c r="BB1377" s="25"/>
      <c r="BC1377" s="25"/>
      <c r="BD1377" s="25"/>
      <c r="BE1377" s="25"/>
      <c r="BF1377" s="25"/>
      <c r="BG1377" s="25"/>
      <c r="BH1377" s="25"/>
      <c r="BI1377" s="25"/>
      <c r="BJ1377" s="25"/>
      <c r="BK1377" s="25"/>
      <c r="BL1377" s="25"/>
      <c r="BM1377" s="25"/>
      <c r="BN1377" s="25"/>
      <c r="BO1377" s="25"/>
      <c r="BP1377" s="25"/>
    </row>
    <row r="1378" spans="5:68" ht="15" customHeight="1" x14ac:dyDescent="0.25">
      <c r="E1378" s="3"/>
      <c r="F1378" s="4"/>
      <c r="G1378" s="39"/>
      <c r="H1378" s="40"/>
      <c r="I1378" s="40"/>
      <c r="J1378" s="7"/>
      <c r="K1378" s="8"/>
      <c r="L1378" s="9"/>
      <c r="M1378" s="10"/>
      <c r="N1378" s="11"/>
      <c r="O1378" s="12"/>
      <c r="P1378" s="13"/>
      <c r="Q1378" s="13"/>
      <c r="R1378" s="14"/>
      <c r="S1378" s="13"/>
      <c r="T1378" s="13"/>
      <c r="U1378" s="32"/>
      <c r="V1378" s="31"/>
      <c r="W1378" s="15"/>
      <c r="X1378" s="15"/>
      <c r="Y1378" s="16"/>
      <c r="Z1378" s="17"/>
      <c r="AA1378" s="16"/>
      <c r="AB1378" s="24"/>
      <c r="AC1378" s="20"/>
      <c r="AD1378" s="21"/>
      <c r="AE1378" s="22"/>
      <c r="AF1378" s="23"/>
      <c r="AG1378" s="24"/>
      <c r="AH1378" s="1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  <c r="AW1378" s="25"/>
      <c r="AX1378" s="25"/>
      <c r="AY1378" s="25"/>
      <c r="AZ1378" s="25"/>
      <c r="BA1378" s="25"/>
      <c r="BB1378" s="25"/>
      <c r="BC1378" s="25"/>
      <c r="BD1378" s="25"/>
      <c r="BE1378" s="25"/>
      <c r="BF1378" s="25"/>
      <c r="BG1378" s="25"/>
      <c r="BH1378" s="25"/>
      <c r="BI1378" s="25"/>
      <c r="BJ1378" s="25"/>
      <c r="BK1378" s="25"/>
      <c r="BL1378" s="25"/>
      <c r="BM1378" s="25"/>
      <c r="BN1378" s="25"/>
      <c r="BO1378" s="25"/>
      <c r="BP1378" s="25"/>
    </row>
    <row r="1379" spans="5:68" ht="15" customHeight="1" x14ac:dyDescent="0.25">
      <c r="E1379" s="3"/>
      <c r="F1379" s="4"/>
      <c r="G1379" s="5"/>
      <c r="H1379" s="40"/>
      <c r="I1379" s="40"/>
      <c r="J1379" s="7"/>
      <c r="K1379" s="8"/>
      <c r="L1379" s="9"/>
      <c r="M1379" s="10"/>
      <c r="N1379" s="11"/>
      <c r="O1379" s="12"/>
      <c r="P1379" s="13"/>
      <c r="Q1379" s="13"/>
      <c r="R1379" s="14"/>
      <c r="S1379" s="13"/>
      <c r="T1379" s="13"/>
      <c r="U1379" s="32"/>
      <c r="V1379" s="31"/>
      <c r="W1379" s="15"/>
      <c r="X1379" s="15"/>
      <c r="Y1379" s="16"/>
      <c r="Z1379" s="17"/>
      <c r="AA1379" s="16"/>
      <c r="AB1379" s="24"/>
      <c r="AC1379" s="20"/>
      <c r="AD1379" s="21"/>
      <c r="AE1379" s="22"/>
      <c r="AF1379" s="23"/>
      <c r="AG1379" s="24"/>
      <c r="AH1379" s="1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25"/>
      <c r="AY1379" s="25"/>
      <c r="AZ1379" s="25"/>
      <c r="BA1379" s="25"/>
      <c r="BB1379" s="25"/>
      <c r="BC1379" s="25"/>
      <c r="BD1379" s="25"/>
      <c r="BE1379" s="25"/>
      <c r="BF1379" s="25"/>
      <c r="BG1379" s="25"/>
      <c r="BH1379" s="25"/>
      <c r="BI1379" s="25"/>
      <c r="BJ1379" s="25"/>
      <c r="BK1379" s="25"/>
      <c r="BL1379" s="25"/>
      <c r="BM1379" s="25"/>
      <c r="BN1379" s="25"/>
      <c r="BO1379" s="25"/>
      <c r="BP1379" s="25"/>
    </row>
    <row r="1380" spans="5:68" ht="15" customHeight="1" x14ac:dyDescent="0.25">
      <c r="E1380" s="3"/>
      <c r="F1380" s="4"/>
      <c r="G1380" s="5"/>
      <c r="H1380" s="40"/>
      <c r="I1380" s="40"/>
      <c r="J1380" s="7"/>
      <c r="K1380" s="8"/>
      <c r="L1380" s="9"/>
      <c r="M1380" s="10"/>
      <c r="N1380" s="11"/>
      <c r="O1380" s="12"/>
      <c r="P1380" s="13"/>
      <c r="Q1380" s="13"/>
      <c r="R1380" s="14"/>
      <c r="S1380" s="13"/>
      <c r="T1380" s="13"/>
      <c r="U1380" s="32"/>
      <c r="V1380" s="31"/>
      <c r="W1380" s="15"/>
      <c r="X1380" s="15"/>
      <c r="Y1380" s="16"/>
      <c r="Z1380" s="17"/>
      <c r="AA1380" s="16"/>
      <c r="AB1380" s="24"/>
      <c r="AC1380" s="20"/>
      <c r="AD1380" s="21"/>
      <c r="AE1380" s="22"/>
      <c r="AF1380" s="23"/>
      <c r="AG1380" s="24"/>
      <c r="AH1380" s="1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25"/>
      <c r="AY1380" s="25"/>
      <c r="AZ1380" s="25"/>
      <c r="BA1380" s="25"/>
      <c r="BB1380" s="25"/>
      <c r="BC1380" s="25"/>
      <c r="BD1380" s="25"/>
      <c r="BE1380" s="25"/>
      <c r="BF1380" s="25"/>
      <c r="BG1380" s="25"/>
      <c r="BH1380" s="25"/>
      <c r="BI1380" s="25"/>
      <c r="BJ1380" s="25"/>
      <c r="BK1380" s="25"/>
      <c r="BL1380" s="25"/>
      <c r="BM1380" s="25"/>
      <c r="BN1380" s="25"/>
      <c r="BO1380" s="25"/>
      <c r="BP1380" s="25"/>
    </row>
    <row r="1381" spans="5:68" ht="15" customHeight="1" x14ac:dyDescent="0.25">
      <c r="E1381" s="3"/>
      <c r="F1381" s="4"/>
      <c r="G1381" s="5"/>
      <c r="H1381" s="40"/>
      <c r="I1381" s="40"/>
      <c r="J1381" s="7"/>
      <c r="K1381" s="8"/>
      <c r="L1381" s="9"/>
      <c r="M1381" s="10"/>
      <c r="N1381" s="11"/>
      <c r="O1381" s="12"/>
      <c r="P1381" s="13"/>
      <c r="Q1381" s="13"/>
      <c r="R1381" s="14"/>
      <c r="S1381" s="13"/>
      <c r="T1381" s="13"/>
      <c r="U1381" s="32"/>
      <c r="V1381" s="31"/>
      <c r="W1381" s="15"/>
      <c r="X1381" s="15"/>
      <c r="Y1381" s="16"/>
      <c r="Z1381" s="17"/>
      <c r="AA1381" s="16"/>
      <c r="AB1381" s="24"/>
      <c r="AC1381" s="20"/>
      <c r="AD1381" s="21"/>
      <c r="AE1381" s="22"/>
      <c r="AF1381" s="23"/>
      <c r="AG1381" s="24"/>
      <c r="AH1381" s="1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  <c r="AW1381" s="25"/>
      <c r="AX1381" s="25"/>
      <c r="AY1381" s="25"/>
      <c r="AZ1381" s="25"/>
      <c r="BA1381" s="25"/>
      <c r="BB1381" s="25"/>
      <c r="BC1381" s="25"/>
      <c r="BD1381" s="25"/>
      <c r="BE1381" s="25"/>
      <c r="BF1381" s="25"/>
      <c r="BG1381" s="25"/>
      <c r="BH1381" s="25"/>
      <c r="BI1381" s="25"/>
      <c r="BJ1381" s="25"/>
      <c r="BK1381" s="25"/>
      <c r="BL1381" s="25"/>
      <c r="BM1381" s="25"/>
      <c r="BN1381" s="25"/>
      <c r="BO1381" s="25"/>
      <c r="BP1381" s="25"/>
    </row>
    <row r="1382" spans="5:68" ht="15" customHeight="1" x14ac:dyDescent="0.25">
      <c r="E1382" s="3"/>
      <c r="F1382" s="4"/>
      <c r="G1382" s="39"/>
      <c r="H1382" s="40"/>
      <c r="I1382" s="40"/>
      <c r="J1382" s="7"/>
      <c r="K1382" s="8"/>
      <c r="L1382" s="9"/>
      <c r="M1382" s="10"/>
      <c r="N1382" s="11"/>
      <c r="O1382" s="12"/>
      <c r="P1382" s="13"/>
      <c r="Q1382" s="13"/>
      <c r="R1382" s="14"/>
      <c r="S1382" s="13"/>
      <c r="T1382" s="13"/>
      <c r="U1382" s="32"/>
      <c r="V1382" s="31"/>
      <c r="W1382" s="15"/>
      <c r="X1382" s="15"/>
      <c r="Y1382" s="16"/>
      <c r="Z1382" s="17"/>
      <c r="AA1382" s="16"/>
      <c r="AB1382" s="24"/>
      <c r="AC1382" s="20"/>
      <c r="AD1382" s="21"/>
      <c r="AE1382" s="22"/>
      <c r="AF1382" s="23"/>
      <c r="AG1382" s="24"/>
      <c r="AH1382" s="1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  <c r="AW1382" s="25"/>
      <c r="AX1382" s="25"/>
      <c r="AY1382" s="25"/>
      <c r="AZ1382" s="25"/>
      <c r="BA1382" s="25"/>
      <c r="BB1382" s="25"/>
      <c r="BC1382" s="25"/>
      <c r="BD1382" s="25"/>
      <c r="BE1382" s="25"/>
      <c r="BF1382" s="25"/>
      <c r="BG1382" s="25"/>
      <c r="BH1382" s="25"/>
      <c r="BI1382" s="25"/>
      <c r="BJ1382" s="25"/>
      <c r="BK1382" s="25"/>
      <c r="BL1382" s="25"/>
      <c r="BM1382" s="25"/>
      <c r="BN1382" s="25"/>
      <c r="BO1382" s="25"/>
      <c r="BP1382" s="25"/>
    </row>
    <row r="1383" spans="5:68" ht="15" customHeight="1" x14ac:dyDescent="0.25">
      <c r="E1383" s="3"/>
      <c r="F1383" s="4"/>
      <c r="G1383" s="39"/>
      <c r="H1383" s="40"/>
      <c r="I1383" s="40"/>
      <c r="J1383" s="7"/>
      <c r="K1383" s="8"/>
      <c r="L1383" s="9"/>
      <c r="M1383" s="10"/>
      <c r="N1383" s="11"/>
      <c r="O1383" s="12"/>
      <c r="P1383" s="13"/>
      <c r="Q1383" s="13"/>
      <c r="R1383" s="14"/>
      <c r="S1383" s="13"/>
      <c r="T1383" s="13"/>
      <c r="U1383" s="32"/>
      <c r="V1383" s="31"/>
      <c r="W1383" s="15"/>
      <c r="X1383" s="15"/>
      <c r="Y1383" s="16"/>
      <c r="Z1383" s="17"/>
      <c r="AA1383" s="16"/>
      <c r="AB1383" s="24"/>
      <c r="AC1383" s="20"/>
      <c r="AD1383" s="21"/>
      <c r="AE1383" s="22"/>
      <c r="AF1383" s="23"/>
      <c r="AG1383" s="24"/>
      <c r="AH1383" s="1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  <c r="AW1383" s="25"/>
      <c r="AX1383" s="25"/>
      <c r="AY1383" s="25"/>
      <c r="AZ1383" s="25"/>
      <c r="BA1383" s="25"/>
      <c r="BB1383" s="25"/>
      <c r="BC1383" s="25"/>
      <c r="BD1383" s="25"/>
      <c r="BE1383" s="25"/>
      <c r="BF1383" s="25"/>
      <c r="BG1383" s="25"/>
      <c r="BH1383" s="25"/>
      <c r="BI1383" s="25"/>
      <c r="BJ1383" s="25"/>
      <c r="BK1383" s="25"/>
      <c r="BL1383" s="25"/>
      <c r="BM1383" s="25"/>
      <c r="BN1383" s="25"/>
      <c r="BO1383" s="25"/>
      <c r="BP1383" s="25"/>
    </row>
    <row r="1384" spans="5:68" ht="15" customHeight="1" x14ac:dyDescent="0.25">
      <c r="E1384" s="3"/>
      <c r="F1384" s="4"/>
      <c r="G1384" s="39"/>
      <c r="H1384" s="40"/>
      <c r="I1384" s="40"/>
      <c r="J1384" s="7"/>
      <c r="K1384" s="8"/>
      <c r="L1384" s="9"/>
      <c r="M1384" s="10"/>
      <c r="N1384" s="11"/>
      <c r="O1384" s="12"/>
      <c r="P1384" s="13"/>
      <c r="Q1384" s="13"/>
      <c r="R1384" s="14"/>
      <c r="S1384" s="13"/>
      <c r="T1384" s="13"/>
      <c r="U1384" s="32"/>
      <c r="V1384" s="31"/>
      <c r="W1384" s="15"/>
      <c r="X1384" s="15"/>
      <c r="Y1384" s="16"/>
      <c r="Z1384" s="17"/>
      <c r="AA1384" s="16"/>
      <c r="AB1384" s="24"/>
      <c r="AC1384" s="20"/>
      <c r="AD1384" s="21"/>
      <c r="AE1384" s="22"/>
      <c r="AF1384" s="23"/>
      <c r="AG1384" s="24"/>
      <c r="AH1384" s="1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  <c r="AW1384" s="25"/>
      <c r="AX1384" s="25"/>
      <c r="AY1384" s="25"/>
      <c r="AZ1384" s="25"/>
      <c r="BA1384" s="25"/>
      <c r="BB1384" s="25"/>
      <c r="BC1384" s="25"/>
      <c r="BD1384" s="25"/>
      <c r="BE1384" s="25"/>
      <c r="BF1384" s="25"/>
      <c r="BG1384" s="25"/>
      <c r="BH1384" s="25"/>
      <c r="BI1384" s="25"/>
      <c r="BJ1384" s="25"/>
      <c r="BK1384" s="25"/>
      <c r="BL1384" s="25"/>
      <c r="BM1384" s="25"/>
      <c r="BN1384" s="25"/>
      <c r="BO1384" s="25"/>
      <c r="BP1384" s="25"/>
    </row>
    <row r="1385" spans="5:68" ht="15" customHeight="1" x14ac:dyDescent="0.25">
      <c r="E1385" s="3"/>
      <c r="F1385" s="4"/>
      <c r="G1385" s="5"/>
      <c r="H1385" s="40"/>
      <c r="I1385" s="40"/>
      <c r="J1385" s="7"/>
      <c r="K1385" s="8"/>
      <c r="L1385" s="9"/>
      <c r="M1385" s="10"/>
      <c r="N1385" s="11"/>
      <c r="O1385" s="12"/>
      <c r="P1385" s="13"/>
      <c r="Q1385" s="13"/>
      <c r="R1385" s="14"/>
      <c r="S1385" s="13"/>
      <c r="T1385" s="13"/>
      <c r="U1385" s="32"/>
      <c r="V1385" s="31"/>
      <c r="W1385" s="15"/>
      <c r="X1385" s="15"/>
      <c r="Y1385" s="16"/>
      <c r="Z1385" s="17"/>
      <c r="AA1385" s="16"/>
      <c r="AB1385" s="24"/>
      <c r="AC1385" s="20"/>
      <c r="AD1385" s="21"/>
      <c r="AE1385" s="22"/>
      <c r="AF1385" s="23"/>
      <c r="AG1385" s="24"/>
      <c r="AH1385" s="1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  <c r="AW1385" s="25"/>
      <c r="AX1385" s="25"/>
      <c r="AY1385" s="25"/>
      <c r="AZ1385" s="25"/>
      <c r="BA1385" s="25"/>
      <c r="BB1385" s="25"/>
      <c r="BC1385" s="25"/>
      <c r="BD1385" s="25"/>
      <c r="BE1385" s="25"/>
      <c r="BF1385" s="25"/>
      <c r="BG1385" s="25"/>
      <c r="BH1385" s="25"/>
      <c r="BI1385" s="25"/>
      <c r="BJ1385" s="25"/>
      <c r="BK1385" s="25"/>
      <c r="BL1385" s="25"/>
      <c r="BM1385" s="25"/>
      <c r="BN1385" s="25"/>
      <c r="BO1385" s="25"/>
      <c r="BP1385" s="25"/>
    </row>
    <row r="1386" spans="5:68" ht="15" customHeight="1" x14ac:dyDescent="0.25">
      <c r="E1386" s="28"/>
      <c r="F1386" s="29"/>
      <c r="G1386" s="39"/>
      <c r="H1386" s="6"/>
      <c r="I1386" s="6"/>
      <c r="J1386" s="30"/>
      <c r="K1386" s="8"/>
      <c r="L1386" s="9"/>
      <c r="M1386" s="10"/>
      <c r="N1386" s="11"/>
      <c r="O1386" s="12"/>
      <c r="P1386" s="13"/>
      <c r="Q1386" s="13"/>
      <c r="R1386" s="14"/>
      <c r="S1386" s="13"/>
      <c r="T1386" s="13"/>
      <c r="U1386" s="32"/>
      <c r="V1386" s="31"/>
      <c r="W1386" s="15"/>
      <c r="X1386" s="15"/>
      <c r="Y1386" s="16"/>
      <c r="Z1386" s="17"/>
      <c r="AA1386" s="16"/>
      <c r="AB1386" s="24"/>
      <c r="AC1386" s="20"/>
      <c r="AD1386" s="21"/>
      <c r="AE1386" s="22"/>
      <c r="AF1386" s="23"/>
      <c r="AG1386" s="24"/>
      <c r="AH1386" s="1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  <c r="AW1386" s="25"/>
      <c r="AX1386" s="25"/>
      <c r="AY1386" s="25"/>
      <c r="AZ1386" s="25"/>
      <c r="BA1386" s="25"/>
      <c r="BB1386" s="25"/>
      <c r="BC1386" s="25"/>
      <c r="BD1386" s="25"/>
      <c r="BE1386" s="25"/>
      <c r="BF1386" s="25"/>
      <c r="BG1386" s="25"/>
      <c r="BH1386" s="25"/>
      <c r="BI1386" s="25"/>
      <c r="BJ1386" s="25"/>
      <c r="BK1386" s="25"/>
      <c r="BL1386" s="25"/>
      <c r="BM1386" s="25"/>
      <c r="BN1386" s="25"/>
      <c r="BO1386" s="25"/>
      <c r="BP1386" s="25"/>
    </row>
    <row r="1387" spans="5:68" ht="15" customHeight="1" x14ac:dyDescent="0.25">
      <c r="E1387" s="3"/>
      <c r="F1387" s="4"/>
      <c r="G1387" s="5"/>
      <c r="H1387" s="40"/>
      <c r="I1387" s="40"/>
      <c r="J1387" s="7"/>
      <c r="K1387" s="8"/>
      <c r="L1387" s="9"/>
      <c r="M1387" s="10"/>
      <c r="N1387" s="11"/>
      <c r="O1387" s="12"/>
      <c r="P1387" s="13"/>
      <c r="Q1387" s="13"/>
      <c r="R1387" s="14"/>
      <c r="S1387" s="13"/>
      <c r="T1387" s="13"/>
      <c r="U1387" s="32"/>
      <c r="V1387" s="31"/>
      <c r="W1387" s="15"/>
      <c r="X1387" s="15"/>
      <c r="Y1387" s="16"/>
      <c r="Z1387" s="17"/>
      <c r="AA1387" s="16"/>
      <c r="AB1387" s="24"/>
      <c r="AC1387" s="20"/>
      <c r="AD1387" s="21"/>
      <c r="AE1387" s="22"/>
      <c r="AF1387" s="23"/>
      <c r="AG1387" s="24"/>
      <c r="AH1387" s="1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  <c r="AW1387" s="25"/>
      <c r="AX1387" s="25"/>
      <c r="AY1387" s="25"/>
      <c r="AZ1387" s="25"/>
      <c r="BA1387" s="25"/>
      <c r="BB1387" s="25"/>
      <c r="BC1387" s="25"/>
      <c r="BD1387" s="25"/>
      <c r="BE1387" s="25"/>
      <c r="BF1387" s="25"/>
      <c r="BG1387" s="25"/>
      <c r="BH1387" s="25"/>
      <c r="BI1387" s="25"/>
      <c r="BJ1387" s="25"/>
      <c r="BK1387" s="25"/>
      <c r="BL1387" s="25"/>
      <c r="BM1387" s="25"/>
      <c r="BN1387" s="25"/>
      <c r="BO1387" s="25"/>
      <c r="BP1387" s="25"/>
    </row>
    <row r="1388" spans="5:68" ht="15" customHeight="1" x14ac:dyDescent="0.25">
      <c r="E1388" s="3"/>
      <c r="F1388" s="4"/>
      <c r="G1388" s="5"/>
      <c r="H1388" s="40"/>
      <c r="I1388" s="40"/>
      <c r="J1388" s="7"/>
      <c r="K1388" s="8"/>
      <c r="L1388" s="9"/>
      <c r="M1388" s="10"/>
      <c r="N1388" s="11"/>
      <c r="O1388" s="12"/>
      <c r="P1388" s="13"/>
      <c r="Q1388" s="13"/>
      <c r="R1388" s="14"/>
      <c r="S1388" s="13"/>
      <c r="T1388" s="13"/>
      <c r="U1388" s="32"/>
      <c r="V1388" s="31"/>
      <c r="W1388" s="15"/>
      <c r="X1388" s="15"/>
      <c r="Y1388" s="16"/>
      <c r="Z1388" s="17"/>
      <c r="AA1388" s="16"/>
      <c r="AB1388" s="24"/>
      <c r="AC1388" s="20"/>
      <c r="AD1388" s="21"/>
      <c r="AE1388" s="22"/>
      <c r="AF1388" s="23"/>
      <c r="AG1388" s="24"/>
      <c r="AH1388" s="1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  <c r="AW1388" s="25"/>
      <c r="AX1388" s="25"/>
      <c r="AY1388" s="25"/>
      <c r="AZ1388" s="25"/>
      <c r="BA1388" s="25"/>
      <c r="BB1388" s="25"/>
      <c r="BC1388" s="25"/>
      <c r="BD1388" s="25"/>
      <c r="BE1388" s="25"/>
      <c r="BF1388" s="25"/>
      <c r="BG1388" s="25"/>
      <c r="BH1388" s="25"/>
      <c r="BI1388" s="25"/>
      <c r="BJ1388" s="25"/>
      <c r="BK1388" s="25"/>
      <c r="BL1388" s="25"/>
      <c r="BM1388" s="25"/>
      <c r="BN1388" s="25"/>
      <c r="BO1388" s="25"/>
      <c r="BP1388" s="25"/>
    </row>
    <row r="1389" spans="5:68" ht="15" customHeight="1" x14ac:dyDescent="0.25">
      <c r="E1389" s="3"/>
      <c r="F1389" s="4"/>
      <c r="G1389" s="39"/>
      <c r="H1389" s="40"/>
      <c r="I1389" s="40"/>
      <c r="J1389" s="7"/>
      <c r="K1389" s="8"/>
      <c r="L1389" s="9"/>
      <c r="M1389" s="10"/>
      <c r="N1389" s="11"/>
      <c r="O1389" s="12"/>
      <c r="P1389" s="32"/>
      <c r="Q1389" s="80"/>
      <c r="R1389" s="80"/>
      <c r="S1389" s="32"/>
      <c r="T1389" s="32"/>
      <c r="U1389" s="32"/>
      <c r="V1389" s="74"/>
      <c r="W1389" s="15"/>
      <c r="X1389" s="15"/>
      <c r="Y1389" s="16"/>
      <c r="Z1389" s="17"/>
      <c r="AA1389" s="16"/>
      <c r="AB1389" s="99"/>
      <c r="AC1389" s="20"/>
      <c r="AD1389" s="21"/>
      <c r="AE1389" s="22"/>
      <c r="AF1389" s="23"/>
      <c r="AG1389" s="24"/>
      <c r="AH1389" s="1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  <c r="AX1389" s="25"/>
      <c r="AY1389" s="25"/>
      <c r="AZ1389" s="25"/>
      <c r="BA1389" s="25"/>
      <c r="BB1389" s="25"/>
      <c r="BC1389" s="25"/>
      <c r="BD1389" s="25"/>
      <c r="BE1389" s="25"/>
      <c r="BF1389" s="25"/>
      <c r="BG1389" s="25"/>
      <c r="BH1389" s="25"/>
      <c r="BI1389" s="25"/>
      <c r="BJ1389" s="25"/>
      <c r="BK1389" s="25"/>
      <c r="BL1389" s="25"/>
      <c r="BM1389" s="25"/>
      <c r="BN1389" s="25"/>
      <c r="BO1389" s="25"/>
      <c r="BP1389" s="25"/>
    </row>
    <row r="1390" spans="5:68" ht="15" customHeight="1" x14ac:dyDescent="0.25">
      <c r="E1390" s="3"/>
      <c r="F1390" s="4"/>
      <c r="G1390" s="39"/>
      <c r="H1390" s="40"/>
      <c r="I1390" s="40"/>
      <c r="J1390" s="7"/>
      <c r="K1390" s="8"/>
      <c r="L1390" s="9"/>
      <c r="M1390" s="10"/>
      <c r="N1390" s="11"/>
      <c r="O1390" s="12"/>
      <c r="P1390" s="32"/>
      <c r="Q1390" s="80"/>
      <c r="R1390" s="80"/>
      <c r="S1390" s="32"/>
      <c r="T1390" s="32"/>
      <c r="U1390" s="32"/>
      <c r="V1390" s="74"/>
      <c r="W1390" s="15"/>
      <c r="X1390" s="15"/>
      <c r="Y1390" s="16"/>
      <c r="Z1390" s="17"/>
      <c r="AA1390" s="16"/>
      <c r="AB1390" s="99"/>
      <c r="AC1390" s="20"/>
      <c r="AD1390" s="21"/>
      <c r="AE1390" s="22"/>
      <c r="AF1390" s="23"/>
      <c r="AG1390" s="24"/>
      <c r="AH1390" s="1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25"/>
      <c r="AY1390" s="25"/>
      <c r="AZ1390" s="25"/>
      <c r="BA1390" s="25"/>
      <c r="BB1390" s="25"/>
      <c r="BC1390" s="25"/>
      <c r="BD1390" s="25"/>
      <c r="BE1390" s="25"/>
      <c r="BF1390" s="25"/>
      <c r="BG1390" s="25"/>
      <c r="BH1390" s="25"/>
      <c r="BI1390" s="25"/>
      <c r="BJ1390" s="25"/>
      <c r="BK1390" s="25"/>
      <c r="BL1390" s="25"/>
      <c r="BM1390" s="25"/>
      <c r="BN1390" s="25"/>
      <c r="BO1390" s="25"/>
      <c r="BP1390" s="25"/>
    </row>
    <row r="1391" spans="5:68" ht="15" customHeight="1" x14ac:dyDescent="0.25">
      <c r="E1391" s="3"/>
      <c r="F1391" s="4"/>
      <c r="G1391" s="39"/>
      <c r="H1391" s="40"/>
      <c r="I1391" s="40"/>
      <c r="J1391" s="7"/>
      <c r="K1391" s="8"/>
      <c r="L1391" s="9"/>
      <c r="M1391" s="10"/>
      <c r="N1391" s="11"/>
      <c r="O1391" s="12"/>
      <c r="P1391" s="32"/>
      <c r="Q1391" s="80"/>
      <c r="R1391" s="80"/>
      <c r="S1391" s="32"/>
      <c r="T1391" s="32"/>
      <c r="U1391" s="32"/>
      <c r="V1391" s="74"/>
      <c r="W1391" s="15"/>
      <c r="X1391" s="15"/>
      <c r="Y1391" s="16"/>
      <c r="Z1391" s="17"/>
      <c r="AA1391" s="16"/>
      <c r="AB1391" s="99"/>
      <c r="AC1391" s="20"/>
      <c r="AD1391" s="21"/>
      <c r="AE1391" s="22"/>
      <c r="AF1391" s="23"/>
      <c r="AG1391" s="24"/>
      <c r="AH1391" s="1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25"/>
      <c r="AY1391" s="25"/>
      <c r="AZ1391" s="25"/>
      <c r="BA1391" s="25"/>
      <c r="BB1391" s="25"/>
      <c r="BC1391" s="25"/>
      <c r="BD1391" s="25"/>
      <c r="BE1391" s="25"/>
      <c r="BF1391" s="25"/>
      <c r="BG1391" s="25"/>
      <c r="BH1391" s="25"/>
      <c r="BI1391" s="25"/>
      <c r="BJ1391" s="25"/>
      <c r="BK1391" s="25"/>
      <c r="BL1391" s="25"/>
      <c r="BM1391" s="25"/>
      <c r="BN1391" s="25"/>
      <c r="BO1391" s="25"/>
      <c r="BP1391" s="25"/>
    </row>
    <row r="1392" spans="5:68" ht="15" customHeight="1" x14ac:dyDescent="0.25">
      <c r="E1392" s="3"/>
      <c r="F1392" s="4"/>
      <c r="G1392" s="39"/>
      <c r="H1392" s="40"/>
      <c r="I1392" s="40"/>
      <c r="J1392" s="7"/>
      <c r="K1392" s="8"/>
      <c r="L1392" s="9"/>
      <c r="M1392" s="10"/>
      <c r="N1392" s="11"/>
      <c r="O1392" s="12"/>
      <c r="P1392" s="32"/>
      <c r="Q1392" s="80"/>
      <c r="R1392" s="80"/>
      <c r="S1392" s="32"/>
      <c r="T1392" s="32"/>
      <c r="U1392" s="32"/>
      <c r="V1392" s="74"/>
      <c r="W1392" s="15"/>
      <c r="X1392" s="15"/>
      <c r="Y1392" s="16"/>
      <c r="Z1392" s="17"/>
      <c r="AA1392" s="16"/>
      <c r="AB1392" s="99"/>
      <c r="AC1392" s="20"/>
      <c r="AD1392" s="21"/>
      <c r="AE1392" s="22"/>
      <c r="AF1392" s="23"/>
      <c r="AG1392" s="24"/>
      <c r="AH1392" s="1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  <c r="AW1392" s="25"/>
      <c r="AX1392" s="25"/>
      <c r="AY1392" s="25"/>
      <c r="AZ1392" s="25"/>
      <c r="BA1392" s="25"/>
      <c r="BB1392" s="25"/>
      <c r="BC1392" s="25"/>
      <c r="BD1392" s="25"/>
      <c r="BE1392" s="25"/>
      <c r="BF1392" s="25"/>
      <c r="BG1392" s="25"/>
      <c r="BH1392" s="25"/>
      <c r="BI1392" s="25"/>
      <c r="BJ1392" s="25"/>
      <c r="BK1392" s="25"/>
      <c r="BL1392" s="25"/>
      <c r="BM1392" s="25"/>
      <c r="BN1392" s="25"/>
      <c r="BO1392" s="25"/>
      <c r="BP1392" s="25"/>
    </row>
    <row r="1393" spans="5:68" ht="15" customHeight="1" x14ac:dyDescent="0.25">
      <c r="E1393" s="3"/>
      <c r="F1393" s="4"/>
      <c r="G1393" s="39"/>
      <c r="H1393" s="40"/>
      <c r="I1393" s="40"/>
      <c r="J1393" s="7"/>
      <c r="K1393" s="8"/>
      <c r="L1393" s="9"/>
      <c r="M1393" s="10"/>
      <c r="N1393" s="11"/>
      <c r="O1393" s="12"/>
      <c r="P1393" s="32"/>
      <c r="Q1393" s="80"/>
      <c r="R1393" s="80"/>
      <c r="S1393" s="32"/>
      <c r="T1393" s="32"/>
      <c r="U1393" s="32"/>
      <c r="V1393" s="74"/>
      <c r="W1393" s="15"/>
      <c r="X1393" s="15"/>
      <c r="Y1393" s="16"/>
      <c r="Z1393" s="17"/>
      <c r="AA1393" s="16"/>
      <c r="AB1393" s="99"/>
      <c r="AC1393" s="20"/>
      <c r="AD1393" s="21"/>
      <c r="AE1393" s="22"/>
      <c r="AF1393" s="23"/>
      <c r="AG1393" s="24"/>
      <c r="AH1393" s="1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/>
      <c r="AV1393" s="25"/>
      <c r="AW1393" s="25"/>
      <c r="AX1393" s="25"/>
      <c r="AY1393" s="25"/>
      <c r="AZ1393" s="25"/>
      <c r="BA1393" s="25"/>
      <c r="BB1393" s="25"/>
      <c r="BC1393" s="25"/>
      <c r="BD1393" s="25"/>
      <c r="BE1393" s="25"/>
      <c r="BF1393" s="25"/>
      <c r="BG1393" s="25"/>
      <c r="BH1393" s="25"/>
      <c r="BI1393" s="25"/>
      <c r="BJ1393" s="25"/>
      <c r="BK1393" s="25"/>
      <c r="BL1393" s="25"/>
      <c r="BM1393" s="25"/>
      <c r="BN1393" s="25"/>
      <c r="BO1393" s="25"/>
      <c r="BP1393" s="25"/>
    </row>
    <row r="1394" spans="5:68" ht="15" customHeight="1" x14ac:dyDescent="0.25">
      <c r="E1394" s="3"/>
      <c r="F1394" s="4"/>
      <c r="G1394" s="39"/>
      <c r="H1394" s="40"/>
      <c r="I1394" s="40"/>
      <c r="J1394" s="7"/>
      <c r="K1394" s="8"/>
      <c r="L1394" s="9"/>
      <c r="M1394" s="10"/>
      <c r="N1394" s="11"/>
      <c r="O1394" s="12"/>
      <c r="P1394" s="32"/>
      <c r="Q1394" s="80"/>
      <c r="R1394" s="80"/>
      <c r="S1394" s="32"/>
      <c r="T1394" s="32"/>
      <c r="U1394" s="32"/>
      <c r="V1394" s="74"/>
      <c r="W1394" s="15"/>
      <c r="X1394" s="15"/>
      <c r="Y1394" s="16"/>
      <c r="Z1394" s="17"/>
      <c r="AA1394" s="16"/>
      <c r="AB1394" s="99"/>
      <c r="AC1394" s="20"/>
      <c r="AD1394" s="21"/>
      <c r="AE1394" s="22"/>
      <c r="AF1394" s="23"/>
      <c r="AG1394" s="24"/>
      <c r="AH1394" s="1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25"/>
      <c r="AV1394" s="25"/>
      <c r="AW1394" s="25"/>
      <c r="AX1394" s="25"/>
      <c r="AY1394" s="25"/>
      <c r="AZ1394" s="25"/>
      <c r="BA1394" s="25"/>
      <c r="BB1394" s="25"/>
      <c r="BC1394" s="25"/>
      <c r="BD1394" s="25"/>
      <c r="BE1394" s="25"/>
      <c r="BF1394" s="25"/>
      <c r="BG1394" s="25"/>
      <c r="BH1394" s="25"/>
      <c r="BI1394" s="25"/>
      <c r="BJ1394" s="25"/>
      <c r="BK1394" s="25"/>
      <c r="BL1394" s="25"/>
      <c r="BM1394" s="25"/>
      <c r="BN1394" s="25"/>
      <c r="BO1394" s="25"/>
      <c r="BP1394" s="25"/>
    </row>
    <row r="1395" spans="5:68" ht="15" customHeight="1" x14ac:dyDescent="0.25">
      <c r="E1395" s="3"/>
      <c r="F1395" s="4"/>
      <c r="G1395" s="39"/>
      <c r="H1395" s="40"/>
      <c r="I1395" s="40"/>
      <c r="J1395" s="7"/>
      <c r="K1395" s="8"/>
      <c r="L1395" s="9"/>
      <c r="M1395" s="10"/>
      <c r="N1395" s="11"/>
      <c r="O1395" s="12"/>
      <c r="P1395" s="32"/>
      <c r="Q1395" s="80"/>
      <c r="R1395" s="80"/>
      <c r="S1395" s="32"/>
      <c r="T1395" s="32"/>
      <c r="U1395" s="32"/>
      <c r="V1395" s="74"/>
      <c r="W1395" s="15"/>
      <c r="X1395" s="15"/>
      <c r="Y1395" s="16"/>
      <c r="Z1395" s="17"/>
      <c r="AA1395" s="16"/>
      <c r="AB1395" s="99"/>
      <c r="AC1395" s="20"/>
      <c r="AD1395" s="21"/>
      <c r="AE1395" s="22"/>
      <c r="AF1395" s="23"/>
      <c r="AG1395" s="24"/>
      <c r="AH1395" s="1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25"/>
      <c r="AV1395" s="25"/>
      <c r="AW1395" s="25"/>
      <c r="AX1395" s="25"/>
      <c r="AY1395" s="25"/>
      <c r="AZ1395" s="25"/>
      <c r="BA1395" s="25"/>
      <c r="BB1395" s="25"/>
      <c r="BC1395" s="25"/>
      <c r="BD1395" s="25"/>
      <c r="BE1395" s="25"/>
      <c r="BF1395" s="25"/>
      <c r="BG1395" s="25"/>
      <c r="BH1395" s="25"/>
      <c r="BI1395" s="25"/>
      <c r="BJ1395" s="25"/>
      <c r="BK1395" s="25"/>
      <c r="BL1395" s="25"/>
      <c r="BM1395" s="25"/>
      <c r="BN1395" s="25"/>
      <c r="BO1395" s="25"/>
      <c r="BP1395" s="25"/>
    </row>
    <row r="1396" spans="5:68" ht="15" customHeight="1" x14ac:dyDescent="0.25">
      <c r="E1396" s="3"/>
      <c r="F1396" s="4"/>
      <c r="G1396" s="39"/>
      <c r="H1396" s="40"/>
      <c r="I1396" s="40"/>
      <c r="J1396" s="7"/>
      <c r="K1396" s="8"/>
      <c r="L1396" s="9"/>
      <c r="M1396" s="10"/>
      <c r="N1396" s="11"/>
      <c r="O1396" s="12"/>
      <c r="P1396" s="32"/>
      <c r="Q1396" s="81"/>
      <c r="R1396" s="82"/>
      <c r="S1396" s="32"/>
      <c r="T1396" s="32"/>
      <c r="U1396" s="32"/>
      <c r="V1396" s="74"/>
      <c r="W1396" s="15"/>
      <c r="X1396" s="15"/>
      <c r="Y1396" s="16"/>
      <c r="Z1396" s="17"/>
      <c r="AA1396" s="16"/>
      <c r="AB1396" s="99"/>
      <c r="AC1396" s="20"/>
      <c r="AD1396" s="21"/>
      <c r="AE1396" s="22"/>
      <c r="AF1396" s="23"/>
      <c r="AG1396" s="24"/>
      <c r="AH1396" s="1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  <c r="AT1396" s="25"/>
      <c r="AU1396" s="25"/>
      <c r="AV1396" s="25"/>
      <c r="AW1396" s="25"/>
      <c r="AX1396" s="25"/>
      <c r="AY1396" s="25"/>
      <c r="AZ1396" s="25"/>
      <c r="BA1396" s="25"/>
      <c r="BB1396" s="25"/>
      <c r="BC1396" s="25"/>
      <c r="BD1396" s="25"/>
      <c r="BE1396" s="25"/>
      <c r="BF1396" s="25"/>
      <c r="BG1396" s="25"/>
      <c r="BH1396" s="25"/>
      <c r="BI1396" s="25"/>
      <c r="BJ1396" s="25"/>
      <c r="BK1396" s="25"/>
      <c r="BL1396" s="25"/>
      <c r="BM1396" s="25"/>
      <c r="BN1396" s="25"/>
      <c r="BO1396" s="25"/>
      <c r="BP1396" s="25"/>
    </row>
    <row r="1397" spans="5:68" ht="15" customHeight="1" x14ac:dyDescent="0.25">
      <c r="E1397" s="3"/>
      <c r="F1397" s="4"/>
      <c r="G1397" s="39"/>
      <c r="H1397" s="40"/>
      <c r="I1397" s="40"/>
      <c r="J1397" s="7"/>
      <c r="K1397" s="8"/>
      <c r="L1397" s="9"/>
      <c r="M1397" s="10"/>
      <c r="N1397" s="11"/>
      <c r="O1397" s="12"/>
      <c r="P1397" s="32"/>
      <c r="Q1397" s="81"/>
      <c r="R1397" s="82"/>
      <c r="S1397" s="32"/>
      <c r="T1397" s="32"/>
      <c r="U1397" s="32"/>
      <c r="V1397" s="74"/>
      <c r="W1397" s="15"/>
      <c r="X1397" s="15"/>
      <c r="Y1397" s="16"/>
      <c r="Z1397" s="17"/>
      <c r="AA1397" s="16"/>
      <c r="AB1397" s="99"/>
      <c r="AC1397" s="20"/>
      <c r="AD1397" s="21"/>
      <c r="AE1397" s="22"/>
      <c r="AF1397" s="23"/>
      <c r="AG1397" s="24"/>
      <c r="AH1397" s="1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/>
      <c r="AV1397" s="25"/>
      <c r="AW1397" s="25"/>
      <c r="AX1397" s="25"/>
      <c r="AY1397" s="25"/>
      <c r="AZ1397" s="25"/>
      <c r="BA1397" s="25"/>
      <c r="BB1397" s="25"/>
      <c r="BC1397" s="25"/>
      <c r="BD1397" s="25"/>
      <c r="BE1397" s="25"/>
      <c r="BF1397" s="25"/>
      <c r="BG1397" s="25"/>
      <c r="BH1397" s="25"/>
      <c r="BI1397" s="25"/>
      <c r="BJ1397" s="25"/>
      <c r="BK1397" s="25"/>
      <c r="BL1397" s="25"/>
      <c r="BM1397" s="25"/>
      <c r="BN1397" s="25"/>
      <c r="BO1397" s="25"/>
      <c r="BP1397" s="25"/>
    </row>
    <row r="1398" spans="5:68" ht="15" customHeight="1" x14ac:dyDescent="0.25">
      <c r="E1398" s="3"/>
      <c r="F1398" s="4"/>
      <c r="G1398" s="39"/>
      <c r="H1398" s="40"/>
      <c r="I1398" s="40"/>
      <c r="J1398" s="7"/>
      <c r="K1398" s="8"/>
      <c r="L1398" s="9"/>
      <c r="M1398" s="10"/>
      <c r="N1398" s="11"/>
      <c r="O1398" s="12"/>
      <c r="P1398" s="32"/>
      <c r="Q1398" s="80"/>
      <c r="R1398" s="80"/>
      <c r="S1398" s="32"/>
      <c r="T1398" s="32"/>
      <c r="U1398" s="32"/>
      <c r="V1398" s="74"/>
      <c r="W1398" s="15"/>
      <c r="X1398" s="15"/>
      <c r="Y1398" s="16"/>
      <c r="Z1398" s="17"/>
      <c r="AA1398" s="16"/>
      <c r="AB1398" s="99"/>
      <c r="AC1398" s="20"/>
      <c r="AD1398" s="21"/>
      <c r="AE1398" s="22"/>
      <c r="AF1398" s="23"/>
      <c r="AG1398" s="24"/>
      <c r="AH1398" s="1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5"/>
      <c r="AV1398" s="25"/>
      <c r="AW1398" s="25"/>
      <c r="AX1398" s="25"/>
      <c r="AY1398" s="25"/>
      <c r="AZ1398" s="25"/>
      <c r="BA1398" s="25"/>
      <c r="BB1398" s="25"/>
      <c r="BC1398" s="25"/>
      <c r="BD1398" s="25"/>
      <c r="BE1398" s="25"/>
      <c r="BF1398" s="25"/>
      <c r="BG1398" s="25"/>
      <c r="BH1398" s="25"/>
      <c r="BI1398" s="25"/>
      <c r="BJ1398" s="25"/>
      <c r="BK1398" s="25"/>
      <c r="BL1398" s="25"/>
      <c r="BM1398" s="25"/>
      <c r="BN1398" s="25"/>
      <c r="BO1398" s="25"/>
      <c r="BP1398" s="25"/>
    </row>
    <row r="1399" spans="5:68" ht="15" customHeight="1" x14ac:dyDescent="0.25">
      <c r="E1399" s="100"/>
      <c r="F1399" s="101"/>
      <c r="G1399" s="102"/>
      <c r="H1399" s="6"/>
      <c r="I1399" s="6"/>
      <c r="J1399" s="115"/>
      <c r="K1399" s="8"/>
      <c r="L1399" s="9"/>
      <c r="M1399" s="10"/>
      <c r="N1399" s="11"/>
      <c r="O1399" s="12"/>
      <c r="P1399" s="13"/>
      <c r="Q1399" s="13"/>
      <c r="R1399" s="14"/>
      <c r="S1399" s="13"/>
      <c r="T1399" s="13"/>
      <c r="U1399" s="13"/>
      <c r="V1399" s="31"/>
      <c r="W1399" s="15"/>
      <c r="X1399" s="15"/>
      <c r="Y1399" s="16"/>
      <c r="Z1399" s="17"/>
      <c r="AA1399" s="16"/>
      <c r="AB1399" s="24"/>
      <c r="AC1399" s="20"/>
      <c r="AD1399" s="21"/>
      <c r="AE1399" s="22"/>
      <c r="AF1399" s="23"/>
      <c r="AG1399" s="24"/>
      <c r="AH1399" s="1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  <c r="AW1399" s="25"/>
      <c r="AX1399" s="25"/>
      <c r="AY1399" s="25"/>
      <c r="AZ1399" s="25"/>
      <c r="BA1399" s="25"/>
      <c r="BB1399" s="25"/>
      <c r="BC1399" s="25"/>
      <c r="BD1399" s="25"/>
      <c r="BE1399" s="25"/>
      <c r="BF1399" s="25"/>
      <c r="BG1399" s="25"/>
      <c r="BH1399" s="25"/>
      <c r="BI1399" s="25"/>
      <c r="BJ1399" s="25"/>
      <c r="BK1399" s="25"/>
      <c r="BL1399" s="25"/>
      <c r="BM1399" s="25"/>
      <c r="BN1399" s="25"/>
      <c r="BO1399" s="25"/>
      <c r="BP1399" s="25"/>
    </row>
    <row r="1400" spans="5:68" ht="15" customHeight="1" x14ac:dyDescent="0.25">
      <c r="E1400" s="3"/>
      <c r="F1400" s="4"/>
      <c r="G1400" s="5"/>
      <c r="H1400" s="4"/>
      <c r="I1400" s="4"/>
      <c r="J1400" s="7"/>
      <c r="K1400" s="8"/>
      <c r="L1400" s="9"/>
      <c r="M1400" s="10"/>
      <c r="N1400" s="11"/>
      <c r="O1400" s="12"/>
      <c r="P1400" s="13"/>
      <c r="Q1400" s="13"/>
      <c r="R1400" s="14"/>
      <c r="S1400" s="13"/>
      <c r="T1400" s="13"/>
      <c r="U1400" s="13"/>
      <c r="V1400" s="136"/>
      <c r="W1400" s="15"/>
      <c r="X1400" s="15"/>
      <c r="Y1400" s="16"/>
      <c r="Z1400" s="17"/>
      <c r="AA1400" s="16"/>
      <c r="AB1400" s="24"/>
      <c r="AC1400" s="20"/>
      <c r="AD1400" s="21"/>
      <c r="AE1400" s="22"/>
      <c r="AF1400" s="23"/>
      <c r="AG1400" s="24"/>
      <c r="AH1400" s="1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5"/>
      <c r="AV1400" s="25"/>
      <c r="AW1400" s="25"/>
      <c r="AX1400" s="25"/>
      <c r="AY1400" s="25"/>
      <c r="AZ1400" s="25"/>
      <c r="BA1400" s="25"/>
      <c r="BB1400" s="25"/>
      <c r="BC1400" s="25"/>
      <c r="BD1400" s="25"/>
      <c r="BE1400" s="25"/>
      <c r="BF1400" s="25"/>
      <c r="BG1400" s="25"/>
      <c r="BH1400" s="25"/>
      <c r="BI1400" s="25"/>
      <c r="BJ1400" s="25"/>
      <c r="BK1400" s="25"/>
      <c r="BL1400" s="25"/>
      <c r="BM1400" s="25"/>
      <c r="BN1400" s="25"/>
      <c r="BO1400" s="25"/>
      <c r="BP1400" s="25"/>
    </row>
    <row r="1401" spans="5:68" ht="15" customHeight="1" x14ac:dyDescent="0.25">
      <c r="E1401" s="100"/>
      <c r="F1401" s="101"/>
      <c r="G1401" s="102"/>
      <c r="H1401" s="6"/>
      <c r="I1401" s="6"/>
      <c r="J1401" s="115"/>
      <c r="K1401" s="8"/>
      <c r="L1401" s="9"/>
      <c r="M1401" s="10"/>
      <c r="N1401" s="11"/>
      <c r="O1401" s="12"/>
      <c r="P1401" s="13"/>
      <c r="Q1401" s="13"/>
      <c r="R1401" s="14"/>
      <c r="S1401" s="13"/>
      <c r="T1401" s="13"/>
      <c r="U1401" s="13"/>
      <c r="V1401" s="31"/>
      <c r="W1401" s="105"/>
      <c r="X1401" s="105"/>
      <c r="Y1401" s="114"/>
      <c r="Z1401" s="8"/>
      <c r="AA1401" s="10"/>
      <c r="AB1401" s="106"/>
      <c r="AC1401" s="107"/>
      <c r="AD1401" s="108"/>
      <c r="AE1401" s="109"/>
      <c r="AF1401" s="110"/>
      <c r="AG1401" s="24"/>
      <c r="AH1401" s="1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5"/>
      <c r="AV1401" s="25"/>
      <c r="AW1401" s="25"/>
      <c r="AX1401" s="25"/>
      <c r="AY1401" s="25"/>
      <c r="AZ1401" s="25"/>
      <c r="BA1401" s="25"/>
      <c r="BB1401" s="25"/>
      <c r="BC1401" s="25"/>
      <c r="BD1401" s="25"/>
      <c r="BE1401" s="25"/>
      <c r="BF1401" s="25"/>
      <c r="BG1401" s="25"/>
      <c r="BH1401" s="25"/>
      <c r="BI1401" s="25"/>
      <c r="BJ1401" s="25"/>
      <c r="BK1401" s="25"/>
      <c r="BL1401" s="25"/>
      <c r="BM1401" s="25"/>
      <c r="BN1401" s="25"/>
      <c r="BO1401" s="25"/>
      <c r="BP1401" s="25"/>
    </row>
    <row r="1402" spans="5:68" ht="15" customHeight="1" x14ac:dyDescent="0.25">
      <c r="E1402" s="100"/>
      <c r="F1402" s="101"/>
      <c r="G1402" s="102"/>
      <c r="H1402" s="6"/>
      <c r="I1402" s="6"/>
      <c r="J1402" s="115"/>
      <c r="K1402" s="8"/>
      <c r="L1402" s="9"/>
      <c r="M1402" s="10"/>
      <c r="N1402" s="11"/>
      <c r="O1402" s="12"/>
      <c r="P1402" s="13"/>
      <c r="Q1402" s="13"/>
      <c r="R1402" s="14"/>
      <c r="S1402" s="13"/>
      <c r="T1402" s="13"/>
      <c r="U1402" s="13"/>
      <c r="V1402" s="31"/>
      <c r="W1402" s="105"/>
      <c r="X1402" s="105"/>
      <c r="Y1402" s="114"/>
      <c r="Z1402" s="8"/>
      <c r="AA1402" s="10"/>
      <c r="AB1402" s="106"/>
      <c r="AC1402" s="107"/>
      <c r="AD1402" s="108"/>
      <c r="AE1402" s="109"/>
      <c r="AF1402" s="110"/>
      <c r="AG1402" s="24"/>
      <c r="AH1402" s="1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25"/>
      <c r="AV1402" s="25"/>
      <c r="AW1402" s="25"/>
      <c r="AX1402" s="25"/>
      <c r="AY1402" s="25"/>
      <c r="AZ1402" s="25"/>
      <c r="BA1402" s="25"/>
      <c r="BB1402" s="25"/>
      <c r="BC1402" s="25"/>
      <c r="BD1402" s="25"/>
      <c r="BE1402" s="25"/>
      <c r="BF1402" s="25"/>
      <c r="BG1402" s="25"/>
      <c r="BH1402" s="25"/>
      <c r="BI1402" s="25"/>
      <c r="BJ1402" s="25"/>
      <c r="BK1402" s="25"/>
      <c r="BL1402" s="25"/>
      <c r="BM1402" s="25"/>
      <c r="BN1402" s="25"/>
      <c r="BO1402" s="25"/>
      <c r="BP1402" s="25"/>
    </row>
    <row r="1403" spans="5:68" ht="15" customHeight="1" x14ac:dyDescent="0.25">
      <c r="E1403" s="28"/>
      <c r="F1403" s="29"/>
      <c r="G1403" s="102"/>
      <c r="H1403" s="6"/>
      <c r="I1403" s="6"/>
      <c r="J1403" s="30"/>
      <c r="K1403" s="17"/>
      <c r="L1403" s="111"/>
      <c r="M1403" s="16"/>
      <c r="N1403" s="112"/>
      <c r="O1403" s="113"/>
      <c r="P1403" s="13"/>
      <c r="Q1403" s="13"/>
      <c r="R1403" s="14"/>
      <c r="S1403" s="13"/>
      <c r="T1403" s="13"/>
      <c r="U1403" s="104"/>
      <c r="V1403" s="31"/>
      <c r="W1403" s="15"/>
      <c r="X1403" s="15"/>
      <c r="Y1403" s="16"/>
      <c r="Z1403" s="17"/>
      <c r="AA1403" s="16"/>
      <c r="AB1403" s="24"/>
      <c r="AC1403" s="20"/>
      <c r="AD1403" s="21"/>
      <c r="AE1403" s="22"/>
      <c r="AF1403" s="23"/>
      <c r="AG1403" s="24"/>
      <c r="AH1403" s="1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25"/>
      <c r="AV1403" s="25"/>
      <c r="AW1403" s="25"/>
      <c r="AX1403" s="25"/>
      <c r="AY1403" s="25"/>
      <c r="AZ1403" s="25"/>
      <c r="BA1403" s="25"/>
      <c r="BB1403" s="25"/>
      <c r="BC1403" s="25"/>
      <c r="BD1403" s="25"/>
      <c r="BE1403" s="25"/>
      <c r="BF1403" s="25"/>
      <c r="BG1403" s="25"/>
      <c r="BH1403" s="25"/>
      <c r="BI1403" s="25"/>
      <c r="BJ1403" s="25"/>
      <c r="BK1403" s="25"/>
      <c r="BL1403" s="25"/>
      <c r="BM1403" s="25"/>
      <c r="BN1403" s="25"/>
      <c r="BO1403" s="25"/>
      <c r="BP1403" s="25"/>
    </row>
    <row r="1404" spans="5:68" ht="15" customHeight="1" x14ac:dyDescent="0.25">
      <c r="E1404" s="100"/>
      <c r="F1404" s="101"/>
      <c r="G1404" s="102"/>
      <c r="H1404" s="6"/>
      <c r="I1404" s="6"/>
      <c r="J1404" s="115"/>
      <c r="K1404" s="17"/>
      <c r="L1404" s="111"/>
      <c r="M1404" s="16"/>
      <c r="N1404" s="112"/>
      <c r="O1404" s="113"/>
      <c r="P1404" s="13"/>
      <c r="Q1404" s="13"/>
      <c r="R1404" s="14"/>
      <c r="S1404" s="13"/>
      <c r="T1404" s="13"/>
      <c r="U1404" s="104"/>
      <c r="V1404" s="37"/>
      <c r="W1404" s="15"/>
      <c r="X1404" s="15"/>
      <c r="Y1404" s="16"/>
      <c r="Z1404" s="17"/>
      <c r="AA1404" s="16"/>
      <c r="AB1404" s="24"/>
      <c r="AC1404" s="20"/>
      <c r="AD1404" s="21"/>
      <c r="AE1404" s="22"/>
      <c r="AF1404" s="23"/>
      <c r="AG1404" s="24"/>
      <c r="AH1404" s="1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  <c r="AW1404" s="25"/>
      <c r="AX1404" s="25"/>
      <c r="AY1404" s="25"/>
      <c r="AZ1404" s="25"/>
      <c r="BA1404" s="25"/>
      <c r="BB1404" s="25"/>
      <c r="BC1404" s="25"/>
      <c r="BD1404" s="25"/>
      <c r="BE1404" s="25"/>
      <c r="BF1404" s="25"/>
      <c r="BG1404" s="25"/>
      <c r="BH1404" s="25"/>
      <c r="BI1404" s="25"/>
      <c r="BJ1404" s="25"/>
      <c r="BK1404" s="25"/>
      <c r="BL1404" s="25"/>
      <c r="BM1404" s="25"/>
      <c r="BN1404" s="25"/>
      <c r="BO1404" s="25"/>
      <c r="BP1404" s="25"/>
    </row>
    <row r="1405" spans="5:68" ht="15" customHeight="1" x14ac:dyDescent="0.25">
      <c r="E1405" s="100"/>
      <c r="F1405" s="101"/>
      <c r="G1405" s="102"/>
      <c r="H1405" s="6"/>
      <c r="I1405" s="6"/>
      <c r="J1405" s="115"/>
      <c r="K1405" s="17"/>
      <c r="L1405" s="111"/>
      <c r="M1405" s="16"/>
      <c r="N1405" s="112"/>
      <c r="O1405" s="113"/>
      <c r="P1405" s="13"/>
      <c r="Q1405" s="13"/>
      <c r="R1405" s="14"/>
      <c r="S1405" s="13"/>
      <c r="T1405" s="13"/>
      <c r="U1405" s="104"/>
      <c r="V1405" s="31"/>
      <c r="W1405" s="15"/>
      <c r="X1405" s="15"/>
      <c r="Y1405" s="16"/>
      <c r="Z1405" s="17"/>
      <c r="AA1405" s="16"/>
      <c r="AB1405" s="24"/>
      <c r="AC1405" s="20"/>
      <c r="AD1405" s="21"/>
      <c r="AE1405" s="22"/>
      <c r="AF1405" s="23"/>
      <c r="AG1405" s="24"/>
      <c r="AH1405" s="1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  <c r="AW1405" s="25"/>
      <c r="AX1405" s="25"/>
      <c r="AY1405" s="25"/>
      <c r="AZ1405" s="25"/>
      <c r="BA1405" s="25"/>
      <c r="BB1405" s="25"/>
      <c r="BC1405" s="25"/>
      <c r="BD1405" s="25"/>
      <c r="BE1405" s="25"/>
      <c r="BF1405" s="25"/>
      <c r="BG1405" s="25"/>
      <c r="BH1405" s="25"/>
      <c r="BI1405" s="25"/>
      <c r="BJ1405" s="25"/>
      <c r="BK1405" s="25"/>
      <c r="BL1405" s="25"/>
      <c r="BM1405" s="25"/>
      <c r="BN1405" s="25"/>
      <c r="BO1405" s="25"/>
      <c r="BP1405" s="25"/>
    </row>
    <row r="1406" spans="5:68" ht="15" customHeight="1" x14ac:dyDescent="0.25">
      <c r="E1406" s="100"/>
      <c r="F1406" s="101"/>
      <c r="G1406" s="102"/>
      <c r="H1406" s="6"/>
      <c r="I1406" s="6"/>
      <c r="J1406" s="115"/>
      <c r="K1406" s="17"/>
      <c r="L1406" s="111"/>
      <c r="M1406" s="16"/>
      <c r="N1406" s="112"/>
      <c r="O1406" s="113"/>
      <c r="P1406" s="13"/>
      <c r="Q1406" s="13"/>
      <c r="R1406" s="14"/>
      <c r="S1406" s="13"/>
      <c r="T1406" s="13"/>
      <c r="U1406" s="104"/>
      <c r="V1406" s="31"/>
      <c r="W1406" s="15"/>
      <c r="X1406" s="15"/>
      <c r="Y1406" s="16"/>
      <c r="Z1406" s="17"/>
      <c r="AA1406" s="16"/>
      <c r="AB1406" s="24"/>
      <c r="AC1406" s="20"/>
      <c r="AD1406" s="21"/>
      <c r="AE1406" s="22"/>
      <c r="AF1406" s="23"/>
      <c r="AG1406" s="24"/>
      <c r="AH1406" s="1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  <c r="AW1406" s="25"/>
      <c r="AX1406" s="25"/>
      <c r="AY1406" s="25"/>
      <c r="AZ1406" s="25"/>
      <c r="BA1406" s="25"/>
      <c r="BB1406" s="25"/>
      <c r="BC1406" s="25"/>
      <c r="BD1406" s="25"/>
      <c r="BE1406" s="25"/>
      <c r="BF1406" s="25"/>
      <c r="BG1406" s="25"/>
      <c r="BH1406" s="25"/>
      <c r="BI1406" s="25"/>
      <c r="BJ1406" s="25"/>
      <c r="BK1406" s="25"/>
      <c r="BL1406" s="25"/>
      <c r="BM1406" s="25"/>
      <c r="BN1406" s="25"/>
      <c r="BO1406" s="25"/>
      <c r="BP1406" s="25"/>
    </row>
    <row r="1407" spans="5:68" ht="15" customHeight="1" x14ac:dyDescent="0.25">
      <c r="E1407" s="100"/>
      <c r="F1407" s="101"/>
      <c r="G1407" s="102"/>
      <c r="H1407" s="6"/>
      <c r="I1407" s="6"/>
      <c r="J1407" s="115"/>
      <c r="K1407" s="17"/>
      <c r="L1407" s="111"/>
      <c r="M1407" s="16"/>
      <c r="N1407" s="112"/>
      <c r="O1407" s="113"/>
      <c r="P1407" s="13"/>
      <c r="Q1407" s="13"/>
      <c r="R1407" s="14"/>
      <c r="S1407" s="13"/>
      <c r="T1407" s="13"/>
      <c r="U1407" s="104"/>
      <c r="V1407" s="31"/>
      <c r="W1407" s="15"/>
      <c r="X1407" s="15"/>
      <c r="Y1407" s="16"/>
      <c r="Z1407" s="17"/>
      <c r="AA1407" s="16"/>
      <c r="AB1407" s="24"/>
      <c r="AC1407" s="20"/>
      <c r="AD1407" s="21"/>
      <c r="AE1407" s="22"/>
      <c r="AF1407" s="23"/>
      <c r="AG1407" s="24"/>
      <c r="AH1407" s="1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  <c r="AW1407" s="25"/>
      <c r="AX1407" s="25"/>
      <c r="AY1407" s="25"/>
      <c r="AZ1407" s="25"/>
      <c r="BA1407" s="25"/>
      <c r="BB1407" s="25"/>
      <c r="BC1407" s="25"/>
      <c r="BD1407" s="25"/>
      <c r="BE1407" s="25"/>
      <c r="BF1407" s="25"/>
      <c r="BG1407" s="25"/>
      <c r="BH1407" s="25"/>
      <c r="BI1407" s="25"/>
      <c r="BJ1407" s="25"/>
      <c r="BK1407" s="25"/>
      <c r="BL1407" s="25"/>
      <c r="BM1407" s="25"/>
      <c r="BN1407" s="25"/>
      <c r="BO1407" s="25"/>
      <c r="BP1407" s="25"/>
    </row>
    <row r="1408" spans="5:68" ht="15" customHeight="1" x14ac:dyDescent="0.25">
      <c r="E1408" s="28"/>
      <c r="F1408" s="29"/>
      <c r="G1408" s="102"/>
      <c r="H1408" s="6"/>
      <c r="I1408" s="6"/>
      <c r="J1408" s="30"/>
      <c r="K1408" s="8"/>
      <c r="L1408" s="9"/>
      <c r="M1408" s="10"/>
      <c r="N1408" s="11"/>
      <c r="O1408" s="12"/>
      <c r="P1408" s="13"/>
      <c r="Q1408" s="13"/>
      <c r="R1408" s="14"/>
      <c r="S1408" s="13"/>
      <c r="T1408" s="13"/>
      <c r="U1408" s="104"/>
      <c r="V1408" s="31"/>
      <c r="W1408" s="15"/>
      <c r="X1408" s="15"/>
      <c r="Y1408" s="16"/>
      <c r="Z1408" s="17"/>
      <c r="AA1408" s="16"/>
      <c r="AB1408" s="24"/>
      <c r="AC1408" s="20"/>
      <c r="AD1408" s="21"/>
      <c r="AE1408" s="22"/>
      <c r="AF1408" s="23"/>
      <c r="AG1408" s="24"/>
      <c r="AH1408" s="1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  <c r="AW1408" s="25"/>
      <c r="AX1408" s="25"/>
      <c r="AY1408" s="25"/>
      <c r="AZ1408" s="25"/>
      <c r="BA1408" s="25"/>
      <c r="BB1408" s="25"/>
      <c r="BC1408" s="25"/>
      <c r="BD1408" s="25"/>
      <c r="BE1408" s="25"/>
      <c r="BF1408" s="25"/>
      <c r="BG1408" s="25"/>
      <c r="BH1408" s="25"/>
      <c r="BI1408" s="25"/>
      <c r="BJ1408" s="25"/>
      <c r="BK1408" s="25"/>
      <c r="BL1408" s="25"/>
      <c r="BM1408" s="25"/>
      <c r="BN1408" s="25"/>
      <c r="BO1408" s="25"/>
      <c r="BP1408" s="25"/>
    </row>
    <row r="1409" spans="5:68" ht="15" customHeight="1" x14ac:dyDescent="0.25">
      <c r="E1409" s="28"/>
      <c r="F1409" s="29"/>
      <c r="G1409" s="102"/>
      <c r="H1409" s="6"/>
      <c r="I1409" s="6"/>
      <c r="J1409" s="30"/>
      <c r="K1409" s="8"/>
      <c r="L1409" s="9"/>
      <c r="M1409" s="10"/>
      <c r="N1409" s="11"/>
      <c r="O1409" s="12"/>
      <c r="P1409" s="13"/>
      <c r="Q1409" s="13"/>
      <c r="R1409" s="14"/>
      <c r="S1409" s="13"/>
      <c r="T1409" s="13"/>
      <c r="U1409" s="80"/>
      <c r="V1409" s="31"/>
      <c r="W1409" s="15"/>
      <c r="X1409" s="15"/>
      <c r="Y1409" s="16"/>
      <c r="Z1409" s="17"/>
      <c r="AA1409" s="16"/>
      <c r="AB1409" s="24"/>
      <c r="AC1409" s="20"/>
      <c r="AD1409" s="21"/>
      <c r="AE1409" s="22"/>
      <c r="AF1409" s="23"/>
      <c r="AG1409" s="24"/>
      <c r="AH1409" s="1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  <c r="AW1409" s="25"/>
      <c r="AX1409" s="25"/>
      <c r="AY1409" s="25"/>
      <c r="AZ1409" s="25"/>
      <c r="BA1409" s="25"/>
      <c r="BB1409" s="25"/>
      <c r="BC1409" s="25"/>
      <c r="BD1409" s="25"/>
      <c r="BE1409" s="25"/>
      <c r="BF1409" s="25"/>
      <c r="BG1409" s="25"/>
      <c r="BH1409" s="25"/>
      <c r="BI1409" s="25"/>
      <c r="BJ1409" s="25"/>
      <c r="BK1409" s="25"/>
      <c r="BL1409" s="25"/>
      <c r="BM1409" s="25"/>
      <c r="BN1409" s="25"/>
      <c r="BO1409" s="25"/>
      <c r="BP1409" s="25"/>
    </row>
    <row r="1410" spans="5:68" ht="15" customHeight="1" x14ac:dyDescent="0.25">
      <c r="E1410" s="28"/>
      <c r="F1410" s="29"/>
      <c r="G1410" s="102"/>
      <c r="H1410" s="6"/>
      <c r="I1410" s="6"/>
      <c r="J1410" s="30"/>
      <c r="K1410" s="8"/>
      <c r="L1410" s="9"/>
      <c r="M1410" s="10"/>
      <c r="N1410" s="11"/>
      <c r="O1410" s="12"/>
      <c r="P1410" s="13"/>
      <c r="Q1410" s="13"/>
      <c r="R1410" s="14"/>
      <c r="S1410" s="13"/>
      <c r="T1410" s="13"/>
      <c r="U1410" s="80"/>
      <c r="V1410" s="31"/>
      <c r="W1410" s="15"/>
      <c r="X1410" s="15"/>
      <c r="Y1410" s="16"/>
      <c r="Z1410" s="17"/>
      <c r="AA1410" s="16"/>
      <c r="AB1410" s="24"/>
      <c r="AC1410" s="20"/>
      <c r="AD1410" s="21"/>
      <c r="AE1410" s="22"/>
      <c r="AF1410" s="23"/>
      <c r="AG1410" s="24"/>
      <c r="AH1410" s="1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  <c r="AW1410" s="25"/>
      <c r="AX1410" s="25"/>
      <c r="AY1410" s="25"/>
      <c r="AZ1410" s="25"/>
      <c r="BA1410" s="25"/>
      <c r="BB1410" s="25"/>
      <c r="BC1410" s="25"/>
      <c r="BD1410" s="25"/>
      <c r="BE1410" s="25"/>
      <c r="BF1410" s="25"/>
      <c r="BG1410" s="25"/>
      <c r="BH1410" s="25"/>
      <c r="BI1410" s="25"/>
      <c r="BJ1410" s="25"/>
      <c r="BK1410" s="25"/>
      <c r="BL1410" s="25"/>
      <c r="BM1410" s="25"/>
      <c r="BN1410" s="25"/>
      <c r="BO1410" s="25"/>
      <c r="BP1410" s="25"/>
    </row>
    <row r="1411" spans="5:68" ht="15" customHeight="1" x14ac:dyDescent="0.25">
      <c r="E1411" s="28"/>
      <c r="F1411" s="29"/>
      <c r="G1411" s="102"/>
      <c r="H1411" s="6"/>
      <c r="I1411" s="6"/>
      <c r="J1411" s="30"/>
      <c r="K1411" s="8"/>
      <c r="L1411" s="9"/>
      <c r="M1411" s="10"/>
      <c r="N1411" s="11"/>
      <c r="O1411" s="12"/>
      <c r="P1411" s="13"/>
      <c r="Q1411" s="13"/>
      <c r="R1411" s="14"/>
      <c r="S1411" s="13"/>
      <c r="T1411" s="13"/>
      <c r="U1411" s="80"/>
      <c r="V1411" s="31"/>
      <c r="W1411" s="15"/>
      <c r="X1411" s="15"/>
      <c r="Y1411" s="16"/>
      <c r="Z1411" s="17"/>
      <c r="AA1411" s="16"/>
      <c r="AB1411" s="24"/>
      <c r="AC1411" s="20"/>
      <c r="AD1411" s="21"/>
      <c r="AE1411" s="22"/>
      <c r="AF1411" s="23"/>
      <c r="AG1411" s="24"/>
      <c r="AH1411" s="1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  <c r="AW1411" s="25"/>
      <c r="AX1411" s="25"/>
      <c r="AY1411" s="25"/>
      <c r="AZ1411" s="25"/>
      <c r="BA1411" s="25"/>
      <c r="BB1411" s="25"/>
      <c r="BC1411" s="25"/>
      <c r="BD1411" s="25"/>
      <c r="BE1411" s="25"/>
      <c r="BF1411" s="25"/>
      <c r="BG1411" s="25"/>
      <c r="BH1411" s="25"/>
      <c r="BI1411" s="25"/>
      <c r="BJ1411" s="25"/>
      <c r="BK1411" s="25"/>
      <c r="BL1411" s="25"/>
      <c r="BM1411" s="25"/>
      <c r="BN1411" s="25"/>
      <c r="BO1411" s="25"/>
      <c r="BP1411" s="25"/>
    </row>
    <row r="1412" spans="5:68" ht="15" customHeight="1" x14ac:dyDescent="0.25">
      <c r="E1412" s="28"/>
      <c r="F1412" s="29"/>
      <c r="G1412" s="102"/>
      <c r="H1412" s="6"/>
      <c r="I1412" s="6"/>
      <c r="J1412" s="30"/>
      <c r="K1412" s="8"/>
      <c r="L1412" s="9"/>
      <c r="M1412" s="10"/>
      <c r="N1412" s="11"/>
      <c r="O1412" s="12"/>
      <c r="P1412" s="13"/>
      <c r="Q1412" s="13"/>
      <c r="R1412" s="14"/>
      <c r="S1412" s="13"/>
      <c r="T1412" s="13"/>
      <c r="U1412" s="80"/>
      <c r="V1412" s="31"/>
      <c r="W1412" s="15"/>
      <c r="X1412" s="15"/>
      <c r="Y1412" s="16"/>
      <c r="Z1412" s="17"/>
      <c r="AA1412" s="16"/>
      <c r="AB1412" s="24"/>
      <c r="AC1412" s="20"/>
      <c r="AD1412" s="21"/>
      <c r="AE1412" s="22"/>
      <c r="AF1412" s="23"/>
      <c r="AG1412" s="24"/>
      <c r="AH1412" s="1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  <c r="AT1412" s="25"/>
      <c r="AU1412" s="25"/>
      <c r="AV1412" s="25"/>
      <c r="AW1412" s="25"/>
      <c r="AX1412" s="25"/>
      <c r="AY1412" s="25"/>
      <c r="AZ1412" s="25"/>
      <c r="BA1412" s="25"/>
      <c r="BB1412" s="25"/>
      <c r="BC1412" s="25"/>
      <c r="BD1412" s="25"/>
      <c r="BE1412" s="25"/>
      <c r="BF1412" s="25"/>
      <c r="BG1412" s="25"/>
      <c r="BH1412" s="25"/>
      <c r="BI1412" s="25"/>
      <c r="BJ1412" s="25"/>
      <c r="BK1412" s="25"/>
      <c r="BL1412" s="25"/>
      <c r="BM1412" s="25"/>
      <c r="BN1412" s="25"/>
      <c r="BO1412" s="25"/>
      <c r="BP1412" s="25"/>
    </row>
    <row r="1413" spans="5:68" ht="15" customHeight="1" x14ac:dyDescent="0.25">
      <c r="E1413" s="3"/>
      <c r="F1413" s="4"/>
      <c r="G1413" s="5"/>
      <c r="H1413" s="40"/>
      <c r="I1413" s="40"/>
      <c r="J1413" s="7"/>
      <c r="K1413" s="8"/>
      <c r="L1413" s="9"/>
      <c r="M1413" s="10"/>
      <c r="N1413" s="11"/>
      <c r="O1413" s="12"/>
      <c r="P1413" s="13"/>
      <c r="Q1413" s="13"/>
      <c r="R1413" s="14"/>
      <c r="S1413" s="13"/>
      <c r="T1413" s="13"/>
      <c r="U1413" s="32"/>
      <c r="V1413" s="31"/>
      <c r="W1413" s="15"/>
      <c r="X1413" s="15"/>
      <c r="Y1413" s="16"/>
      <c r="Z1413" s="17"/>
      <c r="AA1413" s="16"/>
      <c r="AB1413" s="24"/>
      <c r="AC1413" s="20"/>
      <c r="AD1413" s="21"/>
      <c r="AE1413" s="22"/>
      <c r="AF1413" s="23"/>
      <c r="AG1413" s="24"/>
      <c r="AH1413" s="1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  <c r="AT1413" s="25"/>
      <c r="AU1413" s="25"/>
      <c r="AV1413" s="25"/>
      <c r="AW1413" s="25"/>
      <c r="AX1413" s="25"/>
      <c r="AY1413" s="25"/>
      <c r="AZ1413" s="25"/>
      <c r="BA1413" s="25"/>
      <c r="BB1413" s="25"/>
      <c r="BC1413" s="25"/>
      <c r="BD1413" s="25"/>
      <c r="BE1413" s="25"/>
      <c r="BF1413" s="25"/>
      <c r="BG1413" s="25"/>
      <c r="BH1413" s="25"/>
      <c r="BI1413" s="25"/>
      <c r="BJ1413" s="25"/>
      <c r="BK1413" s="25"/>
      <c r="BL1413" s="25"/>
      <c r="BM1413" s="25"/>
      <c r="BN1413" s="25"/>
      <c r="BO1413" s="25"/>
      <c r="BP1413" s="25"/>
    </row>
    <row r="1414" spans="5:68" ht="15" customHeight="1" x14ac:dyDescent="0.25">
      <c r="E1414" s="137"/>
      <c r="F1414" s="138"/>
      <c r="G1414" s="139"/>
      <c r="H1414" s="140"/>
      <c r="I1414" s="140"/>
      <c r="J1414" s="141"/>
      <c r="K1414" s="8"/>
      <c r="L1414" s="9"/>
      <c r="M1414" s="10"/>
      <c r="N1414" s="11"/>
      <c r="O1414" s="12"/>
      <c r="P1414" s="142"/>
      <c r="Q1414" s="142"/>
      <c r="R1414" s="143"/>
      <c r="S1414" s="142"/>
      <c r="T1414" s="142"/>
      <c r="U1414" s="142"/>
      <c r="V1414" s="144"/>
      <c r="W1414" s="15"/>
      <c r="X1414" s="15"/>
      <c r="Y1414" s="16"/>
      <c r="Z1414" s="17"/>
      <c r="AA1414" s="16"/>
      <c r="AB1414" s="24"/>
      <c r="AC1414" s="20"/>
      <c r="AD1414" s="21"/>
      <c r="AE1414" s="22"/>
      <c r="AF1414" s="23"/>
      <c r="AG1414" s="24"/>
      <c r="AH1414" s="1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  <c r="AT1414" s="25"/>
      <c r="AU1414" s="25"/>
      <c r="AV1414" s="25"/>
      <c r="AW1414" s="25"/>
      <c r="AX1414" s="25"/>
      <c r="AY1414" s="25"/>
      <c r="AZ1414" s="25"/>
      <c r="BA1414" s="25"/>
      <c r="BB1414" s="25"/>
      <c r="BC1414" s="25"/>
      <c r="BD1414" s="25"/>
      <c r="BE1414" s="25"/>
      <c r="BF1414" s="25"/>
      <c r="BG1414" s="25"/>
      <c r="BH1414" s="25"/>
      <c r="BI1414" s="25"/>
      <c r="BJ1414" s="25"/>
      <c r="BK1414" s="25"/>
      <c r="BL1414" s="25"/>
      <c r="BM1414" s="25"/>
      <c r="BN1414" s="25"/>
      <c r="BO1414" s="25"/>
      <c r="BP1414" s="25"/>
    </row>
    <row r="1415" spans="5:68" ht="15" customHeight="1" x14ac:dyDescent="0.25">
      <c r="E1415" s="28"/>
      <c r="F1415" s="29"/>
      <c r="G1415" s="102"/>
      <c r="H1415" s="6"/>
      <c r="I1415" s="6"/>
      <c r="J1415" s="30"/>
      <c r="K1415" s="8"/>
      <c r="L1415" s="9"/>
      <c r="M1415" s="10"/>
      <c r="N1415" s="11"/>
      <c r="O1415" s="12"/>
      <c r="P1415" s="13"/>
      <c r="Q1415" s="13"/>
      <c r="R1415" s="14"/>
      <c r="S1415" s="13"/>
      <c r="T1415" s="13"/>
      <c r="U1415" s="80"/>
      <c r="V1415" s="31"/>
      <c r="W1415" s="15"/>
      <c r="X1415" s="15"/>
      <c r="Y1415" s="16"/>
      <c r="Z1415" s="17"/>
      <c r="AA1415" s="16"/>
      <c r="AB1415" s="24"/>
      <c r="AC1415" s="20"/>
      <c r="AD1415" s="21"/>
      <c r="AE1415" s="22"/>
      <c r="AF1415" s="23"/>
      <c r="AG1415" s="24"/>
      <c r="AH1415" s="1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  <c r="AT1415" s="25"/>
      <c r="AU1415" s="25"/>
      <c r="AV1415" s="25"/>
      <c r="AW1415" s="25"/>
      <c r="AX1415" s="25"/>
      <c r="AY1415" s="25"/>
      <c r="AZ1415" s="25"/>
      <c r="BA1415" s="25"/>
      <c r="BB1415" s="25"/>
      <c r="BC1415" s="25"/>
      <c r="BD1415" s="25"/>
      <c r="BE1415" s="25"/>
      <c r="BF1415" s="25"/>
      <c r="BG1415" s="25"/>
      <c r="BH1415" s="25"/>
      <c r="BI1415" s="25"/>
      <c r="BJ1415" s="25"/>
      <c r="BK1415" s="25"/>
      <c r="BL1415" s="25"/>
      <c r="BM1415" s="25"/>
      <c r="BN1415" s="25"/>
      <c r="BO1415" s="25"/>
      <c r="BP1415" s="25"/>
    </row>
    <row r="1416" spans="5:68" ht="15" customHeight="1" x14ac:dyDescent="0.25">
      <c r="E1416" s="28"/>
      <c r="F1416" s="29"/>
      <c r="G1416" s="102"/>
      <c r="H1416" s="6"/>
      <c r="I1416" s="6"/>
      <c r="J1416" s="30"/>
      <c r="K1416" s="8"/>
      <c r="L1416" s="9"/>
      <c r="M1416" s="10"/>
      <c r="N1416" s="11"/>
      <c r="O1416" s="12"/>
      <c r="P1416" s="13"/>
      <c r="Q1416" s="13"/>
      <c r="R1416" s="14"/>
      <c r="S1416" s="13"/>
      <c r="T1416" s="13"/>
      <c r="U1416" s="80"/>
      <c r="V1416" s="31"/>
      <c r="W1416" s="15"/>
      <c r="X1416" s="15"/>
      <c r="Y1416" s="16"/>
      <c r="Z1416" s="17"/>
      <c r="AA1416" s="16"/>
      <c r="AB1416" s="24"/>
      <c r="AC1416" s="20"/>
      <c r="AD1416" s="21"/>
      <c r="AE1416" s="22"/>
      <c r="AF1416" s="23"/>
      <c r="AG1416" s="24"/>
      <c r="AH1416" s="1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  <c r="AT1416" s="25"/>
      <c r="AU1416" s="25"/>
      <c r="AV1416" s="25"/>
      <c r="AW1416" s="25"/>
      <c r="AX1416" s="25"/>
      <c r="AY1416" s="25"/>
      <c r="AZ1416" s="25"/>
      <c r="BA1416" s="25"/>
      <c r="BB1416" s="25"/>
      <c r="BC1416" s="25"/>
      <c r="BD1416" s="25"/>
      <c r="BE1416" s="25"/>
      <c r="BF1416" s="25"/>
      <c r="BG1416" s="25"/>
      <c r="BH1416" s="25"/>
      <c r="BI1416" s="25"/>
      <c r="BJ1416" s="25"/>
      <c r="BK1416" s="25"/>
      <c r="BL1416" s="25"/>
      <c r="BM1416" s="25"/>
      <c r="BN1416" s="25"/>
      <c r="BO1416" s="25"/>
      <c r="BP1416" s="25"/>
    </row>
    <row r="1417" spans="5:68" ht="15" customHeight="1" x14ac:dyDescent="0.25">
      <c r="E1417" s="3"/>
      <c r="F1417" s="4"/>
      <c r="G1417" s="39"/>
      <c r="H1417" s="40"/>
      <c r="I1417" s="40"/>
      <c r="J1417" s="7"/>
      <c r="K1417" s="8"/>
      <c r="L1417" s="9"/>
      <c r="M1417" s="10"/>
      <c r="N1417" s="11"/>
      <c r="O1417" s="12"/>
      <c r="P1417" s="13"/>
      <c r="Q1417" s="13"/>
      <c r="R1417" s="14"/>
      <c r="S1417" s="13"/>
      <c r="T1417" s="13"/>
      <c r="U1417" s="32"/>
      <c r="V1417" s="31"/>
      <c r="W1417" s="15"/>
      <c r="X1417" s="15"/>
      <c r="Y1417" s="16"/>
      <c r="Z1417" s="17"/>
      <c r="AA1417" s="16"/>
      <c r="AB1417" s="24"/>
      <c r="AC1417" s="20"/>
      <c r="AD1417" s="21"/>
      <c r="AE1417" s="22"/>
      <c r="AF1417" s="23"/>
      <c r="AG1417" s="24"/>
      <c r="AH1417" s="1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  <c r="AT1417" s="25"/>
      <c r="AU1417" s="25"/>
      <c r="AV1417" s="25"/>
      <c r="AW1417" s="25"/>
      <c r="AX1417" s="25"/>
      <c r="AY1417" s="25"/>
      <c r="AZ1417" s="25"/>
      <c r="BA1417" s="25"/>
      <c r="BB1417" s="25"/>
      <c r="BC1417" s="25"/>
      <c r="BD1417" s="25"/>
      <c r="BE1417" s="25"/>
      <c r="BF1417" s="25"/>
      <c r="BG1417" s="25"/>
      <c r="BH1417" s="25"/>
      <c r="BI1417" s="25"/>
      <c r="BJ1417" s="25"/>
      <c r="BK1417" s="25"/>
      <c r="BL1417" s="25"/>
      <c r="BM1417" s="25"/>
      <c r="BN1417" s="25"/>
      <c r="BO1417" s="25"/>
      <c r="BP1417" s="25"/>
    </row>
    <row r="1418" spans="5:68" ht="15" customHeight="1" x14ac:dyDescent="0.25">
      <c r="E1418" s="84"/>
      <c r="F1418" s="85"/>
      <c r="G1418" s="86"/>
      <c r="H1418" s="87"/>
      <c r="I1418" s="87"/>
      <c r="J1418" s="88"/>
      <c r="K1418" s="8"/>
      <c r="L1418" s="9"/>
      <c r="M1418" s="10"/>
      <c r="N1418" s="11"/>
      <c r="O1418" s="12"/>
      <c r="P1418" s="92"/>
      <c r="Q1418" s="92"/>
      <c r="R1418" s="145"/>
      <c r="S1418" s="92"/>
      <c r="T1418" s="89"/>
      <c r="U1418" s="89"/>
      <c r="V1418" s="93"/>
      <c r="W1418" s="15"/>
      <c r="X1418" s="15"/>
      <c r="Y1418" s="16"/>
      <c r="Z1418" s="17"/>
      <c r="AA1418" s="16"/>
      <c r="AB1418" s="99"/>
      <c r="AC1418" s="20"/>
      <c r="AD1418" s="21"/>
      <c r="AE1418" s="22"/>
      <c r="AF1418" s="23"/>
      <c r="AG1418" s="24"/>
      <c r="AH1418" s="1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  <c r="AT1418" s="25"/>
      <c r="AU1418" s="25"/>
      <c r="AV1418" s="25"/>
      <c r="AW1418" s="25"/>
      <c r="AX1418" s="25"/>
      <c r="AY1418" s="25"/>
      <c r="AZ1418" s="25"/>
      <c r="BA1418" s="25"/>
      <c r="BB1418" s="25"/>
      <c r="BC1418" s="25"/>
      <c r="BD1418" s="25"/>
      <c r="BE1418" s="25"/>
      <c r="BF1418" s="25"/>
      <c r="BG1418" s="25"/>
      <c r="BH1418" s="25"/>
      <c r="BI1418" s="25"/>
      <c r="BJ1418" s="25"/>
      <c r="BK1418" s="25"/>
      <c r="BL1418" s="25"/>
      <c r="BM1418" s="25"/>
      <c r="BN1418" s="25"/>
      <c r="BO1418" s="25"/>
      <c r="BP1418" s="25"/>
    </row>
    <row r="1419" spans="5:68" ht="15" customHeight="1" x14ac:dyDescent="0.25">
      <c r="E1419" s="3"/>
      <c r="F1419" s="4"/>
      <c r="G1419" s="39"/>
      <c r="H1419" s="40"/>
      <c r="I1419" s="40"/>
      <c r="J1419" s="7"/>
      <c r="K1419" s="8"/>
      <c r="L1419" s="9"/>
      <c r="M1419" s="10"/>
      <c r="N1419" s="11"/>
      <c r="O1419" s="12"/>
      <c r="P1419" s="80"/>
      <c r="Q1419" s="80"/>
      <c r="R1419" s="80"/>
      <c r="S1419" s="32"/>
      <c r="T1419" s="32"/>
      <c r="U1419" s="32"/>
      <c r="V1419" s="74"/>
      <c r="W1419" s="15"/>
      <c r="X1419" s="15"/>
      <c r="Y1419" s="16"/>
      <c r="Z1419" s="17"/>
      <c r="AA1419" s="16"/>
      <c r="AB1419" s="99"/>
      <c r="AC1419" s="20"/>
      <c r="AD1419" s="21"/>
      <c r="AE1419" s="22"/>
      <c r="AF1419" s="23"/>
      <c r="AG1419" s="24"/>
      <c r="AH1419" s="1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  <c r="AT1419" s="25"/>
      <c r="AU1419" s="25"/>
      <c r="AV1419" s="25"/>
      <c r="AW1419" s="25"/>
      <c r="AX1419" s="25"/>
      <c r="AY1419" s="25"/>
      <c r="AZ1419" s="25"/>
      <c r="BA1419" s="25"/>
      <c r="BB1419" s="25"/>
      <c r="BC1419" s="25"/>
      <c r="BD1419" s="25"/>
      <c r="BE1419" s="25"/>
      <c r="BF1419" s="25"/>
      <c r="BG1419" s="25"/>
      <c r="BH1419" s="25"/>
      <c r="BI1419" s="25"/>
      <c r="BJ1419" s="25"/>
      <c r="BK1419" s="25"/>
      <c r="BL1419" s="25"/>
      <c r="BM1419" s="25"/>
      <c r="BN1419" s="25"/>
      <c r="BO1419" s="25"/>
      <c r="BP1419" s="25"/>
    </row>
    <row r="1420" spans="5:68" ht="15" customHeight="1" x14ac:dyDescent="0.25">
      <c r="E1420" s="28"/>
      <c r="F1420" s="29"/>
      <c r="G1420" s="5"/>
      <c r="H1420" s="6"/>
      <c r="I1420" s="6"/>
      <c r="J1420" s="30"/>
      <c r="K1420" s="121"/>
      <c r="L1420" s="117"/>
      <c r="M1420" s="118"/>
      <c r="N1420" s="116"/>
      <c r="O1420" s="119"/>
      <c r="P1420" s="13"/>
      <c r="Q1420" s="13"/>
      <c r="R1420" s="14"/>
      <c r="S1420" s="13"/>
      <c r="T1420" s="13"/>
      <c r="U1420" s="13"/>
      <c r="V1420" s="37"/>
      <c r="W1420" s="105"/>
      <c r="X1420" s="105"/>
      <c r="Y1420" s="114"/>
      <c r="Z1420" s="8"/>
      <c r="AA1420" s="10"/>
      <c r="AB1420" s="106"/>
      <c r="AC1420" s="107"/>
      <c r="AD1420" s="108"/>
      <c r="AE1420" s="109"/>
      <c r="AF1420" s="110"/>
      <c r="AG1420" s="106"/>
      <c r="AH1420" s="15"/>
      <c r="AI1420" s="25"/>
      <c r="AJ1420" s="25"/>
      <c r="AK1420" s="25"/>
      <c r="AL1420" s="25"/>
      <c r="AM1420" s="25"/>
      <c r="AN1420" s="25"/>
      <c r="AO1420" s="25"/>
      <c r="AP1420" s="25"/>
      <c r="AQ1420" s="25"/>
      <c r="AR1420" s="25"/>
      <c r="AS1420" s="25"/>
      <c r="AT1420" s="25"/>
      <c r="AU1420" s="25"/>
      <c r="AV1420" s="25"/>
      <c r="AW1420" s="25"/>
      <c r="AX1420" s="25"/>
      <c r="AY1420" s="25"/>
      <c r="AZ1420" s="25"/>
      <c r="BA1420" s="25"/>
      <c r="BB1420" s="25"/>
      <c r="BC1420" s="25"/>
      <c r="BD1420" s="25"/>
      <c r="BE1420" s="25"/>
      <c r="BF1420" s="25"/>
      <c r="BG1420" s="25"/>
      <c r="BH1420" s="25"/>
      <c r="BI1420" s="25"/>
      <c r="BJ1420" s="25"/>
      <c r="BK1420" s="25"/>
      <c r="BL1420" s="25"/>
      <c r="BM1420" s="25"/>
      <c r="BN1420" s="25"/>
      <c r="BO1420" s="25"/>
      <c r="BP1420" s="25"/>
    </row>
    <row r="1421" spans="5:68" ht="15" customHeight="1" x14ac:dyDescent="0.25">
      <c r="E1421" s="28"/>
      <c r="F1421" s="101"/>
      <c r="G1421" s="5"/>
      <c r="H1421" s="6"/>
      <c r="I1421" s="6"/>
      <c r="J1421" s="115"/>
      <c r="K1421" s="121"/>
      <c r="L1421" s="117"/>
      <c r="M1421" s="118"/>
      <c r="N1421" s="116"/>
      <c r="O1421" s="119"/>
      <c r="P1421" s="13"/>
      <c r="Q1421" s="13"/>
      <c r="R1421" s="14"/>
      <c r="S1421" s="13"/>
      <c r="T1421" s="13"/>
      <c r="U1421" s="13"/>
      <c r="V1421" s="37"/>
      <c r="W1421" s="105"/>
      <c r="X1421" s="105"/>
      <c r="Y1421" s="114"/>
      <c r="Z1421" s="8"/>
      <c r="AA1421" s="10"/>
      <c r="AB1421" s="106"/>
      <c r="AC1421" s="107"/>
      <c r="AD1421" s="108"/>
      <c r="AE1421" s="109"/>
      <c r="AF1421" s="110"/>
      <c r="AG1421" s="106"/>
      <c r="AH1421" s="15"/>
      <c r="AI1421" s="25"/>
      <c r="AJ1421" s="25"/>
      <c r="AK1421" s="25"/>
      <c r="AL1421" s="25"/>
      <c r="AM1421" s="25"/>
      <c r="AN1421" s="25"/>
      <c r="AO1421" s="25"/>
      <c r="AP1421" s="25"/>
      <c r="AQ1421" s="25"/>
      <c r="AR1421" s="25"/>
      <c r="AS1421" s="25"/>
      <c r="AT1421" s="25"/>
      <c r="AU1421" s="25"/>
      <c r="AV1421" s="25"/>
      <c r="AW1421" s="25"/>
      <c r="AX1421" s="25"/>
      <c r="AY1421" s="25"/>
      <c r="AZ1421" s="25"/>
      <c r="BA1421" s="25"/>
      <c r="BB1421" s="25"/>
      <c r="BC1421" s="25"/>
      <c r="BD1421" s="25"/>
      <c r="BE1421" s="25"/>
      <c r="BF1421" s="25"/>
      <c r="BG1421" s="25"/>
      <c r="BH1421" s="25"/>
      <c r="BI1421" s="25"/>
      <c r="BJ1421" s="25"/>
      <c r="BK1421" s="25"/>
      <c r="BL1421" s="25"/>
      <c r="BM1421" s="25"/>
      <c r="BN1421" s="25"/>
      <c r="BO1421" s="25"/>
      <c r="BP1421" s="25"/>
    </row>
  </sheetData>
  <autoFilter ref="A1:BY1118" xr:uid="{7FC40AC6-DB1A-4569-A87C-34428E12B60D}"/>
  <conditionalFormatting sqref="K2:K337">
    <cfRule type="cellIs" dxfId="3" priority="4" operator="lessThan">
      <formula>0</formula>
    </cfRule>
  </conditionalFormatting>
  <conditionalFormatting sqref="AB2:AB1421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AC2:AE1421">
    <cfRule type="cellIs" dxfId="0" priority="3" operator="less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Basketball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Hdalevich</dc:creator>
  <cp:lastModifiedBy>Lenny Hdalevich</cp:lastModifiedBy>
  <dcterms:created xsi:type="dcterms:W3CDTF">2015-06-05T18:17:20Z</dcterms:created>
  <dcterms:modified xsi:type="dcterms:W3CDTF">2026-03-22T20:04:46Z</dcterms:modified>
</cp:coreProperties>
</file>